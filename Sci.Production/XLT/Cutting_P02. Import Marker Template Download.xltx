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0" yWindow="0" windowWidth="23040" windowHeight="9750"/>
  </bookViews>
  <sheets>
    <sheet name="Upload" sheetId="56" r:id="rId1"/>
    <sheet name="Sample" sheetId="57" r:id="rId2"/>
    <sheet name="公式转换" sheetId="43" state="hidden" r:id="rId3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2" i="57" l="1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AM22" i="57"/>
  <c r="AL22" i="57"/>
  <c r="AK22" i="57"/>
  <c r="AJ22" i="57"/>
  <c r="AI22" i="57"/>
  <c r="AH22" i="57"/>
  <c r="AF22" i="57"/>
  <c r="AC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J21" i="57"/>
  <c r="AI21" i="57"/>
  <c r="AH21" i="57"/>
  <c r="AF21" i="57"/>
  <c r="AC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J20" i="57"/>
  <c r="AI20" i="57"/>
  <c r="AH20" i="57"/>
  <c r="AF20" i="57"/>
  <c r="AC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F19" i="57"/>
  <c r="AC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J18" i="57"/>
  <c r="AI18" i="57"/>
  <c r="AH18" i="57"/>
  <c r="AF18" i="57"/>
  <c r="AC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J17" i="57"/>
  <c r="AI17" i="57"/>
  <c r="AH17" i="57"/>
  <c r="AF17" i="57"/>
  <c r="AC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J16" i="57"/>
  <c r="AI16" i="57"/>
  <c r="AH16" i="57"/>
  <c r="AF16" i="57"/>
  <c r="AC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J15" i="57"/>
  <c r="AI15" i="57"/>
  <c r="AH15" i="57"/>
  <c r="AF15" i="57"/>
  <c r="AC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AM14" i="57"/>
  <c r="AL14" i="57"/>
  <c r="AK14" i="57"/>
  <c r="AJ14" i="57"/>
  <c r="AI14" i="57"/>
  <c r="AH14" i="57"/>
  <c r="AF14" i="57"/>
  <c r="AC14" i="57"/>
  <c r="BF13" i="57"/>
  <c r="BE13" i="57"/>
  <c r="BD13" i="57"/>
  <c r="BC13" i="57"/>
  <c r="BB13" i="57"/>
  <c r="BA13" i="57"/>
  <c r="AZ13" i="57"/>
  <c r="AY13" i="57"/>
  <c r="AX13" i="57"/>
  <c r="AW13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J13" i="57"/>
  <c r="AI13" i="57"/>
  <c r="AH13" i="57"/>
  <c r="AF13" i="57"/>
  <c r="AC13" i="57"/>
  <c r="BF12" i="57"/>
  <c r="BE12" i="57"/>
  <c r="BD12" i="57"/>
  <c r="BC12" i="57"/>
  <c r="BB12" i="57"/>
  <c r="BA12" i="57"/>
  <c r="AZ12" i="57"/>
  <c r="AY12" i="57"/>
  <c r="AX12" i="57"/>
  <c r="AW12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J12" i="57"/>
  <c r="AI12" i="57"/>
  <c r="AH12" i="57"/>
  <c r="AF12" i="57"/>
  <c r="AC12" i="57"/>
  <c r="BF11" i="57"/>
  <c r="BE11" i="57"/>
  <c r="BD11" i="57"/>
  <c r="BC11" i="57"/>
  <c r="BB11" i="57"/>
  <c r="BA11" i="57"/>
  <c r="AZ11" i="57"/>
  <c r="AY11" i="57"/>
  <c r="AX11" i="57"/>
  <c r="AW11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J11" i="57"/>
  <c r="AI11" i="57"/>
  <c r="AH11" i="57"/>
  <c r="AF11" i="57"/>
  <c r="AC11" i="57"/>
  <c r="BF10" i="57"/>
  <c r="BE10" i="57"/>
  <c r="BD10" i="57"/>
  <c r="BC10" i="57"/>
  <c r="BB10" i="57"/>
  <c r="BA10" i="57"/>
  <c r="AZ10" i="57"/>
  <c r="AY10" i="57"/>
  <c r="AX10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J10" i="57"/>
  <c r="AI10" i="57"/>
  <c r="AH10" i="57"/>
  <c r="AF10" i="57"/>
  <c r="AC10" i="57"/>
  <c r="BF9" i="57"/>
  <c r="BE9" i="57"/>
  <c r="BD9" i="57"/>
  <c r="BC9" i="57"/>
  <c r="BB9" i="57"/>
  <c r="BA9" i="57"/>
  <c r="AZ9" i="57"/>
  <c r="AY9" i="57"/>
  <c r="AX9" i="57"/>
  <c r="AW9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J9" i="57"/>
  <c r="AI9" i="57"/>
  <c r="AH9" i="57"/>
  <c r="AF9" i="57"/>
  <c r="AC9" i="57"/>
  <c r="BF8" i="57"/>
  <c r="BE8" i="57"/>
  <c r="BD8" i="57"/>
  <c r="BC8" i="57"/>
  <c r="BB8" i="57"/>
  <c r="BA8" i="57"/>
  <c r="AZ8" i="57"/>
  <c r="AY8" i="57"/>
  <c r="AX8" i="57"/>
  <c r="AW8" i="57"/>
  <c r="AV8" i="57"/>
  <c r="AU8" i="57"/>
  <c r="AT8" i="57"/>
  <c r="AS8" i="57"/>
  <c r="AR8" i="57"/>
  <c r="AQ8" i="57"/>
  <c r="AP8" i="57"/>
  <c r="AO8" i="57"/>
  <c r="AN8" i="57"/>
  <c r="AM8" i="57"/>
  <c r="AL8" i="57"/>
  <c r="AK8" i="57"/>
  <c r="AJ8" i="57"/>
  <c r="AI8" i="57"/>
  <c r="AH8" i="57"/>
  <c r="AF8" i="57"/>
  <c r="AC8" i="57"/>
  <c r="AA5" i="57"/>
  <c r="Z5" i="57"/>
  <c r="Y5" i="57"/>
  <c r="X5" i="57"/>
  <c r="W5" i="57"/>
  <c r="V5" i="57"/>
  <c r="U5" i="57"/>
  <c r="T5" i="57"/>
  <c r="S5" i="57"/>
  <c r="R5" i="57"/>
  <c r="AW10" i="57" s="1"/>
  <c r="Q5" i="57"/>
  <c r="P5" i="57"/>
  <c r="O5" i="57"/>
  <c r="N5" i="57"/>
  <c r="M5" i="57"/>
  <c r="L5" i="57"/>
  <c r="K5" i="57"/>
  <c r="J5" i="57"/>
  <c r="I5" i="57"/>
  <c r="H5" i="57"/>
  <c r="G5" i="57"/>
  <c r="F5" i="57"/>
  <c r="E5" i="57"/>
  <c r="D5" i="57"/>
  <c r="C5" i="57"/>
  <c r="AB4" i="57"/>
  <c r="BF3" i="57"/>
  <c r="BE3" i="57"/>
  <c r="BD3" i="57"/>
  <c r="BC3" i="57"/>
  <c r="BB3" i="57"/>
  <c r="BA3" i="57"/>
  <c r="AZ3" i="57"/>
  <c r="AY3" i="57"/>
  <c r="AX3" i="57"/>
  <c r="AW3" i="57"/>
  <c r="AV3" i="57"/>
  <c r="AU3" i="57"/>
  <c r="AT3" i="57"/>
  <c r="AS3" i="57"/>
  <c r="AR3" i="57"/>
  <c r="AQ3" i="57"/>
  <c r="AP3" i="57"/>
  <c r="AO3" i="57"/>
  <c r="AN3" i="57"/>
  <c r="AM3" i="57"/>
  <c r="AL3" i="57"/>
  <c r="AK3" i="57"/>
  <c r="AJ3" i="57"/>
  <c r="AI3" i="57"/>
  <c r="AH3" i="57"/>
  <c r="AB5" i="57" l="1"/>
  <c r="AC23" i="57"/>
  <c r="AF23" i="57"/>
  <c r="AE3" i="57"/>
  <c r="AE4" i="57" s="1"/>
  <c r="AC4" i="57" s="1"/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I12" i="56" l="1"/>
  <c r="AH11" i="56"/>
  <c r="AK13" i="56"/>
  <c r="AW12" i="56"/>
  <c r="AH10" i="56"/>
  <c r="AV10" i="56"/>
  <c r="AV12" i="56"/>
  <c r="AU12" i="56"/>
  <c r="AI15" i="56"/>
  <c r="AT23" i="56"/>
  <c r="AC25" i="56"/>
  <c r="AE5" i="56"/>
  <c r="AE6" i="56" s="1"/>
  <c r="AC6" i="56" s="1"/>
  <c r="AF25" i="56"/>
  <c r="AB7" i="56"/>
  <c r="AL10" i="56"/>
  <c r="AL12" i="56"/>
  <c r="AH13" i="56"/>
  <c r="AL14" i="56"/>
  <c r="AM10" i="56"/>
  <c r="AM12" i="56"/>
  <c r="AN14" i="56"/>
  <c r="AM11" i="56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<sst xmlns="http://schemas.openxmlformats.org/spreadsheetml/2006/main" count="633" uniqueCount="598">
  <si>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</si>
  <si>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</si>
  <si>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</si>
  <si>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</si>
  <si>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</si>
  <si>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</si>
  <si>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</si>
  <si>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</si>
  <si>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</si>
  <si>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</si>
  <si>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</si>
  <si>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</si>
  <si>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</si>
  <si>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</si>
  <si>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</si>
  <si>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</si>
  <si>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</si>
  <si>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</si>
  <si>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</si>
  <si>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</si>
  <si>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</si>
  <si>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</si>
  <si>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</si>
  <si>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</si>
  <si>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</si>
  <si>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</si>
  <si>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</si>
  <si>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</si>
  <si>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</si>
  <si>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</si>
  <si>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</si>
  <si>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</si>
  <si>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</si>
  <si>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</si>
  <si>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</si>
  <si>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</si>
  <si>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</si>
  <si>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</si>
  <si>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</si>
  <si>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</si>
  <si>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</si>
  <si>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</si>
  <si>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</si>
  <si>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</si>
  <si>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</si>
  <si>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</si>
  <si>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</si>
  <si>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</si>
  <si>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</si>
  <si>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</si>
  <si>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</si>
  <si>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</si>
  <si>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</si>
  <si>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</si>
  <si>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</si>
  <si>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</si>
  <si>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</si>
  <si>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</si>
  <si>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</si>
  <si>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</si>
  <si>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</si>
  <si>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</si>
  <si>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</si>
  <si>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</si>
  <si>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</si>
  <si>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</si>
  <si>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</si>
  <si>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</si>
  <si>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</si>
  <si>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</si>
  <si>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</si>
  <si>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</si>
  <si>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</si>
  <si>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</si>
  <si>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</si>
  <si>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</si>
  <si>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</si>
  <si>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</si>
  <si>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</si>
  <si>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</si>
  <si>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</si>
  <si>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</si>
  <si>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</si>
  <si>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</si>
  <si>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</si>
  <si>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</si>
  <si>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</si>
  <si>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</si>
  <si>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</si>
  <si>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</si>
  <si>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</si>
  <si>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</si>
  <si>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</si>
  <si>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</si>
  <si>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</si>
  <si>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</si>
  <si>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</si>
  <si>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</si>
  <si>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</si>
  <si>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</si>
  <si>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</si>
  <si>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</si>
  <si>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</si>
  <si>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</si>
  <si>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</si>
  <si>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</si>
  <si>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</si>
  <si>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</si>
  <si>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</si>
  <si>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</si>
  <si>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</si>
  <si>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</si>
  <si>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</si>
  <si>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</si>
  <si>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</si>
  <si>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</si>
  <si>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</si>
  <si>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</si>
  <si>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</si>
  <si>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</si>
  <si>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</si>
  <si>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</si>
  <si>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</si>
  <si>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</si>
  <si>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</si>
  <si>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</si>
  <si>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</si>
  <si>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</si>
  <si>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</si>
  <si>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</si>
  <si>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</si>
  <si>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</si>
  <si>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</si>
  <si>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</si>
  <si>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</si>
  <si>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</si>
  <si>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</si>
  <si>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</si>
  <si>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</si>
  <si>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</si>
  <si>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</si>
  <si>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</si>
  <si>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</si>
  <si>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</si>
  <si>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</si>
  <si>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</si>
  <si>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</si>
  <si>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</si>
  <si>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</si>
  <si>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</si>
  <si>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</si>
  <si>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</si>
  <si>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</si>
  <si>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</si>
  <si>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</si>
  <si>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</si>
  <si>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</si>
  <si>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</si>
  <si>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</si>
  <si>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</si>
  <si>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</si>
  <si>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</si>
  <si>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</si>
  <si>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</si>
  <si>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</si>
  <si>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</si>
  <si>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</si>
  <si>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</si>
  <si>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</si>
  <si>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</si>
  <si>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</si>
  <si>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</si>
  <si>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</si>
  <si>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</si>
  <si>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</si>
  <si>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</si>
  <si>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</si>
  <si>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</si>
  <si>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</si>
  <si>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</si>
  <si>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</si>
  <si>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</si>
  <si>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</si>
  <si>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</si>
  <si>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</si>
  <si>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</si>
  <si>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</si>
  <si>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</si>
  <si>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</si>
  <si>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</si>
  <si>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</si>
  <si>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</si>
  <si>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</si>
  <si>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</si>
  <si>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</si>
  <si>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</si>
  <si>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</si>
  <si>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</si>
  <si>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</si>
  <si>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</si>
  <si>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</si>
  <si>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</si>
  <si>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</si>
  <si>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</si>
  <si>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</si>
  <si>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</si>
  <si>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</si>
  <si>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</si>
  <si>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</si>
  <si>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</si>
  <si>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</si>
  <si>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</si>
  <si>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</si>
  <si>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</si>
  <si>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</si>
  <si>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</si>
  <si>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</si>
  <si>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</si>
  <si>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</si>
  <si>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</si>
  <si>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</si>
  <si>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</si>
  <si>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</si>
  <si>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</si>
  <si>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</si>
  <si>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</si>
  <si>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</si>
  <si>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</si>
  <si>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</si>
  <si>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</si>
  <si>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</si>
  <si>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</si>
  <si>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</si>
  <si>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</si>
  <si>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</si>
  <si>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</si>
  <si>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</si>
  <si>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</si>
  <si>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</si>
  <si>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</si>
  <si>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</si>
  <si>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</si>
  <si>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</si>
  <si>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</si>
  <si>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</si>
  <si>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</si>
  <si>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</si>
  <si>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</si>
  <si>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</si>
  <si>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</si>
  <si>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</si>
  <si>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</si>
  <si>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</si>
  <si>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</si>
  <si>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</si>
  <si>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</si>
  <si>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</si>
  <si>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</si>
  <si>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</si>
  <si>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</si>
  <si>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</si>
  <si>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</si>
  <si>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</si>
  <si>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</si>
  <si>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</si>
  <si>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</si>
  <si>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</si>
  <si>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</si>
  <si>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</si>
  <si>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</si>
  <si>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</si>
  <si>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</si>
  <si>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</si>
  <si>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</si>
  <si>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</si>
  <si>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</si>
  <si>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</si>
  <si>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</si>
  <si>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</si>
  <si>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</si>
  <si>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</si>
  <si>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</si>
  <si>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</si>
  <si>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</si>
  <si>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</si>
  <si>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</si>
  <si>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</si>
  <si>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</si>
  <si>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</si>
  <si>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</si>
  <si>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</si>
  <si>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</si>
  <si>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</si>
  <si>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</si>
  <si>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</si>
  <si>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</si>
  <si>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</si>
  <si>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</si>
  <si>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</si>
  <si>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</si>
  <si>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</si>
  <si>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</si>
  <si>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</si>
  <si>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</si>
  <si>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</si>
  <si>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</si>
  <si>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</si>
  <si>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</si>
  <si>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</si>
  <si>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</si>
  <si>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</si>
  <si>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</si>
  <si>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</si>
  <si>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</si>
  <si>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</si>
  <si>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</si>
  <si>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</si>
  <si>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</si>
  <si>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</si>
  <si>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</si>
  <si>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</si>
  <si>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</si>
  <si>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</si>
  <si>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</si>
  <si>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</si>
  <si>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</si>
  <si>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</si>
  <si>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</si>
  <si>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</si>
  <si>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</si>
  <si>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</si>
  <si>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</si>
  <si>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</si>
  <si>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</si>
  <si>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</si>
  <si>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</si>
  <si>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</si>
  <si>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</si>
  <si>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</si>
  <si>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</si>
  <si>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</si>
  <si>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</si>
  <si>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</si>
  <si>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</si>
  <si>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</si>
  <si>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</si>
  <si>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</si>
  <si>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</si>
  <si>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</si>
  <si>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</si>
  <si>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</si>
  <si>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</si>
  <si>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</si>
  <si>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</si>
  <si>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</si>
  <si>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</si>
  <si>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</si>
  <si>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</si>
  <si>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</si>
  <si>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</si>
  <si>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</si>
  <si>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</si>
  <si>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</si>
  <si>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</si>
  <si>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</si>
  <si>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</si>
  <si>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</si>
  <si>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</si>
  <si>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</si>
  <si>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</si>
  <si>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</si>
  <si>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</si>
  <si>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</si>
  <si>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</si>
  <si>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</si>
  <si>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</si>
  <si>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</si>
  <si>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</si>
  <si>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</si>
  <si>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</si>
  <si>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</si>
  <si>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</si>
  <si>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</si>
  <si>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</si>
  <si>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</si>
  <si>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</si>
  <si>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</si>
  <si>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</si>
  <si>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</si>
  <si>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</si>
  <si>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</si>
  <si>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</si>
  <si>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</si>
  <si>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</si>
  <si>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</si>
  <si>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</si>
  <si>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</si>
  <si>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</si>
  <si>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</si>
  <si>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</si>
  <si>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</si>
  <si>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</si>
  <si>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</si>
  <si>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</si>
  <si>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</si>
  <si>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</si>
  <si>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</si>
  <si>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</si>
  <si>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</si>
  <si>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</si>
  <si>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</si>
  <si>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</si>
  <si>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</si>
  <si>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</si>
  <si>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</si>
  <si>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</si>
  <si>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</si>
  <si>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</si>
  <si>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</si>
  <si>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</si>
  <si>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</si>
  <si>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</si>
  <si>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</si>
  <si>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</si>
  <si>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</si>
  <si>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</si>
  <si>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</si>
  <si>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</si>
  <si>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</si>
  <si>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</si>
  <si>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</si>
  <si>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</si>
  <si>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</si>
  <si>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</si>
  <si>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</si>
  <si>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</si>
  <si>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</si>
  <si>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</si>
  <si>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</si>
  <si>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</si>
  <si>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</si>
  <si>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</si>
  <si>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</si>
  <si>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</si>
  <si>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</si>
  <si>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</si>
  <si>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</si>
  <si>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</si>
  <si>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</si>
  <si>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</si>
  <si>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</si>
  <si>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</si>
  <si>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</si>
  <si>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</si>
  <si>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</si>
  <si>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</si>
  <si>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</si>
  <si>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</si>
  <si>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</si>
  <si>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</si>
  <si>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</si>
  <si>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</si>
  <si>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</si>
  <si>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</si>
  <si>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</si>
  <si>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</si>
  <si>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</si>
  <si>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</si>
  <si>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</si>
  <si>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</si>
  <si>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</si>
  <si>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</si>
  <si>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</si>
  <si>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</si>
  <si>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</si>
  <si>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</si>
  <si>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</si>
  <si>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</si>
  <si>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</si>
  <si>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</si>
  <si>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</si>
  <si>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</si>
  <si>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</si>
  <si>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</si>
  <si>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</si>
  <si>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</si>
  <si>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</si>
  <si>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</si>
  <si>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</si>
  <si>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</si>
  <si>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</si>
  <si>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</si>
  <si>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</si>
  <si>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</si>
  <si>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</si>
  <si>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</si>
  <si>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</si>
  <si>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</si>
  <si>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</si>
  <si>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</si>
  <si>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</si>
  <si>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</si>
  <si>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</si>
  <si>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</si>
  <si>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</si>
  <si>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</si>
  <si>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</si>
  <si>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</si>
  <si>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</si>
  <si>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</si>
  <si>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</si>
  <si>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</si>
  <si>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</si>
  <si>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</si>
  <si>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</si>
  <si>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</si>
  <si>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</si>
  <si>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</si>
  <si>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</si>
  <si>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</si>
  <si>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</si>
  <si>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</si>
  <si>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</si>
  <si>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</si>
  <si>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</si>
  <si>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</si>
  <si>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</si>
  <si>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</si>
  <si>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</si>
  <si>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</si>
  <si>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</si>
  <si>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</si>
  <si>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</si>
  <si>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</si>
  <si>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</si>
  <si>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</si>
  <si>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</si>
  <si>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</si>
  <si>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</si>
  <si>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</si>
  <si>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</si>
  <si>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</si>
  <si>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</si>
  <si>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</si>
  <si>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</si>
  <si>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</si>
  <si>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</si>
  <si>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</si>
  <si>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</si>
  <si>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</si>
  <si>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</si>
  <si>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</si>
  <si>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</si>
  <si>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</si>
  <si>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</si>
  <si>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</si>
  <si>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</si>
  <si>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</si>
  <si>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</si>
  <si>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</si>
  <si>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</si>
  <si>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</si>
  <si>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</si>
  <si>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</si>
  <si>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</si>
  <si>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</si>
  <si>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</si>
  <si>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</si>
  <si>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</si>
  <si>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</si>
  <si>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</si>
  <si>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</si>
  <si>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</si>
  <si>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</si>
  <si>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</si>
  <si>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</si>
  <si>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</si>
  <si>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</si>
  <si>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</si>
  <si>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</si>
  <si>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</si>
  <si>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</si>
  <si>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</si>
  <si>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</si>
  <si>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</si>
  <si>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</si>
  <si>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</si>
  <si>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</si>
  <si>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</si>
  <si>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</si>
  <si>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</si>
  <si>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</si>
  <si>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Ttl. Cons.</t>
    <phoneticPr fontId="15" type="noConversion"/>
  </si>
  <si>
    <t>Need Layers</t>
    <phoneticPr fontId="15" type="noConversion"/>
  </si>
  <si>
    <t>SEQ</t>
    <phoneticPr fontId="15" type="noConversion"/>
  </si>
  <si>
    <t>Pattern No. (Marker)</t>
    <phoneticPr fontId="15" type="noConversion"/>
  </si>
  <si>
    <t>Tone</t>
    <phoneticPr fontId="15" type="noConversion"/>
  </si>
  <si>
    <t>Tone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</si>
</sst>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m&quot;月&quot;d&quot;日&quot;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85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8" xfId="0" applyNumberFormat="1" applyFont="1" applyFill="1" applyBorder="1" applyAlignment="1" applyProtection="1">
      <alignment vertical="center"/>
    </xf>
    <xf numFmtId="0" fontId="13" fillId="0" borderId="19" xfId="0" applyNumberFormat="1" applyFont="1" applyFill="1" applyBorder="1" applyAlignment="1" applyProtection="1">
      <alignment vertical="center"/>
    </xf>
    <xf numFmtId="0" fontId="17" fillId="0" borderId="1" xfId="0" applyFont="1" applyFill="1" applyBorder="1" applyAlignment="1" applyProtection="1">
      <alignment horizontal="center" vertical="center"/>
    </xf>
    <xf numFmtId="18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4" fillId="0" borderId="17" xfId="0" applyFont="1" applyFill="1" applyBorder="1" applyAlignment="1" applyProtection="1">
      <alignment horizontal="center" vertical="center"/>
    </xf>
    <xf numFmtId="0" fontId="14" fillId="0" borderId="18" xfId="0" applyFont="1" applyFill="1" applyBorder="1" applyAlignment="1" applyProtection="1">
      <alignment horizontal="center" vertical="center"/>
    </xf>
    <xf numFmtId="0" fontId="14" fillId="0" borderId="19" xfId="0" applyFont="1" applyFill="1" applyBorder="1" applyAlignment="1" applyProtection="1">
      <alignment horizontal="center" vertical="center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18" xfId="0" applyFont="1" applyFill="1" applyBorder="1" applyAlignment="1" applyProtection="1">
      <alignment horizontal="center" vertical="center"/>
      <protection locked="0"/>
    </xf>
    <xf numFmtId="0" fontId="13" fillId="0" borderId="19" xfId="0" applyFont="1" applyFill="1" applyBorder="1" applyAlignment="1" applyProtection="1">
      <alignment horizontal="center" vertical="center"/>
      <protection locked="0"/>
    </xf>
    <xf numFmtId="49" fontId="13" fillId="0" borderId="17" xfId="0" applyNumberFormat="1" applyFont="1" applyFill="1" applyBorder="1" applyAlignment="1" applyProtection="1">
      <alignment horizontal="center" vertical="center"/>
      <protection locked="0"/>
    </xf>
    <xf numFmtId="49" fontId="13" fillId="0" borderId="19" xfId="0" applyNumberFormat="1" applyFont="1" applyFill="1" applyBorder="1" applyAlignment="1" applyProtection="1">
      <alignment horizontal="center" vertical="center"/>
      <protection locked="0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8" fillId="0" borderId="1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shrinkToFit="1"/>
      <protection locked="0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3" fillId="0" borderId="4" xfId="0" applyFont="1" applyFill="1" applyBorder="1" applyAlignment="1" applyProtection="1">
      <alignment horizontal="center" vertical="center" shrinkToFit="1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25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B10" sqref="B10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20.25">
      <c r="A1" s="49" t="s">
        <v>576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33" t="s">
        <v>1</v>
      </c>
      <c r="AH1" s="50"/>
      <c r="AI1" s="51"/>
      <c r="AJ1" s="51"/>
      <c r="AK1" s="51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s="39" customFormat="1" ht="15.75" thickBot="1">
      <c r="A2" s="26" t="s">
        <v>6</v>
      </c>
      <c r="B2" s="52"/>
      <c r="C2" s="52"/>
      <c r="D2" s="52"/>
      <c r="E2" s="52"/>
      <c r="F2" s="26" t="s">
        <v>9</v>
      </c>
      <c r="G2" s="52"/>
      <c r="H2" s="52"/>
      <c r="I2" s="52"/>
      <c r="J2" s="52"/>
      <c r="K2" s="53"/>
      <c r="L2" s="54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6"/>
      <c r="BG2" s="38"/>
    </row>
    <row r="3" spans="1:59" customFormat="1" ht="15">
      <c r="A3" s="18" t="s">
        <v>578</v>
      </c>
      <c r="B3" s="11"/>
      <c r="C3" s="55" t="s">
        <v>595</v>
      </c>
      <c r="D3" s="56"/>
      <c r="E3" s="57"/>
      <c r="F3" s="58"/>
      <c r="G3" s="59"/>
      <c r="H3" s="60"/>
      <c r="I3" s="55" t="s">
        <v>594</v>
      </c>
      <c r="J3" s="57"/>
      <c r="K3" s="61"/>
      <c r="L3" s="62"/>
      <c r="M3" s="55" t="s">
        <v>596</v>
      </c>
      <c r="N3" s="57"/>
      <c r="O3" s="61"/>
      <c r="P3" s="62"/>
      <c r="Q3" s="47"/>
      <c r="R3" s="47"/>
      <c r="S3" s="47"/>
      <c r="T3" s="47"/>
      <c r="U3" s="47"/>
      <c r="V3" s="47"/>
      <c r="W3" s="47"/>
      <c r="X3" s="47"/>
      <c r="Y3" s="47"/>
      <c r="Z3" s="47"/>
      <c r="AA3" s="48"/>
      <c r="AB3" s="64"/>
      <c r="AC3" s="64"/>
      <c r="AD3" s="64"/>
      <c r="AE3" s="64"/>
      <c r="AF3" s="64"/>
      <c r="AG3" s="64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6"/>
      <c r="AV3" s="9"/>
      <c r="AW3" s="9"/>
      <c r="AX3" s="9"/>
      <c r="AY3" s="9"/>
      <c r="AZ3" s="9"/>
      <c r="BA3" s="9"/>
      <c r="BB3" s="9"/>
      <c r="BC3" s="9"/>
      <c r="BD3" s="9"/>
      <c r="BE3" s="9"/>
      <c r="BF3" s="37"/>
      <c r="BG3" s="34"/>
    </row>
    <row r="4" spans="1:59" customFormat="1" ht="15">
      <c r="A4" s="28" t="s">
        <v>589</v>
      </c>
      <c r="B4" s="12"/>
      <c r="C4" s="67" t="s">
        <v>577</v>
      </c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8" t="s">
        <v>590</v>
      </c>
      <c r="AC4" s="67" t="s">
        <v>579</v>
      </c>
      <c r="AD4" s="67"/>
      <c r="AE4" s="69"/>
      <c r="AF4" s="51"/>
      <c r="AG4" s="70"/>
      <c r="AH4" s="73" t="s">
        <v>577</v>
      </c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5"/>
      <c r="BG4" s="34"/>
    </row>
    <row r="5" spans="1:59" customFormat="1" ht="15">
      <c r="A5" s="32" t="s">
        <v>7</v>
      </c>
      <c r="B5" s="12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68"/>
      <c r="AC5" s="67" t="s">
        <v>580</v>
      </c>
      <c r="AD5" s="67"/>
      <c r="AE5" s="76">
        <f>SUM(AF10:AF24)</f>
        <v>0</v>
      </c>
      <c r="AF5" s="76"/>
      <c r="AG5" s="71"/>
      <c r="AH5" s="31" t="str">
        <f t="shared" ref="AH5:AQ5" si="0">IF(C5="", "", C5)</f>
        <v/>
      </c>
      <c r="AI5" s="31" t="str">
        <f t="shared" si="0"/>
        <v/>
      </c>
      <c r="AJ5" s="31" t="str">
        <f t="shared" si="0"/>
        <v/>
      </c>
      <c r="AK5" s="31" t="str">
        <f t="shared" si="0"/>
        <v/>
      </c>
      <c r="AL5" s="31" t="str">
        <f t="shared" si="0"/>
        <v/>
      </c>
      <c r="AM5" s="31" t="str">
        <f t="shared" si="0"/>
        <v/>
      </c>
      <c r="AN5" s="31" t="str">
        <f t="shared" si="0"/>
        <v/>
      </c>
      <c r="AO5" s="31" t="str">
        <f t="shared" si="0"/>
        <v/>
      </c>
      <c r="AP5" s="31" t="str">
        <f t="shared" si="0"/>
        <v/>
      </c>
      <c r="AQ5" s="31" t="str">
        <f t="shared" si="0"/>
        <v/>
      </c>
      <c r="AR5" s="31" t="str">
        <f t="shared" ref="AR5:AU5" si="1">IF(M5="", "", M5)</f>
        <v/>
      </c>
      <c r="AS5" s="31" t="str">
        <f t="shared" si="1"/>
        <v/>
      </c>
      <c r="AT5" s="31" t="str">
        <f t="shared" si="1"/>
        <v/>
      </c>
      <c r="AU5" s="31" t="str">
        <f t="shared" si="1"/>
        <v/>
      </c>
      <c r="AV5" s="31" t="str">
        <f>IF(Q5="", "", Q5)</f>
        <v/>
      </c>
      <c r="AW5" s="31" t="str">
        <f t="shared" ref="AW5:BF5" si="2">IF(R5="", "", R5)</f>
        <v/>
      </c>
      <c r="AX5" s="31" t="str">
        <f t="shared" si="2"/>
        <v/>
      </c>
      <c r="AY5" s="31" t="str">
        <f t="shared" si="2"/>
        <v/>
      </c>
      <c r="AZ5" s="31" t="str">
        <f t="shared" si="2"/>
        <v/>
      </c>
      <c r="BA5" s="31" t="str">
        <f t="shared" si="2"/>
        <v/>
      </c>
      <c r="BB5" s="31" t="str">
        <f t="shared" si="2"/>
        <v/>
      </c>
      <c r="BC5" s="31" t="str">
        <f t="shared" si="2"/>
        <v/>
      </c>
      <c r="BD5" s="31" t="str">
        <f t="shared" si="2"/>
        <v/>
      </c>
      <c r="BE5" s="31" t="str">
        <f t="shared" si="2"/>
        <v/>
      </c>
      <c r="BF5" s="31" t="str">
        <f t="shared" si="2"/>
        <v/>
      </c>
      <c r="BG5" s="34"/>
    </row>
    <row r="6" spans="1:59" customFormat="1" ht="15">
      <c r="A6" s="78" t="s">
        <v>581</v>
      </c>
      <c r="B6" s="78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19">
        <f>SUM(C6:AA6)</f>
        <v>0</v>
      </c>
      <c r="AC6" s="79" t="str">
        <f>IF(AE6&lt;5,"NO ",IF(AE6=5,"OK",IF(AE6&gt;5,"OK")))</f>
        <v xml:space="preserve">NO </v>
      </c>
      <c r="AD6" s="79"/>
      <c r="AE6" s="76">
        <f>AE4-AE5-AE7</f>
        <v>0</v>
      </c>
      <c r="AF6" s="76"/>
      <c r="AG6" s="71"/>
      <c r="AH6" s="63" t="s">
        <v>593</v>
      </c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34"/>
    </row>
    <row r="7" spans="1:59" customFormat="1" ht="15">
      <c r="A7" s="78" t="s">
        <v>588</v>
      </c>
      <c r="B7" s="78"/>
      <c r="C7" s="29" t="str">
        <f t="shared" ref="C7:AA7" si="3">IF(C5="","",C6-C10*$AB10-C11*$AB11-C12*$AB12-C13*$AB13-C14*$AB14-C15*$AB15-C16*$AB16-C17*$AB17-C18*$AB18-C19*$AB19-C20*$AB20-C21*$AB21-C22*$AB22-C23*$AB23-C24*$AB24)</f>
        <v/>
      </c>
      <c r="D7" s="29" t="str">
        <f t="shared" si="3"/>
        <v/>
      </c>
      <c r="E7" s="29" t="str">
        <f t="shared" si="3"/>
        <v/>
      </c>
      <c r="F7" s="29" t="str">
        <f t="shared" si="3"/>
        <v/>
      </c>
      <c r="G7" s="29" t="str">
        <f t="shared" si="3"/>
        <v/>
      </c>
      <c r="H7" s="29" t="str">
        <f t="shared" si="3"/>
        <v/>
      </c>
      <c r="I7" s="29" t="str">
        <f t="shared" si="3"/>
        <v/>
      </c>
      <c r="J7" s="29" t="str">
        <f t="shared" si="3"/>
        <v/>
      </c>
      <c r="K7" s="29" t="str">
        <f t="shared" si="3"/>
        <v/>
      </c>
      <c r="L7" s="29" t="str">
        <f t="shared" si="3"/>
        <v/>
      </c>
      <c r="M7" s="29" t="str">
        <f t="shared" si="3"/>
        <v/>
      </c>
      <c r="N7" s="29" t="str">
        <f t="shared" si="3"/>
        <v/>
      </c>
      <c r="O7" s="29" t="str">
        <f t="shared" si="3"/>
        <v/>
      </c>
      <c r="P7" s="29" t="str">
        <f t="shared" si="3"/>
        <v/>
      </c>
      <c r="Q7" s="29" t="str">
        <f t="shared" si="3"/>
        <v/>
      </c>
      <c r="R7" s="29" t="str">
        <f t="shared" si="3"/>
        <v/>
      </c>
      <c r="S7" s="29" t="str">
        <f t="shared" si="3"/>
        <v/>
      </c>
      <c r="T7" s="29" t="str">
        <f t="shared" si="3"/>
        <v/>
      </c>
      <c r="U7" s="29" t="str">
        <f t="shared" si="3"/>
        <v/>
      </c>
      <c r="V7" s="29" t="str">
        <f t="shared" si="3"/>
        <v/>
      </c>
      <c r="W7" s="29" t="str">
        <f t="shared" si="3"/>
        <v/>
      </c>
      <c r="X7" s="29" t="str">
        <f t="shared" si="3"/>
        <v/>
      </c>
      <c r="Y7" s="29" t="str">
        <f t="shared" si="3"/>
        <v/>
      </c>
      <c r="Z7" s="29" t="str">
        <f t="shared" si="3"/>
        <v/>
      </c>
      <c r="AA7" s="29" t="str">
        <f t="shared" si="3"/>
        <v/>
      </c>
      <c r="AB7" s="29">
        <f>SUM(C7:AA7)</f>
        <v>0</v>
      </c>
      <c r="AC7" s="67" t="s">
        <v>587</v>
      </c>
      <c r="AD7" s="67"/>
      <c r="AE7" s="51"/>
      <c r="AF7" s="51"/>
      <c r="AG7" s="71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34"/>
    </row>
    <row r="8" spans="1:59" customFormat="1" ht="15">
      <c r="A8" s="80" t="s">
        <v>591</v>
      </c>
      <c r="B8" s="67" t="s">
        <v>10</v>
      </c>
      <c r="C8" s="67" t="s">
        <v>0</v>
      </c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 t="s">
        <v>8</v>
      </c>
      <c r="AC8" s="80" t="s">
        <v>581</v>
      </c>
      <c r="AD8" s="80" t="s">
        <v>582</v>
      </c>
      <c r="AE8" s="80"/>
      <c r="AF8" s="81" t="s">
        <v>583</v>
      </c>
      <c r="AG8" s="71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34"/>
    </row>
    <row r="9" spans="1:59" customFormat="1" ht="15">
      <c r="A9" s="67"/>
      <c r="B9" s="67"/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80"/>
      <c r="AD9" s="27" t="s">
        <v>584</v>
      </c>
      <c r="AE9" s="27" t="s">
        <v>585</v>
      </c>
      <c r="AF9" s="81"/>
      <c r="AG9" s="71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34"/>
    </row>
    <row r="10" spans="1:59" customFormat="1">
      <c r="A10" s="82"/>
      <c r="B10" s="12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20" t="str">
        <f t="shared" ref="AC10:AC24" si="4">IF(AB10="","",SUM(C10:AA10)*AB10)</f>
        <v/>
      </c>
      <c r="AD10" s="30"/>
      <c r="AE10" s="30"/>
      <c r="AF10" s="19" t="str">
        <f>IF(AB10="","",(AD10+(AE10/36))*AB10)</f>
        <v/>
      </c>
      <c r="AG10" s="71"/>
      <c r="AH10" s="21" t="str">
        <f t="shared" ref="AH10:AH24" si="5">IF(C10=0,"",ROUNDUP(C$7/C10,0))</f>
        <v/>
      </c>
      <c r="AI10" s="21" t="str">
        <f t="shared" ref="AI10:AI24" si="6">IF(D10=0,"",ROUNDUP(D$7/D10,0))</f>
        <v/>
      </c>
      <c r="AJ10" s="21" t="str">
        <f t="shared" ref="AJ10:AJ24" si="7">IF(E10=0,"",ROUNDUP(E$7/E10,0))</f>
        <v/>
      </c>
      <c r="AK10" s="21" t="str">
        <f t="shared" ref="AK10:AK24" si="8">IF(F10=0,"",ROUNDUP(F$7/F10,0))</f>
        <v/>
      </c>
      <c r="AL10" s="21" t="str">
        <f t="shared" ref="AL10:AL24" si="9">IF(G10=0,"",ROUNDUP(G$7/G10,0))</f>
        <v/>
      </c>
      <c r="AM10" s="21" t="str">
        <f t="shared" ref="AM10:AM24" si="10">IF(H10=0,"",ROUNDUP(H$7/H10,0))</f>
        <v/>
      </c>
      <c r="AN10" s="21" t="str">
        <f t="shared" ref="AN10:AN24" si="11">IF(I10=0,"",ROUNDUP(I$7/I10,0))</f>
        <v/>
      </c>
      <c r="AO10" s="21" t="str">
        <f t="shared" ref="AO10:AO24" si="12">IF(J10=0,"",ROUNDUP(J$7/J10,0))</f>
        <v/>
      </c>
      <c r="AP10" s="21" t="str">
        <f t="shared" ref="AP10:AP24" si="13">IF(K10=0,"",ROUNDUP(K$7/K10,0))</f>
        <v/>
      </c>
      <c r="AQ10" s="21" t="str">
        <f t="shared" ref="AQ10:AQ24" si="14">IF(L10=0,"",ROUNDUP(L$7/L10,0))</f>
        <v/>
      </c>
      <c r="AR10" s="21" t="str">
        <f t="shared" ref="AR10:AW10" si="15">IF(M10=0,"",ROUNDUP(M$7/M10,0))</f>
        <v/>
      </c>
      <c r="AS10" s="21" t="str">
        <f t="shared" si="15"/>
        <v/>
      </c>
      <c r="AT10" s="21" t="str">
        <f t="shared" si="15"/>
        <v/>
      </c>
      <c r="AU10" s="21" t="str">
        <f t="shared" si="15"/>
        <v/>
      </c>
      <c r="AV10" s="21" t="str">
        <f t="shared" si="15"/>
        <v/>
      </c>
      <c r="AW10" s="21" t="str">
        <f t="shared" si="15"/>
        <v/>
      </c>
      <c r="AX10" s="21" t="str">
        <f t="shared" ref="AR10:BF24" si="16">IF(S10=0,"",ROUNDUP(S$7/S10,0))</f>
        <v/>
      </c>
      <c r="AY10" s="21" t="str">
        <f t="shared" si="16"/>
        <v/>
      </c>
      <c r="AZ10" s="21" t="str">
        <f t="shared" si="16"/>
        <v/>
      </c>
      <c r="BA10" s="21" t="str">
        <f t="shared" si="16"/>
        <v/>
      </c>
      <c r="BB10" s="21" t="str">
        <f t="shared" si="16"/>
        <v/>
      </c>
      <c r="BC10" s="21" t="str">
        <f t="shared" si="16"/>
        <v/>
      </c>
      <c r="BD10" s="21" t="str">
        <f t="shared" si="16"/>
        <v/>
      </c>
      <c r="BE10" s="21" t="str">
        <f t="shared" si="16"/>
        <v/>
      </c>
      <c r="BF10" s="21" t="str">
        <f t="shared" si="16"/>
        <v/>
      </c>
      <c r="BG10" s="34"/>
    </row>
    <row r="11" spans="1:59" customFormat="1">
      <c r="A11" s="83"/>
      <c r="B11" s="12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20" t="str">
        <f t="shared" si="4"/>
        <v/>
      </c>
      <c r="AD11" s="30"/>
      <c r="AE11" s="30"/>
      <c r="AF11" s="19" t="str">
        <f>IF(AB11="","",(AD11+(AE11/36))*AB11)</f>
        <v/>
      </c>
      <c r="AG11" s="71"/>
      <c r="AH11" s="21" t="str">
        <f t="shared" si="5"/>
        <v/>
      </c>
      <c r="AI11" s="21" t="str">
        <f t="shared" si="6"/>
        <v/>
      </c>
      <c r="AJ11" s="21" t="str">
        <f t="shared" si="7"/>
        <v/>
      </c>
      <c r="AK11" s="21" t="str">
        <f t="shared" si="8"/>
        <v/>
      </c>
      <c r="AL11" s="21" t="str">
        <f t="shared" si="9"/>
        <v/>
      </c>
      <c r="AM11" s="21" t="str">
        <f t="shared" si="10"/>
        <v/>
      </c>
      <c r="AN11" s="21" t="str">
        <f t="shared" si="11"/>
        <v/>
      </c>
      <c r="AO11" s="21" t="str">
        <f t="shared" si="12"/>
        <v/>
      </c>
      <c r="AP11" s="21" t="str">
        <f t="shared" si="13"/>
        <v/>
      </c>
      <c r="AQ11" s="21" t="str">
        <f t="shared" si="14"/>
        <v/>
      </c>
      <c r="AR11" s="21" t="str">
        <f t="shared" si="16"/>
        <v/>
      </c>
      <c r="AS11" s="21" t="str">
        <f t="shared" si="16"/>
        <v/>
      </c>
      <c r="AT11" s="21" t="str">
        <f t="shared" si="16"/>
        <v/>
      </c>
      <c r="AU11" s="21" t="str">
        <f t="shared" si="16"/>
        <v/>
      </c>
      <c r="AV11" s="21" t="str">
        <f t="shared" si="16"/>
        <v/>
      </c>
      <c r="AW11" s="21" t="str">
        <f t="shared" si="16"/>
        <v/>
      </c>
      <c r="AX11" s="21" t="str">
        <f t="shared" si="16"/>
        <v/>
      </c>
      <c r="AY11" s="21" t="str">
        <f t="shared" si="16"/>
        <v/>
      </c>
      <c r="AZ11" s="21" t="str">
        <f t="shared" si="16"/>
        <v/>
      </c>
      <c r="BA11" s="21" t="str">
        <f t="shared" si="16"/>
        <v/>
      </c>
      <c r="BB11" s="21" t="str">
        <f t="shared" si="16"/>
        <v/>
      </c>
      <c r="BC11" s="21" t="str">
        <f t="shared" si="16"/>
        <v/>
      </c>
      <c r="BD11" s="21" t="str">
        <f t="shared" si="16"/>
        <v/>
      </c>
      <c r="BE11" s="21" t="str">
        <f t="shared" si="16"/>
        <v/>
      </c>
      <c r="BF11" s="21" t="str">
        <f t="shared" si="16"/>
        <v/>
      </c>
      <c r="BG11" s="34"/>
    </row>
    <row r="12" spans="1:59" customFormat="1">
      <c r="A12" s="83"/>
      <c r="B12" s="12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20" t="str">
        <f t="shared" si="4"/>
        <v/>
      </c>
      <c r="AD12" s="30"/>
      <c r="AE12" s="30"/>
      <c r="AF12" s="19" t="str">
        <f>IF(AB12="","",(AD12+(AE12/36))*AB12)</f>
        <v/>
      </c>
      <c r="AG12" s="71"/>
      <c r="AH12" s="21" t="str">
        <f t="shared" si="5"/>
        <v/>
      </c>
      <c r="AI12" s="21" t="str">
        <f t="shared" si="6"/>
        <v/>
      </c>
      <c r="AJ12" s="21" t="str">
        <f t="shared" si="7"/>
        <v/>
      </c>
      <c r="AK12" s="21" t="str">
        <f t="shared" si="8"/>
        <v/>
      </c>
      <c r="AL12" s="21" t="str">
        <f t="shared" si="9"/>
        <v/>
      </c>
      <c r="AM12" s="21" t="str">
        <f t="shared" si="10"/>
        <v/>
      </c>
      <c r="AN12" s="21" t="str">
        <f t="shared" si="11"/>
        <v/>
      </c>
      <c r="AO12" s="21" t="str">
        <f t="shared" si="12"/>
        <v/>
      </c>
      <c r="AP12" s="21" t="str">
        <f t="shared" si="13"/>
        <v/>
      </c>
      <c r="AQ12" s="21" t="str">
        <f t="shared" si="14"/>
        <v/>
      </c>
      <c r="AR12" s="21" t="str">
        <f t="shared" si="16"/>
        <v/>
      </c>
      <c r="AS12" s="21" t="str">
        <f t="shared" si="16"/>
        <v/>
      </c>
      <c r="AT12" s="21" t="str">
        <f t="shared" si="16"/>
        <v/>
      </c>
      <c r="AU12" s="21" t="str">
        <f t="shared" si="16"/>
        <v/>
      </c>
      <c r="AV12" s="21" t="str">
        <f t="shared" si="16"/>
        <v/>
      </c>
      <c r="AW12" s="21" t="str">
        <f t="shared" si="16"/>
        <v/>
      </c>
      <c r="AX12" s="21" t="str">
        <f t="shared" si="16"/>
        <v/>
      </c>
      <c r="AY12" s="21" t="str">
        <f t="shared" si="16"/>
        <v/>
      </c>
      <c r="AZ12" s="21" t="str">
        <f t="shared" si="16"/>
        <v/>
      </c>
      <c r="BA12" s="21" t="str">
        <f t="shared" si="16"/>
        <v/>
      </c>
      <c r="BB12" s="21" t="str">
        <f t="shared" si="16"/>
        <v/>
      </c>
      <c r="BC12" s="21" t="str">
        <f t="shared" si="16"/>
        <v/>
      </c>
      <c r="BD12" s="21" t="str">
        <f t="shared" si="16"/>
        <v/>
      </c>
      <c r="BE12" s="21" t="str">
        <f t="shared" si="16"/>
        <v/>
      </c>
      <c r="BF12" s="21" t="str">
        <f t="shared" si="16"/>
        <v/>
      </c>
      <c r="BG12" s="34"/>
    </row>
    <row r="13" spans="1:59" customFormat="1">
      <c r="A13" s="83"/>
      <c r="B13" s="12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20" t="str">
        <f t="shared" si="4"/>
        <v/>
      </c>
      <c r="AD13" s="30"/>
      <c r="AE13" s="30"/>
      <c r="AF13" s="19" t="str">
        <f>IF(AB13="","",(AD13+(AE13/36))*AB13)</f>
        <v/>
      </c>
      <c r="AG13" s="71"/>
      <c r="AH13" s="21" t="str">
        <f t="shared" si="5"/>
        <v/>
      </c>
      <c r="AI13" s="21" t="str">
        <f t="shared" si="6"/>
        <v/>
      </c>
      <c r="AJ13" s="21" t="str">
        <f t="shared" si="7"/>
        <v/>
      </c>
      <c r="AK13" s="21" t="str">
        <f t="shared" si="8"/>
        <v/>
      </c>
      <c r="AL13" s="21" t="str">
        <f t="shared" si="9"/>
        <v/>
      </c>
      <c r="AM13" s="21" t="str">
        <f t="shared" si="10"/>
        <v/>
      </c>
      <c r="AN13" s="21" t="str">
        <f t="shared" si="11"/>
        <v/>
      </c>
      <c r="AO13" s="21" t="str">
        <f t="shared" si="12"/>
        <v/>
      </c>
      <c r="AP13" s="21" t="str">
        <f t="shared" si="13"/>
        <v/>
      </c>
      <c r="AQ13" s="21" t="str">
        <f t="shared" si="14"/>
        <v/>
      </c>
      <c r="AR13" s="21" t="str">
        <f t="shared" si="16"/>
        <v/>
      </c>
      <c r="AS13" s="21" t="str">
        <f t="shared" si="16"/>
        <v/>
      </c>
      <c r="AT13" s="21" t="str">
        <f t="shared" si="16"/>
        <v/>
      </c>
      <c r="AU13" s="21" t="str">
        <f t="shared" si="16"/>
        <v/>
      </c>
      <c r="AV13" s="21" t="str">
        <f t="shared" si="16"/>
        <v/>
      </c>
      <c r="AW13" s="21" t="str">
        <f t="shared" si="16"/>
        <v/>
      </c>
      <c r="AX13" s="21" t="str">
        <f t="shared" si="16"/>
        <v/>
      </c>
      <c r="AY13" s="21" t="str">
        <f t="shared" si="16"/>
        <v/>
      </c>
      <c r="AZ13" s="21" t="str">
        <f t="shared" si="16"/>
        <v/>
      </c>
      <c r="BA13" s="21" t="str">
        <f t="shared" si="16"/>
        <v/>
      </c>
      <c r="BB13" s="21" t="str">
        <f t="shared" si="16"/>
        <v/>
      </c>
      <c r="BC13" s="21" t="str">
        <f t="shared" si="16"/>
        <v/>
      </c>
      <c r="BD13" s="21" t="str">
        <f t="shared" si="16"/>
        <v/>
      </c>
      <c r="BE13" s="21" t="str">
        <f t="shared" si="16"/>
        <v/>
      </c>
      <c r="BF13" s="21" t="str">
        <f t="shared" si="16"/>
        <v/>
      </c>
      <c r="BG13" s="34"/>
    </row>
    <row r="14" spans="1:59" customFormat="1">
      <c r="A14" s="83"/>
      <c r="B14" s="12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20" t="str">
        <f t="shared" si="4"/>
        <v/>
      </c>
      <c r="AD14" s="30"/>
      <c r="AE14" s="30"/>
      <c r="AF14" s="19" t="str">
        <f>IF(AB14="","",(AD14+(AE14/36))*AB14)</f>
        <v/>
      </c>
      <c r="AG14" s="71"/>
      <c r="AH14" s="21" t="str">
        <f t="shared" si="5"/>
        <v/>
      </c>
      <c r="AI14" s="21" t="str">
        <f t="shared" si="6"/>
        <v/>
      </c>
      <c r="AJ14" s="21" t="str">
        <f t="shared" si="7"/>
        <v/>
      </c>
      <c r="AK14" s="21" t="str">
        <f t="shared" si="8"/>
        <v/>
      </c>
      <c r="AL14" s="21" t="str">
        <f t="shared" si="9"/>
        <v/>
      </c>
      <c r="AM14" s="21" t="str">
        <f t="shared" si="10"/>
        <v/>
      </c>
      <c r="AN14" s="21" t="str">
        <f t="shared" si="11"/>
        <v/>
      </c>
      <c r="AO14" s="21" t="str">
        <f t="shared" si="12"/>
        <v/>
      </c>
      <c r="AP14" s="21" t="str">
        <f t="shared" si="13"/>
        <v/>
      </c>
      <c r="AQ14" s="21" t="str">
        <f t="shared" si="14"/>
        <v/>
      </c>
      <c r="AR14" s="21" t="str">
        <f t="shared" si="16"/>
        <v/>
      </c>
      <c r="AS14" s="21" t="str">
        <f t="shared" si="16"/>
        <v/>
      </c>
      <c r="AT14" s="21" t="str">
        <f t="shared" si="16"/>
        <v/>
      </c>
      <c r="AU14" s="21" t="str">
        <f t="shared" si="16"/>
        <v/>
      </c>
      <c r="AV14" s="21" t="str">
        <f t="shared" si="16"/>
        <v/>
      </c>
      <c r="AW14" s="21" t="str">
        <f t="shared" si="16"/>
        <v/>
      </c>
      <c r="AX14" s="21" t="str">
        <f t="shared" si="16"/>
        <v/>
      </c>
      <c r="AY14" s="21" t="str">
        <f t="shared" si="16"/>
        <v/>
      </c>
      <c r="AZ14" s="21" t="str">
        <f t="shared" si="16"/>
        <v/>
      </c>
      <c r="BA14" s="21" t="str">
        <f t="shared" si="16"/>
        <v/>
      </c>
      <c r="BB14" s="21" t="str">
        <f t="shared" si="16"/>
        <v/>
      </c>
      <c r="BC14" s="21" t="str">
        <f t="shared" si="16"/>
        <v/>
      </c>
      <c r="BD14" s="21" t="str">
        <f t="shared" si="16"/>
        <v/>
      </c>
      <c r="BE14" s="21" t="str">
        <f t="shared" si="16"/>
        <v/>
      </c>
      <c r="BF14" s="21" t="str">
        <f t="shared" si="16"/>
        <v/>
      </c>
      <c r="BG14" s="34"/>
    </row>
    <row r="15" spans="1:59" customFormat="1">
      <c r="A15" s="83"/>
      <c r="B15" s="12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20" t="str">
        <f t="shared" si="4"/>
        <v/>
      </c>
      <c r="AD15" s="13"/>
      <c r="AE15" s="13"/>
      <c r="AF15" s="19" t="str">
        <f t="shared" ref="AF15:AF24" si="17">IF(AB15="","",(AD15+(AE15/36))*AB15)</f>
        <v/>
      </c>
      <c r="AG15" s="71"/>
      <c r="AH15" s="21" t="str">
        <f t="shared" si="5"/>
        <v/>
      </c>
      <c r="AI15" s="21" t="str">
        <f t="shared" si="6"/>
        <v/>
      </c>
      <c r="AJ15" s="21" t="str">
        <f t="shared" si="7"/>
        <v/>
      </c>
      <c r="AK15" s="21" t="str">
        <f t="shared" si="8"/>
        <v/>
      </c>
      <c r="AL15" s="21" t="str">
        <f t="shared" si="9"/>
        <v/>
      </c>
      <c r="AM15" s="21" t="str">
        <f t="shared" si="10"/>
        <v/>
      </c>
      <c r="AN15" s="21" t="str">
        <f t="shared" si="11"/>
        <v/>
      </c>
      <c r="AO15" s="21" t="str">
        <f t="shared" si="12"/>
        <v/>
      </c>
      <c r="AP15" s="21" t="str">
        <f t="shared" si="13"/>
        <v/>
      </c>
      <c r="AQ15" s="21" t="str">
        <f t="shared" si="14"/>
        <v/>
      </c>
      <c r="AR15" s="21" t="str">
        <f t="shared" si="16"/>
        <v/>
      </c>
      <c r="AS15" s="21" t="str">
        <f t="shared" si="16"/>
        <v/>
      </c>
      <c r="AT15" s="21" t="str">
        <f t="shared" si="16"/>
        <v/>
      </c>
      <c r="AU15" s="21" t="str">
        <f t="shared" si="16"/>
        <v/>
      </c>
      <c r="AV15" s="21" t="str">
        <f t="shared" si="16"/>
        <v/>
      </c>
      <c r="AW15" s="21" t="str">
        <f t="shared" si="16"/>
        <v/>
      </c>
      <c r="AX15" s="21" t="str">
        <f t="shared" si="16"/>
        <v/>
      </c>
      <c r="AY15" s="21" t="str">
        <f t="shared" si="16"/>
        <v/>
      </c>
      <c r="AZ15" s="21" t="str">
        <f t="shared" si="16"/>
        <v/>
      </c>
      <c r="BA15" s="21" t="str">
        <f t="shared" si="16"/>
        <v/>
      </c>
      <c r="BB15" s="21" t="str">
        <f t="shared" si="16"/>
        <v/>
      </c>
      <c r="BC15" s="21" t="str">
        <f t="shared" si="16"/>
        <v/>
      </c>
      <c r="BD15" s="21" t="str">
        <f t="shared" si="16"/>
        <v/>
      </c>
      <c r="BE15" s="21" t="str">
        <f t="shared" si="16"/>
        <v/>
      </c>
      <c r="BF15" s="21" t="str">
        <f t="shared" si="16"/>
        <v/>
      </c>
      <c r="BG15" s="34"/>
    </row>
    <row r="16" spans="1:59" customFormat="1">
      <c r="A16" s="83"/>
      <c r="B16" s="12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20" t="str">
        <f t="shared" si="4"/>
        <v/>
      </c>
      <c r="AD16" s="13"/>
      <c r="AE16" s="13"/>
      <c r="AF16" s="19" t="str">
        <f t="shared" si="17"/>
        <v/>
      </c>
      <c r="AG16" s="71"/>
      <c r="AH16" s="21" t="str">
        <f t="shared" si="5"/>
        <v/>
      </c>
      <c r="AI16" s="21" t="str">
        <f t="shared" si="6"/>
        <v/>
      </c>
      <c r="AJ16" s="21" t="str">
        <f t="shared" si="7"/>
        <v/>
      </c>
      <c r="AK16" s="21" t="str">
        <f t="shared" si="8"/>
        <v/>
      </c>
      <c r="AL16" s="21" t="str">
        <f t="shared" si="9"/>
        <v/>
      </c>
      <c r="AM16" s="21" t="str">
        <f t="shared" si="10"/>
        <v/>
      </c>
      <c r="AN16" s="21" t="str">
        <f t="shared" si="11"/>
        <v/>
      </c>
      <c r="AO16" s="21" t="str">
        <f t="shared" si="12"/>
        <v/>
      </c>
      <c r="AP16" s="21" t="str">
        <f t="shared" si="13"/>
        <v/>
      </c>
      <c r="AQ16" s="21" t="str">
        <f t="shared" si="14"/>
        <v/>
      </c>
      <c r="AR16" s="21" t="str">
        <f t="shared" si="16"/>
        <v/>
      </c>
      <c r="AS16" s="21" t="str">
        <f t="shared" si="16"/>
        <v/>
      </c>
      <c r="AT16" s="21" t="str">
        <f t="shared" si="16"/>
        <v/>
      </c>
      <c r="AU16" s="21" t="str">
        <f t="shared" si="16"/>
        <v/>
      </c>
      <c r="AV16" s="21" t="str">
        <f t="shared" si="16"/>
        <v/>
      </c>
      <c r="AW16" s="21" t="str">
        <f t="shared" si="16"/>
        <v/>
      </c>
      <c r="AX16" s="21" t="str">
        <f t="shared" si="16"/>
        <v/>
      </c>
      <c r="AY16" s="21" t="str">
        <f t="shared" si="16"/>
        <v/>
      </c>
      <c r="AZ16" s="21" t="str">
        <f t="shared" si="16"/>
        <v/>
      </c>
      <c r="BA16" s="21" t="str">
        <f t="shared" si="16"/>
        <v/>
      </c>
      <c r="BB16" s="21" t="str">
        <f t="shared" si="16"/>
        <v/>
      </c>
      <c r="BC16" s="21" t="str">
        <f t="shared" si="16"/>
        <v/>
      </c>
      <c r="BD16" s="21" t="str">
        <f t="shared" si="16"/>
        <v/>
      </c>
      <c r="BE16" s="21" t="str">
        <f t="shared" si="16"/>
        <v/>
      </c>
      <c r="BF16" s="21" t="str">
        <f t="shared" si="16"/>
        <v/>
      </c>
      <c r="BG16" s="34"/>
    </row>
    <row r="17" spans="1:59" customFormat="1">
      <c r="A17" s="83"/>
      <c r="B17" s="12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20" t="str">
        <f t="shared" si="4"/>
        <v/>
      </c>
      <c r="AD17" s="13"/>
      <c r="AE17" s="13"/>
      <c r="AF17" s="19" t="str">
        <f t="shared" si="17"/>
        <v/>
      </c>
      <c r="AG17" s="71"/>
      <c r="AH17" s="21" t="str">
        <f t="shared" si="5"/>
        <v/>
      </c>
      <c r="AI17" s="21" t="str">
        <f t="shared" si="6"/>
        <v/>
      </c>
      <c r="AJ17" s="21" t="str">
        <f t="shared" si="7"/>
        <v/>
      </c>
      <c r="AK17" s="21" t="str">
        <f t="shared" si="8"/>
        <v/>
      </c>
      <c r="AL17" s="21" t="str">
        <f t="shared" si="9"/>
        <v/>
      </c>
      <c r="AM17" s="21" t="str">
        <f t="shared" si="10"/>
        <v/>
      </c>
      <c r="AN17" s="21" t="str">
        <f t="shared" si="11"/>
        <v/>
      </c>
      <c r="AO17" s="21" t="str">
        <f t="shared" si="12"/>
        <v/>
      </c>
      <c r="AP17" s="21" t="str">
        <f t="shared" si="13"/>
        <v/>
      </c>
      <c r="AQ17" s="21" t="str">
        <f t="shared" si="14"/>
        <v/>
      </c>
      <c r="AR17" s="21" t="str">
        <f t="shared" si="16"/>
        <v/>
      </c>
      <c r="AS17" s="21" t="str">
        <f t="shared" si="16"/>
        <v/>
      </c>
      <c r="AT17" s="21" t="str">
        <f t="shared" si="16"/>
        <v/>
      </c>
      <c r="AU17" s="21" t="str">
        <f t="shared" si="16"/>
        <v/>
      </c>
      <c r="AV17" s="21" t="str">
        <f t="shared" si="16"/>
        <v/>
      </c>
      <c r="AW17" s="21" t="str">
        <f t="shared" si="16"/>
        <v/>
      </c>
      <c r="AX17" s="21" t="str">
        <f t="shared" si="16"/>
        <v/>
      </c>
      <c r="AY17" s="21" t="str">
        <f t="shared" si="16"/>
        <v/>
      </c>
      <c r="AZ17" s="21" t="str">
        <f t="shared" si="16"/>
        <v/>
      </c>
      <c r="BA17" s="21" t="str">
        <f t="shared" si="16"/>
        <v/>
      </c>
      <c r="BB17" s="21" t="str">
        <f t="shared" si="16"/>
        <v/>
      </c>
      <c r="BC17" s="21" t="str">
        <f t="shared" si="16"/>
        <v/>
      </c>
      <c r="BD17" s="21" t="str">
        <f t="shared" si="16"/>
        <v/>
      </c>
      <c r="BE17" s="21" t="str">
        <f t="shared" si="16"/>
        <v/>
      </c>
      <c r="BF17" s="21" t="str">
        <f t="shared" si="16"/>
        <v/>
      </c>
      <c r="BG17" s="34"/>
    </row>
    <row r="18" spans="1:59" customFormat="1">
      <c r="A18" s="83"/>
      <c r="B18" s="12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20" t="str">
        <f t="shared" si="4"/>
        <v/>
      </c>
      <c r="AD18" s="13"/>
      <c r="AE18" s="13"/>
      <c r="AF18" s="19" t="str">
        <f t="shared" si="17"/>
        <v/>
      </c>
      <c r="AG18" s="71"/>
      <c r="AH18" s="21" t="str">
        <f t="shared" si="5"/>
        <v/>
      </c>
      <c r="AI18" s="21" t="str">
        <f t="shared" si="6"/>
        <v/>
      </c>
      <c r="AJ18" s="21" t="str">
        <f t="shared" si="7"/>
        <v/>
      </c>
      <c r="AK18" s="21" t="str">
        <f t="shared" si="8"/>
        <v/>
      </c>
      <c r="AL18" s="21" t="str">
        <f t="shared" si="9"/>
        <v/>
      </c>
      <c r="AM18" s="21" t="str">
        <f t="shared" si="10"/>
        <v/>
      </c>
      <c r="AN18" s="21" t="str">
        <f t="shared" si="11"/>
        <v/>
      </c>
      <c r="AO18" s="21" t="str">
        <f t="shared" si="12"/>
        <v/>
      </c>
      <c r="AP18" s="21" t="str">
        <f t="shared" si="13"/>
        <v/>
      </c>
      <c r="AQ18" s="21" t="str">
        <f t="shared" si="14"/>
        <v/>
      </c>
      <c r="AR18" s="21" t="str">
        <f t="shared" si="16"/>
        <v/>
      </c>
      <c r="AS18" s="21" t="str">
        <f t="shared" si="16"/>
        <v/>
      </c>
      <c r="AT18" s="21" t="str">
        <f t="shared" si="16"/>
        <v/>
      </c>
      <c r="AU18" s="21" t="str">
        <f t="shared" si="16"/>
        <v/>
      </c>
      <c r="AV18" s="21" t="str">
        <f t="shared" si="16"/>
        <v/>
      </c>
      <c r="AW18" s="21" t="str">
        <f t="shared" si="16"/>
        <v/>
      </c>
      <c r="AX18" s="21" t="str">
        <f t="shared" si="16"/>
        <v/>
      </c>
      <c r="AY18" s="21" t="str">
        <f t="shared" si="16"/>
        <v/>
      </c>
      <c r="AZ18" s="21" t="str">
        <f t="shared" si="16"/>
        <v/>
      </c>
      <c r="BA18" s="21" t="str">
        <f t="shared" si="16"/>
        <v/>
      </c>
      <c r="BB18" s="21" t="str">
        <f t="shared" si="16"/>
        <v/>
      </c>
      <c r="BC18" s="21" t="str">
        <f t="shared" si="16"/>
        <v/>
      </c>
      <c r="BD18" s="21" t="str">
        <f t="shared" si="16"/>
        <v/>
      </c>
      <c r="BE18" s="21" t="str">
        <f t="shared" si="16"/>
        <v/>
      </c>
      <c r="BF18" s="21" t="str">
        <f t="shared" si="16"/>
        <v/>
      </c>
      <c r="BG18" s="34"/>
    </row>
    <row r="19" spans="1:59" customFormat="1">
      <c r="A19" s="83"/>
      <c r="B19" s="12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20" t="str">
        <f t="shared" si="4"/>
        <v/>
      </c>
      <c r="AD19" s="13"/>
      <c r="AE19" s="13"/>
      <c r="AF19" s="19" t="str">
        <f t="shared" si="17"/>
        <v/>
      </c>
      <c r="AG19" s="71"/>
      <c r="AH19" s="21" t="str">
        <f t="shared" si="5"/>
        <v/>
      </c>
      <c r="AI19" s="21" t="str">
        <f t="shared" si="6"/>
        <v/>
      </c>
      <c r="AJ19" s="21" t="str">
        <f t="shared" si="7"/>
        <v/>
      </c>
      <c r="AK19" s="21" t="str">
        <f t="shared" si="8"/>
        <v/>
      </c>
      <c r="AL19" s="21" t="str">
        <f t="shared" si="9"/>
        <v/>
      </c>
      <c r="AM19" s="21" t="str">
        <f t="shared" si="10"/>
        <v/>
      </c>
      <c r="AN19" s="21" t="str">
        <f t="shared" si="11"/>
        <v/>
      </c>
      <c r="AO19" s="21" t="str">
        <f t="shared" si="12"/>
        <v/>
      </c>
      <c r="AP19" s="21" t="str">
        <f t="shared" si="13"/>
        <v/>
      </c>
      <c r="AQ19" s="21" t="str">
        <f t="shared" si="14"/>
        <v/>
      </c>
      <c r="AR19" s="21" t="str">
        <f t="shared" si="16"/>
        <v/>
      </c>
      <c r="AS19" s="21" t="str">
        <f t="shared" si="16"/>
        <v/>
      </c>
      <c r="AT19" s="21" t="str">
        <f t="shared" si="16"/>
        <v/>
      </c>
      <c r="AU19" s="21" t="str">
        <f t="shared" si="16"/>
        <v/>
      </c>
      <c r="AV19" s="21" t="str">
        <f t="shared" si="16"/>
        <v/>
      </c>
      <c r="AW19" s="21" t="str">
        <f t="shared" si="16"/>
        <v/>
      </c>
      <c r="AX19" s="21" t="str">
        <f t="shared" si="16"/>
        <v/>
      </c>
      <c r="AY19" s="21" t="str">
        <f t="shared" si="16"/>
        <v/>
      </c>
      <c r="AZ19" s="21" t="str">
        <f t="shared" si="16"/>
        <v/>
      </c>
      <c r="BA19" s="21" t="str">
        <f t="shared" si="16"/>
        <v/>
      </c>
      <c r="BB19" s="21" t="str">
        <f t="shared" si="16"/>
        <v/>
      </c>
      <c r="BC19" s="21" t="str">
        <f t="shared" si="16"/>
        <v/>
      </c>
      <c r="BD19" s="21" t="str">
        <f t="shared" si="16"/>
        <v/>
      </c>
      <c r="BE19" s="21" t="str">
        <f t="shared" si="16"/>
        <v/>
      </c>
      <c r="BF19" s="21" t="str">
        <f t="shared" si="16"/>
        <v/>
      </c>
      <c r="BG19" s="34"/>
    </row>
    <row r="20" spans="1:59" customFormat="1">
      <c r="A20" s="83"/>
      <c r="B20" s="12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25"/>
      <c r="Z20" s="30"/>
      <c r="AA20" s="30"/>
      <c r="AB20" s="30"/>
      <c r="AC20" s="20" t="str">
        <f t="shared" si="4"/>
        <v/>
      </c>
      <c r="AD20" s="13"/>
      <c r="AE20" s="13"/>
      <c r="AF20" s="19" t="str">
        <f t="shared" si="17"/>
        <v/>
      </c>
      <c r="AG20" s="71"/>
      <c r="AH20" s="21" t="str">
        <f t="shared" si="5"/>
        <v/>
      </c>
      <c r="AI20" s="21" t="str">
        <f t="shared" si="6"/>
        <v/>
      </c>
      <c r="AJ20" s="21" t="str">
        <f t="shared" si="7"/>
        <v/>
      </c>
      <c r="AK20" s="21" t="str">
        <f t="shared" si="8"/>
        <v/>
      </c>
      <c r="AL20" s="21" t="str">
        <f t="shared" si="9"/>
        <v/>
      </c>
      <c r="AM20" s="21" t="str">
        <f t="shared" si="10"/>
        <v/>
      </c>
      <c r="AN20" s="21" t="str">
        <f t="shared" si="11"/>
        <v/>
      </c>
      <c r="AO20" s="21" t="str">
        <f t="shared" si="12"/>
        <v/>
      </c>
      <c r="AP20" s="21" t="str">
        <f t="shared" si="13"/>
        <v/>
      </c>
      <c r="AQ20" s="21" t="str">
        <f t="shared" si="14"/>
        <v/>
      </c>
      <c r="AR20" s="21" t="str">
        <f t="shared" si="16"/>
        <v/>
      </c>
      <c r="AS20" s="21" t="str">
        <f t="shared" si="16"/>
        <v/>
      </c>
      <c r="AT20" s="21" t="str">
        <f t="shared" si="16"/>
        <v/>
      </c>
      <c r="AU20" s="21" t="str">
        <f t="shared" si="16"/>
        <v/>
      </c>
      <c r="AV20" s="21" t="str">
        <f t="shared" si="16"/>
        <v/>
      </c>
      <c r="AW20" s="21" t="str">
        <f t="shared" si="16"/>
        <v/>
      </c>
      <c r="AX20" s="21" t="str">
        <f t="shared" si="16"/>
        <v/>
      </c>
      <c r="AY20" s="21" t="str">
        <f t="shared" si="16"/>
        <v/>
      </c>
      <c r="AZ20" s="21" t="str">
        <f t="shared" si="16"/>
        <v/>
      </c>
      <c r="BA20" s="21" t="str">
        <f t="shared" si="16"/>
        <v/>
      </c>
      <c r="BB20" s="21" t="str">
        <f t="shared" si="16"/>
        <v/>
      </c>
      <c r="BC20" s="21" t="str">
        <f t="shared" si="16"/>
        <v/>
      </c>
      <c r="BD20" s="21" t="str">
        <f t="shared" si="16"/>
        <v/>
      </c>
      <c r="BE20" s="21" t="str">
        <f t="shared" si="16"/>
        <v/>
      </c>
      <c r="BF20" s="21" t="str">
        <f t="shared" si="16"/>
        <v/>
      </c>
      <c r="BG20" s="34"/>
    </row>
    <row r="21" spans="1:59" customFormat="1">
      <c r="A21" s="83"/>
      <c r="B21" s="12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20" t="str">
        <f t="shared" si="4"/>
        <v/>
      </c>
      <c r="AD21" s="13"/>
      <c r="AE21" s="13"/>
      <c r="AF21" s="19" t="str">
        <f t="shared" si="17"/>
        <v/>
      </c>
      <c r="AG21" s="71"/>
      <c r="AH21" s="21" t="str">
        <f t="shared" si="5"/>
        <v/>
      </c>
      <c r="AI21" s="21" t="str">
        <f t="shared" si="6"/>
        <v/>
      </c>
      <c r="AJ21" s="21" t="str">
        <f t="shared" si="7"/>
        <v/>
      </c>
      <c r="AK21" s="21" t="str">
        <f t="shared" si="8"/>
        <v/>
      </c>
      <c r="AL21" s="21" t="str">
        <f t="shared" si="9"/>
        <v/>
      </c>
      <c r="AM21" s="21" t="str">
        <f t="shared" si="10"/>
        <v/>
      </c>
      <c r="AN21" s="21" t="str">
        <f t="shared" si="11"/>
        <v/>
      </c>
      <c r="AO21" s="21" t="str">
        <f t="shared" si="12"/>
        <v/>
      </c>
      <c r="AP21" s="21" t="str">
        <f t="shared" si="13"/>
        <v/>
      </c>
      <c r="AQ21" s="21" t="str">
        <f t="shared" si="14"/>
        <v/>
      </c>
      <c r="AR21" s="21" t="str">
        <f t="shared" si="16"/>
        <v/>
      </c>
      <c r="AS21" s="21" t="str">
        <f t="shared" si="16"/>
        <v/>
      </c>
      <c r="AT21" s="21" t="str">
        <f t="shared" si="16"/>
        <v/>
      </c>
      <c r="AU21" s="21" t="str">
        <f t="shared" si="16"/>
        <v/>
      </c>
      <c r="AV21" s="21" t="str">
        <f t="shared" si="16"/>
        <v/>
      </c>
      <c r="AW21" s="21" t="str">
        <f t="shared" si="16"/>
        <v/>
      </c>
      <c r="AX21" s="21" t="str">
        <f t="shared" si="16"/>
        <v/>
      </c>
      <c r="AY21" s="21" t="str">
        <f t="shared" si="16"/>
        <v/>
      </c>
      <c r="AZ21" s="21" t="str">
        <f t="shared" si="16"/>
        <v/>
      </c>
      <c r="BA21" s="21" t="str">
        <f t="shared" si="16"/>
        <v/>
      </c>
      <c r="BB21" s="21" t="str">
        <f t="shared" si="16"/>
        <v/>
      </c>
      <c r="BC21" s="21" t="str">
        <f t="shared" si="16"/>
        <v/>
      </c>
      <c r="BD21" s="21" t="str">
        <f t="shared" si="16"/>
        <v/>
      </c>
      <c r="BE21" s="21" t="str">
        <f t="shared" si="16"/>
        <v/>
      </c>
      <c r="BF21" s="21" t="str">
        <f t="shared" si="16"/>
        <v/>
      </c>
      <c r="BG21" s="34"/>
    </row>
    <row r="22" spans="1:59" customFormat="1">
      <c r="A22" s="83"/>
      <c r="B22" s="12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20" t="str">
        <f t="shared" si="4"/>
        <v/>
      </c>
      <c r="AD22" s="13"/>
      <c r="AE22" s="13"/>
      <c r="AF22" s="19" t="str">
        <f t="shared" si="17"/>
        <v/>
      </c>
      <c r="AG22" s="71"/>
      <c r="AH22" s="21" t="str">
        <f t="shared" si="5"/>
        <v/>
      </c>
      <c r="AI22" s="21" t="str">
        <f t="shared" si="6"/>
        <v/>
      </c>
      <c r="AJ22" s="21" t="str">
        <f t="shared" si="7"/>
        <v/>
      </c>
      <c r="AK22" s="21" t="str">
        <f t="shared" si="8"/>
        <v/>
      </c>
      <c r="AL22" s="21" t="str">
        <f t="shared" si="9"/>
        <v/>
      </c>
      <c r="AM22" s="21" t="str">
        <f t="shared" si="10"/>
        <v/>
      </c>
      <c r="AN22" s="21" t="str">
        <f t="shared" si="11"/>
        <v/>
      </c>
      <c r="AO22" s="21" t="str">
        <f t="shared" si="12"/>
        <v/>
      </c>
      <c r="AP22" s="21" t="str">
        <f t="shared" si="13"/>
        <v/>
      </c>
      <c r="AQ22" s="21" t="str">
        <f t="shared" si="14"/>
        <v/>
      </c>
      <c r="AR22" s="21" t="str">
        <f t="shared" si="16"/>
        <v/>
      </c>
      <c r="AS22" s="21" t="str">
        <f t="shared" si="16"/>
        <v/>
      </c>
      <c r="AT22" s="21" t="str">
        <f t="shared" si="16"/>
        <v/>
      </c>
      <c r="AU22" s="21" t="str">
        <f t="shared" si="16"/>
        <v/>
      </c>
      <c r="AV22" s="21" t="str">
        <f t="shared" si="16"/>
        <v/>
      </c>
      <c r="AW22" s="21" t="str">
        <f t="shared" si="16"/>
        <v/>
      </c>
      <c r="AX22" s="21" t="str">
        <f t="shared" si="16"/>
        <v/>
      </c>
      <c r="AY22" s="21" t="str">
        <f t="shared" si="16"/>
        <v/>
      </c>
      <c r="AZ22" s="21" t="str">
        <f t="shared" si="16"/>
        <v/>
      </c>
      <c r="BA22" s="21" t="str">
        <f t="shared" si="16"/>
        <v/>
      </c>
      <c r="BB22" s="21" t="str">
        <f t="shared" si="16"/>
        <v/>
      </c>
      <c r="BC22" s="21" t="str">
        <f t="shared" si="16"/>
        <v/>
      </c>
      <c r="BD22" s="21" t="str">
        <f t="shared" si="16"/>
        <v/>
      </c>
      <c r="BE22" s="21" t="str">
        <f t="shared" si="16"/>
        <v/>
      </c>
      <c r="BF22" s="21" t="str">
        <f t="shared" si="16"/>
        <v/>
      </c>
      <c r="BG22" s="34"/>
    </row>
    <row r="23" spans="1:59" customFormat="1">
      <c r="A23" s="83"/>
      <c r="B23" s="12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20" t="str">
        <f t="shared" si="4"/>
        <v/>
      </c>
      <c r="AD23" s="13"/>
      <c r="AE23" s="13"/>
      <c r="AF23" s="19" t="str">
        <f t="shared" si="17"/>
        <v/>
      </c>
      <c r="AG23" s="71"/>
      <c r="AH23" s="21" t="str">
        <f t="shared" si="5"/>
        <v/>
      </c>
      <c r="AI23" s="21" t="str">
        <f t="shared" si="6"/>
        <v/>
      </c>
      <c r="AJ23" s="21" t="str">
        <f t="shared" si="7"/>
        <v/>
      </c>
      <c r="AK23" s="21" t="str">
        <f t="shared" si="8"/>
        <v/>
      </c>
      <c r="AL23" s="21" t="str">
        <f t="shared" si="9"/>
        <v/>
      </c>
      <c r="AM23" s="21" t="str">
        <f t="shared" si="10"/>
        <v/>
      </c>
      <c r="AN23" s="21" t="str">
        <f t="shared" si="11"/>
        <v/>
      </c>
      <c r="AO23" s="21" t="str">
        <f t="shared" si="12"/>
        <v/>
      </c>
      <c r="AP23" s="21" t="str">
        <f t="shared" si="13"/>
        <v/>
      </c>
      <c r="AQ23" s="21" t="str">
        <f t="shared" si="14"/>
        <v/>
      </c>
      <c r="AR23" s="21" t="str">
        <f t="shared" si="16"/>
        <v/>
      </c>
      <c r="AS23" s="21" t="str">
        <f t="shared" si="16"/>
        <v/>
      </c>
      <c r="AT23" s="21" t="str">
        <f t="shared" si="16"/>
        <v/>
      </c>
      <c r="AU23" s="21" t="str">
        <f t="shared" si="16"/>
        <v/>
      </c>
      <c r="AV23" s="21" t="str">
        <f t="shared" si="16"/>
        <v/>
      </c>
      <c r="AW23" s="21" t="str">
        <f t="shared" si="16"/>
        <v/>
      </c>
      <c r="AX23" s="21" t="str">
        <f t="shared" si="16"/>
        <v/>
      </c>
      <c r="AY23" s="21" t="str">
        <f t="shared" si="16"/>
        <v/>
      </c>
      <c r="AZ23" s="21" t="str">
        <f t="shared" si="16"/>
        <v/>
      </c>
      <c r="BA23" s="21" t="str">
        <f t="shared" si="16"/>
        <v/>
      </c>
      <c r="BB23" s="21" t="str">
        <f t="shared" si="16"/>
        <v/>
      </c>
      <c r="BC23" s="21" t="str">
        <f t="shared" si="16"/>
        <v/>
      </c>
      <c r="BD23" s="21" t="str">
        <f t="shared" si="16"/>
        <v/>
      </c>
      <c r="BE23" s="21" t="str">
        <f t="shared" si="16"/>
        <v/>
      </c>
      <c r="BF23" s="21" t="str">
        <f t="shared" si="16"/>
        <v/>
      </c>
      <c r="BG23" s="34"/>
    </row>
    <row r="24" spans="1:59" customFormat="1">
      <c r="A24" s="84"/>
      <c r="B24" s="12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20" t="str">
        <f t="shared" si="4"/>
        <v/>
      </c>
      <c r="AD24" s="13"/>
      <c r="AE24" s="13"/>
      <c r="AF24" s="19" t="str">
        <f t="shared" si="17"/>
        <v/>
      </c>
      <c r="AG24" s="72"/>
      <c r="AH24" s="21" t="str">
        <f t="shared" si="5"/>
        <v/>
      </c>
      <c r="AI24" s="21" t="str">
        <f t="shared" si="6"/>
        <v/>
      </c>
      <c r="AJ24" s="21" t="str">
        <f t="shared" si="7"/>
        <v/>
      </c>
      <c r="AK24" s="21" t="str">
        <f t="shared" si="8"/>
        <v/>
      </c>
      <c r="AL24" s="21" t="str">
        <f t="shared" si="9"/>
        <v/>
      </c>
      <c r="AM24" s="21" t="str">
        <f t="shared" si="10"/>
        <v/>
      </c>
      <c r="AN24" s="21" t="str">
        <f t="shared" si="11"/>
        <v/>
      </c>
      <c r="AO24" s="21" t="str">
        <f t="shared" si="12"/>
        <v/>
      </c>
      <c r="AP24" s="21" t="str">
        <f t="shared" si="13"/>
        <v/>
      </c>
      <c r="AQ24" s="21" t="str">
        <f t="shared" si="14"/>
        <v/>
      </c>
      <c r="AR24" s="21" t="str">
        <f t="shared" si="16"/>
        <v/>
      </c>
      <c r="AS24" s="21" t="str">
        <f t="shared" si="16"/>
        <v/>
      </c>
      <c r="AT24" s="21" t="str">
        <f t="shared" si="16"/>
        <v/>
      </c>
      <c r="AU24" s="21" t="str">
        <f t="shared" si="16"/>
        <v/>
      </c>
      <c r="AV24" s="21" t="str">
        <f t="shared" si="16"/>
        <v/>
      </c>
      <c r="AW24" s="21" t="str">
        <f t="shared" si="16"/>
        <v/>
      </c>
      <c r="AX24" s="21" t="str">
        <f t="shared" si="16"/>
        <v/>
      </c>
      <c r="AY24" s="21" t="str">
        <f t="shared" si="16"/>
        <v/>
      </c>
      <c r="AZ24" s="21" t="str">
        <f t="shared" si="16"/>
        <v/>
      </c>
      <c r="BA24" s="21" t="str">
        <f t="shared" si="16"/>
        <v/>
      </c>
      <c r="BB24" s="21" t="str">
        <f t="shared" si="16"/>
        <v/>
      </c>
      <c r="BC24" s="21" t="str">
        <f t="shared" si="16"/>
        <v/>
      </c>
      <c r="BD24" s="21" t="str">
        <f t="shared" si="16"/>
        <v/>
      </c>
      <c r="BE24" s="21" t="str">
        <f t="shared" si="16"/>
        <v/>
      </c>
      <c r="BF24" s="21" t="str">
        <f t="shared" si="16"/>
        <v/>
      </c>
      <c r="BG24" s="34"/>
    </row>
    <row r="25" spans="1:59" s="39" customFormat="1" ht="15.75" thickBot="1">
      <c r="A25" s="22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7" t="s">
        <v>586</v>
      </c>
      <c r="AB25" s="77"/>
      <c r="AC25" s="23">
        <f>SUM(AC10:AC24)</f>
        <v>0</v>
      </c>
      <c r="AD25" s="77" t="s">
        <v>592</v>
      </c>
      <c r="AE25" s="77"/>
      <c r="AF25" s="23">
        <f>SUM(AF10:AF24)</f>
        <v>0</v>
      </c>
      <c r="AG25" s="24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5"/>
      <c r="BG25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7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10:A24"/>
    <mergeCell ref="AB8:AB9"/>
    <mergeCell ref="C3:E3"/>
    <mergeCell ref="F3:H3"/>
    <mergeCell ref="I3:J3"/>
    <mergeCell ref="K3:L3"/>
    <mergeCell ref="AH6:BF9"/>
    <mergeCell ref="M3:N3"/>
    <mergeCell ref="O3:P3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1:AF1"/>
    <mergeCell ref="AH1:AK1"/>
    <mergeCell ref="B2:E2"/>
    <mergeCell ref="G2:J2"/>
    <mergeCell ref="K2:L2"/>
  </mergeCells>
  <phoneticPr fontId="15" type="noConversion"/>
  <conditionalFormatting sqref="AE6:AF6 AC7">
    <cfRule type="cellIs" dxfId="24" priority="13" operator="lessThanOrEqual">
      <formula>0</formula>
    </cfRule>
  </conditionalFormatting>
  <conditionalFormatting sqref="AF10:AF25 AC10:AC25 AB6 AE5:AF5 C7:AB7 AH10:BF24 AH5:BF5 B10:B24">
    <cfRule type="notContainsBlanks" dxfId="23" priority="14">
      <formula>LEN(TRIM(B5))&gt;0</formula>
    </cfRule>
  </conditionalFormatting>
  <conditionalFormatting sqref="AE6:AF6">
    <cfRule type="cellIs" dxfId="22" priority="11" operator="greaterThanOrEqual">
      <formula>20</formula>
    </cfRule>
    <cfRule type="cellIs" dxfId="21" priority="12" operator="greaterThanOrEqual">
      <formula>1</formula>
    </cfRule>
  </conditionalFormatting>
  <conditionalFormatting sqref="AE7 AH1 A10 AD10:AE24 C5:AA6 C10:AB24 B2:B5 G2 AE4">
    <cfRule type="containsBlanks" dxfId="20" priority="15">
      <formula>LEN(TRIM(A1))=0</formula>
    </cfRule>
    <cfRule type="notContainsBlanks" dxfId="19" priority="16">
      <formula>LEN(TRIM(A1))&gt;0</formula>
    </cfRule>
  </conditionalFormatting>
  <conditionalFormatting sqref="F3">
    <cfRule type="containsBlanks" dxfId="18" priority="7">
      <formula>LEN(TRIM(F3))=0</formula>
    </cfRule>
    <cfRule type="notContainsBlanks" dxfId="17" priority="8">
      <formula>LEN(TRIM(F3))&gt;0</formula>
    </cfRule>
  </conditionalFormatting>
  <conditionalFormatting sqref="K3">
    <cfRule type="containsBlanks" dxfId="16" priority="5">
      <formula>LEN(TRIM(K3))=0</formula>
    </cfRule>
    <cfRule type="notContainsBlanks" dxfId="15" priority="6">
      <formula>LEN(TRIM(K3))&gt;0</formula>
    </cfRule>
  </conditionalFormatting>
  <conditionalFormatting sqref="M2">
    <cfRule type="notContainsBlanks" dxfId="14" priority="3">
      <formula>LEN(TRIM(M2))&gt;0</formula>
    </cfRule>
  </conditionalFormatting>
  <conditionalFormatting sqref="O3">
    <cfRule type="containsBlanks" dxfId="13" priority="1">
      <formula>LEN(TRIM(O3))=0</formula>
    </cfRule>
    <cfRule type="notContainsBlanks" dxfId="12" priority="2">
      <formula>LEN(TRIM(O3))&gt;0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3"/>
  <sheetViews>
    <sheetView showGridLines="0" zoomScale="85" zoomScaleNormal="85" workbookViewId="0">
      <selection activeCell="B8" sqref="B8"/>
    </sheetView>
  </sheetViews>
  <sheetFormatPr defaultColWidth="8.75" defaultRowHeight="14.25"/>
  <cols>
    <col min="1" max="1" width="15" style="40" customWidth="1"/>
    <col min="2" max="2" width="8.75" style="40"/>
    <col min="3" max="17" width="6.75" style="40" customWidth="1"/>
    <col min="18" max="27" width="6.75" style="40" hidden="1" customWidth="1"/>
    <col min="28" max="28" width="9.5" style="40" customWidth="1"/>
    <col min="29" max="29" width="10.25" style="40" customWidth="1"/>
    <col min="30" max="33" width="8.75" style="40"/>
    <col min="34" max="48" width="6.75" style="40" customWidth="1"/>
    <col min="49" max="58" width="6.75" style="40" hidden="1" customWidth="1"/>
    <col min="59" max="16384" width="8.75" style="40"/>
  </cols>
  <sheetData>
    <row r="1" spans="1:59" customFormat="1" ht="15">
      <c r="A1" s="18" t="s">
        <v>578</v>
      </c>
      <c r="B1" s="11"/>
      <c r="C1" s="55" t="s">
        <v>595</v>
      </c>
      <c r="D1" s="56"/>
      <c r="E1" s="57"/>
      <c r="F1" s="58"/>
      <c r="G1" s="59"/>
      <c r="H1" s="60"/>
      <c r="I1" s="55" t="s">
        <v>594</v>
      </c>
      <c r="J1" s="57"/>
      <c r="K1" s="61"/>
      <c r="L1" s="62"/>
      <c r="M1" s="55" t="s">
        <v>597</v>
      </c>
      <c r="N1" s="57"/>
      <c r="O1" s="61"/>
      <c r="P1" s="62"/>
      <c r="Q1" s="47"/>
      <c r="R1" s="47"/>
      <c r="S1" s="47"/>
      <c r="T1" s="47"/>
      <c r="U1" s="47"/>
      <c r="V1" s="47"/>
      <c r="W1" s="47"/>
      <c r="X1" s="47"/>
      <c r="Y1" s="47"/>
      <c r="Z1" s="47"/>
      <c r="AA1" s="48"/>
      <c r="AB1" s="64"/>
      <c r="AC1" s="64"/>
      <c r="AD1" s="64"/>
      <c r="AE1" s="64"/>
      <c r="AF1" s="64"/>
      <c r="AG1" s="64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6"/>
      <c r="AV1" s="9"/>
      <c r="AW1" s="9"/>
      <c r="AX1" s="9"/>
      <c r="AY1" s="9"/>
      <c r="AZ1" s="9"/>
      <c r="BA1" s="9"/>
      <c r="BB1" s="9"/>
      <c r="BC1" s="9"/>
      <c r="BD1" s="9"/>
      <c r="BE1" s="9"/>
      <c r="BF1" s="37"/>
      <c r="BG1" s="34"/>
    </row>
    <row r="2" spans="1:59" customFormat="1" ht="15">
      <c r="A2" s="42" t="s">
        <v>589</v>
      </c>
      <c r="B2" s="12"/>
      <c r="C2" s="67" t="s">
        <v>577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8" t="s">
        <v>590</v>
      </c>
      <c r="AC2" s="67" t="s">
        <v>579</v>
      </c>
      <c r="AD2" s="67"/>
      <c r="AE2" s="69"/>
      <c r="AF2" s="51"/>
      <c r="AG2" s="70"/>
      <c r="AH2" s="73" t="s">
        <v>577</v>
      </c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5"/>
      <c r="BG2" s="34"/>
    </row>
    <row r="3" spans="1:59" customFormat="1" ht="15">
      <c r="A3" s="41" t="s">
        <v>7</v>
      </c>
      <c r="B3" s="12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68"/>
      <c r="AC3" s="67" t="s">
        <v>580</v>
      </c>
      <c r="AD3" s="67"/>
      <c r="AE3" s="76">
        <f>SUM(AF8:AF22)</f>
        <v>0</v>
      </c>
      <c r="AF3" s="76"/>
      <c r="AG3" s="71"/>
      <c r="AH3" s="45" t="str">
        <f t="shared" ref="AH3:AU3" si="0">IF(C3="", "", C3)</f>
        <v/>
      </c>
      <c r="AI3" s="45" t="str">
        <f t="shared" si="0"/>
        <v/>
      </c>
      <c r="AJ3" s="45" t="str">
        <f t="shared" si="0"/>
        <v/>
      </c>
      <c r="AK3" s="45" t="str">
        <f t="shared" si="0"/>
        <v/>
      </c>
      <c r="AL3" s="45" t="str">
        <f t="shared" si="0"/>
        <v/>
      </c>
      <c r="AM3" s="45" t="str">
        <f t="shared" si="0"/>
        <v/>
      </c>
      <c r="AN3" s="45" t="str">
        <f t="shared" si="0"/>
        <v/>
      </c>
      <c r="AO3" s="45" t="str">
        <f t="shared" si="0"/>
        <v/>
      </c>
      <c r="AP3" s="45" t="str">
        <f t="shared" si="0"/>
        <v/>
      </c>
      <c r="AQ3" s="45" t="str">
        <f t="shared" si="0"/>
        <v/>
      </c>
      <c r="AR3" s="45" t="str">
        <f t="shared" si="0"/>
        <v/>
      </c>
      <c r="AS3" s="45" t="str">
        <f t="shared" si="0"/>
        <v/>
      </c>
      <c r="AT3" s="45" t="str">
        <f t="shared" si="0"/>
        <v/>
      </c>
      <c r="AU3" s="45" t="str">
        <f t="shared" si="0"/>
        <v/>
      </c>
      <c r="AV3" s="45" t="str">
        <f>IF(Q3="", "", Q3)</f>
        <v/>
      </c>
      <c r="AW3" s="45" t="str">
        <f t="shared" ref="AW3:BF3" si="1">IF(R3="", "", R3)</f>
        <v/>
      </c>
      <c r="AX3" s="45" t="str">
        <f t="shared" si="1"/>
        <v/>
      </c>
      <c r="AY3" s="45" t="str">
        <f t="shared" si="1"/>
        <v/>
      </c>
      <c r="AZ3" s="45" t="str">
        <f t="shared" si="1"/>
        <v/>
      </c>
      <c r="BA3" s="45" t="str">
        <f t="shared" si="1"/>
        <v/>
      </c>
      <c r="BB3" s="45" t="str">
        <f t="shared" si="1"/>
        <v/>
      </c>
      <c r="BC3" s="45" t="str">
        <f t="shared" si="1"/>
        <v/>
      </c>
      <c r="BD3" s="45" t="str">
        <f t="shared" si="1"/>
        <v/>
      </c>
      <c r="BE3" s="45" t="str">
        <f t="shared" si="1"/>
        <v/>
      </c>
      <c r="BF3" s="45" t="str">
        <f t="shared" si="1"/>
        <v/>
      </c>
      <c r="BG3" s="34"/>
    </row>
    <row r="4" spans="1:59" customFormat="1" ht="15">
      <c r="A4" s="78" t="s">
        <v>581</v>
      </c>
      <c r="B4" s="78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19">
        <f>SUM(C4:AA4)</f>
        <v>0</v>
      </c>
      <c r="AC4" s="79" t="str">
        <f>IF(AE4&lt;5,"NO ",IF(AE4=5,"OK",IF(AE4&gt;5,"OK")))</f>
        <v xml:space="preserve">NO </v>
      </c>
      <c r="AD4" s="79"/>
      <c r="AE4" s="76">
        <f>AE2-AE3-AE5</f>
        <v>0</v>
      </c>
      <c r="AF4" s="76"/>
      <c r="AG4" s="71"/>
      <c r="AH4" s="63" t="s">
        <v>593</v>
      </c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34"/>
    </row>
    <row r="5" spans="1:59" customFormat="1" ht="15">
      <c r="A5" s="78" t="s">
        <v>588</v>
      </c>
      <c r="B5" s="78"/>
      <c r="C5" s="46" t="str">
        <f t="shared" ref="C5:AA5" si="2">IF(C3="","",C4-C8*$AB8-C9*$AB9-C10*$AB10-C11*$AB11-C12*$AB12-C13*$AB13-C14*$AB14-C15*$AB15-C16*$AB16-C17*$AB17-C18*$AB18-C19*$AB19-C20*$AB20-C21*$AB21-C22*$AB22)</f>
        <v/>
      </c>
      <c r="D5" s="46" t="str">
        <f t="shared" si="2"/>
        <v/>
      </c>
      <c r="E5" s="46" t="str">
        <f t="shared" si="2"/>
        <v/>
      </c>
      <c r="F5" s="46" t="str">
        <f t="shared" si="2"/>
        <v/>
      </c>
      <c r="G5" s="46" t="str">
        <f t="shared" si="2"/>
        <v/>
      </c>
      <c r="H5" s="46" t="str">
        <f t="shared" si="2"/>
        <v/>
      </c>
      <c r="I5" s="46" t="str">
        <f t="shared" si="2"/>
        <v/>
      </c>
      <c r="J5" s="46" t="str">
        <f t="shared" si="2"/>
        <v/>
      </c>
      <c r="K5" s="46" t="str">
        <f t="shared" si="2"/>
        <v/>
      </c>
      <c r="L5" s="46" t="str">
        <f t="shared" si="2"/>
        <v/>
      </c>
      <c r="M5" s="46" t="str">
        <f t="shared" si="2"/>
        <v/>
      </c>
      <c r="N5" s="46" t="str">
        <f t="shared" si="2"/>
        <v/>
      </c>
      <c r="O5" s="46" t="str">
        <f t="shared" si="2"/>
        <v/>
      </c>
      <c r="P5" s="46" t="str">
        <f t="shared" si="2"/>
        <v/>
      </c>
      <c r="Q5" s="46" t="str">
        <f t="shared" si="2"/>
        <v/>
      </c>
      <c r="R5" s="46" t="str">
        <f t="shared" si="2"/>
        <v/>
      </c>
      <c r="S5" s="46" t="str">
        <f t="shared" si="2"/>
        <v/>
      </c>
      <c r="T5" s="46" t="str">
        <f t="shared" si="2"/>
        <v/>
      </c>
      <c r="U5" s="46" t="str">
        <f t="shared" si="2"/>
        <v/>
      </c>
      <c r="V5" s="46" t="str">
        <f t="shared" si="2"/>
        <v/>
      </c>
      <c r="W5" s="46" t="str">
        <f t="shared" si="2"/>
        <v/>
      </c>
      <c r="X5" s="46" t="str">
        <f t="shared" si="2"/>
        <v/>
      </c>
      <c r="Y5" s="46" t="str">
        <f t="shared" si="2"/>
        <v/>
      </c>
      <c r="Z5" s="46" t="str">
        <f t="shared" si="2"/>
        <v/>
      </c>
      <c r="AA5" s="46" t="str">
        <f t="shared" si="2"/>
        <v/>
      </c>
      <c r="AB5" s="46">
        <f>SUM(C5:AA5)</f>
        <v>0</v>
      </c>
      <c r="AC5" s="67" t="s">
        <v>587</v>
      </c>
      <c r="AD5" s="67"/>
      <c r="AE5" s="51"/>
      <c r="AF5" s="51"/>
      <c r="AG5" s="71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34"/>
    </row>
    <row r="6" spans="1:59" customFormat="1" ht="15">
      <c r="A6" s="80" t="s">
        <v>591</v>
      </c>
      <c r="B6" s="67" t="s">
        <v>10</v>
      </c>
      <c r="C6" s="67" t="s">
        <v>0</v>
      </c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 t="s">
        <v>8</v>
      </c>
      <c r="AC6" s="80" t="s">
        <v>581</v>
      </c>
      <c r="AD6" s="80" t="s">
        <v>582</v>
      </c>
      <c r="AE6" s="80"/>
      <c r="AF6" s="81" t="s">
        <v>583</v>
      </c>
      <c r="AG6" s="71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34"/>
    </row>
    <row r="7" spans="1:59" customFormat="1" ht="15">
      <c r="A7" s="67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80"/>
      <c r="AD7" s="44" t="s">
        <v>584</v>
      </c>
      <c r="AE7" s="44" t="s">
        <v>585</v>
      </c>
      <c r="AF7" s="81"/>
      <c r="AG7" s="71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34"/>
    </row>
    <row r="8" spans="1:59" customFormat="1">
      <c r="A8" s="82"/>
      <c r="B8" s="12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20" t="str">
        <f t="shared" ref="AC8:AC22" si="3">IF(AB8="","",SUM(C8:AA8)*AB8)</f>
        <v/>
      </c>
      <c r="AD8" s="43"/>
      <c r="AE8" s="43"/>
      <c r="AF8" s="19" t="str">
        <f>IF(AB8="","",(AD8+(AE8/36))*AB8)</f>
        <v/>
      </c>
      <c r="AG8" s="71"/>
      <c r="AH8" s="21" t="str">
        <f t="shared" ref="AH8:AW22" si="4">IF(C8=0,"",ROUNDUP(C$5/C8,0))</f>
        <v/>
      </c>
      <c r="AI8" s="21" t="str">
        <f t="shared" si="4"/>
        <v/>
      </c>
      <c r="AJ8" s="21" t="str">
        <f t="shared" si="4"/>
        <v/>
      </c>
      <c r="AK8" s="21" t="str">
        <f t="shared" si="4"/>
        <v/>
      </c>
      <c r="AL8" s="21" t="str">
        <f t="shared" si="4"/>
        <v/>
      </c>
      <c r="AM8" s="21" t="str">
        <f t="shared" si="4"/>
        <v/>
      </c>
      <c r="AN8" s="21" t="str">
        <f t="shared" si="4"/>
        <v/>
      </c>
      <c r="AO8" s="21" t="str">
        <f t="shared" si="4"/>
        <v/>
      </c>
      <c r="AP8" s="21" t="str">
        <f t="shared" si="4"/>
        <v/>
      </c>
      <c r="AQ8" s="21" t="str">
        <f t="shared" si="4"/>
        <v/>
      </c>
      <c r="AR8" s="21" t="str">
        <f t="shared" si="4"/>
        <v/>
      </c>
      <c r="AS8" s="21" t="str">
        <f t="shared" si="4"/>
        <v/>
      </c>
      <c r="AT8" s="21" t="str">
        <f t="shared" si="4"/>
        <v/>
      </c>
      <c r="AU8" s="21" t="str">
        <f t="shared" si="4"/>
        <v/>
      </c>
      <c r="AV8" s="21" t="str">
        <f t="shared" si="4"/>
        <v/>
      </c>
      <c r="AW8" s="21" t="str">
        <f t="shared" si="4"/>
        <v/>
      </c>
      <c r="AX8" s="21" t="str">
        <f t="shared" ref="AR8:BF22" si="5">IF(S8=0,"",ROUNDUP(S$5/S8,0))</f>
        <v/>
      </c>
      <c r="AY8" s="21" t="str">
        <f t="shared" si="5"/>
        <v/>
      </c>
      <c r="AZ8" s="21" t="str">
        <f t="shared" si="5"/>
        <v/>
      </c>
      <c r="BA8" s="21" t="str">
        <f t="shared" si="5"/>
        <v/>
      </c>
      <c r="BB8" s="21" t="str">
        <f t="shared" si="5"/>
        <v/>
      </c>
      <c r="BC8" s="21" t="str">
        <f t="shared" si="5"/>
        <v/>
      </c>
      <c r="BD8" s="21" t="str">
        <f t="shared" si="5"/>
        <v/>
      </c>
      <c r="BE8" s="21" t="str">
        <f t="shared" si="5"/>
        <v/>
      </c>
      <c r="BF8" s="21" t="str">
        <f t="shared" si="5"/>
        <v/>
      </c>
      <c r="BG8" s="34"/>
    </row>
    <row r="9" spans="1:59" customFormat="1">
      <c r="A9" s="83"/>
      <c r="B9" s="12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20" t="str">
        <f t="shared" si="3"/>
        <v/>
      </c>
      <c r="AD9" s="43"/>
      <c r="AE9" s="43"/>
      <c r="AF9" s="19" t="str">
        <f>IF(AB9="","",(AD9+(AE9/36))*AB9)</f>
        <v/>
      </c>
      <c r="AG9" s="71"/>
      <c r="AH9" s="21" t="str">
        <f t="shared" si="4"/>
        <v/>
      </c>
      <c r="AI9" s="21" t="str">
        <f t="shared" si="4"/>
        <v/>
      </c>
      <c r="AJ9" s="21" t="str">
        <f t="shared" si="4"/>
        <v/>
      </c>
      <c r="AK9" s="21" t="str">
        <f t="shared" si="4"/>
        <v/>
      </c>
      <c r="AL9" s="21" t="str">
        <f t="shared" si="4"/>
        <v/>
      </c>
      <c r="AM9" s="21" t="str">
        <f t="shared" si="4"/>
        <v/>
      </c>
      <c r="AN9" s="21" t="str">
        <f t="shared" si="4"/>
        <v/>
      </c>
      <c r="AO9" s="21" t="str">
        <f t="shared" si="4"/>
        <v/>
      </c>
      <c r="AP9" s="21" t="str">
        <f t="shared" si="4"/>
        <v/>
      </c>
      <c r="AQ9" s="21" t="str">
        <f t="shared" si="4"/>
        <v/>
      </c>
      <c r="AR9" s="21" t="str">
        <f t="shared" si="5"/>
        <v/>
      </c>
      <c r="AS9" s="21" t="str">
        <f t="shared" si="5"/>
        <v/>
      </c>
      <c r="AT9" s="21" t="str">
        <f t="shared" si="5"/>
        <v/>
      </c>
      <c r="AU9" s="21" t="str">
        <f t="shared" si="5"/>
        <v/>
      </c>
      <c r="AV9" s="21" t="str">
        <f t="shared" si="5"/>
        <v/>
      </c>
      <c r="AW9" s="21" t="str">
        <f t="shared" si="5"/>
        <v/>
      </c>
      <c r="AX9" s="21" t="str">
        <f t="shared" si="5"/>
        <v/>
      </c>
      <c r="AY9" s="21" t="str">
        <f t="shared" si="5"/>
        <v/>
      </c>
      <c r="AZ9" s="21" t="str">
        <f t="shared" si="5"/>
        <v/>
      </c>
      <c r="BA9" s="21" t="str">
        <f t="shared" si="5"/>
        <v/>
      </c>
      <c r="BB9" s="21" t="str">
        <f t="shared" si="5"/>
        <v/>
      </c>
      <c r="BC9" s="21" t="str">
        <f t="shared" si="5"/>
        <v/>
      </c>
      <c r="BD9" s="21" t="str">
        <f t="shared" si="5"/>
        <v/>
      </c>
      <c r="BE9" s="21" t="str">
        <f t="shared" si="5"/>
        <v/>
      </c>
      <c r="BF9" s="21" t="str">
        <f t="shared" si="5"/>
        <v/>
      </c>
      <c r="BG9" s="34"/>
    </row>
    <row r="10" spans="1:59" customFormat="1">
      <c r="A10" s="83"/>
      <c r="B10" s="12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20" t="str">
        <f t="shared" si="3"/>
        <v/>
      </c>
      <c r="AD10" s="43"/>
      <c r="AE10" s="43"/>
      <c r="AF10" s="19" t="str">
        <f>IF(AB10="","",(AD10+(AE10/36))*AB10)</f>
        <v/>
      </c>
      <c r="AG10" s="71"/>
      <c r="AH10" s="21" t="str">
        <f t="shared" si="4"/>
        <v/>
      </c>
      <c r="AI10" s="21" t="str">
        <f t="shared" si="4"/>
        <v/>
      </c>
      <c r="AJ10" s="21" t="str">
        <f t="shared" si="4"/>
        <v/>
      </c>
      <c r="AK10" s="21" t="str">
        <f t="shared" si="4"/>
        <v/>
      </c>
      <c r="AL10" s="21" t="str">
        <f t="shared" si="4"/>
        <v/>
      </c>
      <c r="AM10" s="21" t="str">
        <f t="shared" si="4"/>
        <v/>
      </c>
      <c r="AN10" s="21" t="str">
        <f t="shared" si="4"/>
        <v/>
      </c>
      <c r="AO10" s="21" t="str">
        <f t="shared" si="4"/>
        <v/>
      </c>
      <c r="AP10" s="21" t="str">
        <f t="shared" si="4"/>
        <v/>
      </c>
      <c r="AQ10" s="21" t="str">
        <f t="shared" si="4"/>
        <v/>
      </c>
      <c r="AR10" s="21" t="str">
        <f t="shared" si="5"/>
        <v/>
      </c>
      <c r="AS10" s="21" t="str">
        <f t="shared" si="5"/>
        <v/>
      </c>
      <c r="AT10" s="21" t="str">
        <f t="shared" si="5"/>
        <v/>
      </c>
      <c r="AU10" s="21" t="str">
        <f t="shared" si="5"/>
        <v/>
      </c>
      <c r="AV10" s="21" t="str">
        <f t="shared" si="5"/>
        <v/>
      </c>
      <c r="AW10" s="21" t="str">
        <f t="shared" si="5"/>
        <v/>
      </c>
      <c r="AX10" s="21" t="str">
        <f t="shared" si="5"/>
        <v/>
      </c>
      <c r="AY10" s="21" t="str">
        <f t="shared" si="5"/>
        <v/>
      </c>
      <c r="AZ10" s="21" t="str">
        <f t="shared" si="5"/>
        <v/>
      </c>
      <c r="BA10" s="21" t="str">
        <f t="shared" si="5"/>
        <v/>
      </c>
      <c r="BB10" s="21" t="str">
        <f t="shared" si="5"/>
        <v/>
      </c>
      <c r="BC10" s="21" t="str">
        <f t="shared" si="5"/>
        <v/>
      </c>
      <c r="BD10" s="21" t="str">
        <f t="shared" si="5"/>
        <v/>
      </c>
      <c r="BE10" s="21" t="str">
        <f t="shared" si="5"/>
        <v/>
      </c>
      <c r="BF10" s="21" t="str">
        <f t="shared" si="5"/>
        <v/>
      </c>
      <c r="BG10" s="34"/>
    </row>
    <row r="11" spans="1:59" customFormat="1">
      <c r="A11" s="83"/>
      <c r="B11" s="12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20" t="str">
        <f t="shared" si="3"/>
        <v/>
      </c>
      <c r="AD11" s="43"/>
      <c r="AE11" s="43"/>
      <c r="AF11" s="19" t="str">
        <f>IF(AB11="","",(AD11+(AE11/36))*AB11)</f>
        <v/>
      </c>
      <c r="AG11" s="71"/>
      <c r="AH11" s="21" t="str">
        <f t="shared" si="4"/>
        <v/>
      </c>
      <c r="AI11" s="21" t="str">
        <f t="shared" si="4"/>
        <v/>
      </c>
      <c r="AJ11" s="21" t="str">
        <f t="shared" si="4"/>
        <v/>
      </c>
      <c r="AK11" s="21" t="str">
        <f t="shared" si="4"/>
        <v/>
      </c>
      <c r="AL11" s="21" t="str">
        <f t="shared" si="4"/>
        <v/>
      </c>
      <c r="AM11" s="21" t="str">
        <f t="shared" si="4"/>
        <v/>
      </c>
      <c r="AN11" s="21" t="str">
        <f t="shared" si="4"/>
        <v/>
      </c>
      <c r="AO11" s="21" t="str">
        <f t="shared" si="4"/>
        <v/>
      </c>
      <c r="AP11" s="21" t="str">
        <f t="shared" si="4"/>
        <v/>
      </c>
      <c r="AQ11" s="21" t="str">
        <f t="shared" si="4"/>
        <v/>
      </c>
      <c r="AR11" s="21" t="str">
        <f t="shared" si="5"/>
        <v/>
      </c>
      <c r="AS11" s="21" t="str">
        <f t="shared" si="5"/>
        <v/>
      </c>
      <c r="AT11" s="21" t="str">
        <f t="shared" si="5"/>
        <v/>
      </c>
      <c r="AU11" s="21" t="str">
        <f t="shared" si="5"/>
        <v/>
      </c>
      <c r="AV11" s="21" t="str">
        <f t="shared" si="5"/>
        <v/>
      </c>
      <c r="AW11" s="21" t="str">
        <f t="shared" si="5"/>
        <v/>
      </c>
      <c r="AX11" s="21" t="str">
        <f t="shared" si="5"/>
        <v/>
      </c>
      <c r="AY11" s="21" t="str">
        <f t="shared" si="5"/>
        <v/>
      </c>
      <c r="AZ11" s="21" t="str">
        <f t="shared" si="5"/>
        <v/>
      </c>
      <c r="BA11" s="21" t="str">
        <f t="shared" si="5"/>
        <v/>
      </c>
      <c r="BB11" s="21" t="str">
        <f t="shared" si="5"/>
        <v/>
      </c>
      <c r="BC11" s="21" t="str">
        <f t="shared" si="5"/>
        <v/>
      </c>
      <c r="BD11" s="21" t="str">
        <f t="shared" si="5"/>
        <v/>
      </c>
      <c r="BE11" s="21" t="str">
        <f t="shared" si="5"/>
        <v/>
      </c>
      <c r="BF11" s="21" t="str">
        <f t="shared" si="5"/>
        <v/>
      </c>
      <c r="BG11" s="34"/>
    </row>
    <row r="12" spans="1:59" customFormat="1">
      <c r="A12" s="83"/>
      <c r="B12" s="12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20" t="str">
        <f t="shared" si="3"/>
        <v/>
      </c>
      <c r="AD12" s="43"/>
      <c r="AE12" s="43"/>
      <c r="AF12" s="19" t="str">
        <f>IF(AB12="","",(AD12+(AE12/36))*AB12)</f>
        <v/>
      </c>
      <c r="AG12" s="71"/>
      <c r="AH12" s="21" t="str">
        <f t="shared" si="4"/>
        <v/>
      </c>
      <c r="AI12" s="21" t="str">
        <f t="shared" si="4"/>
        <v/>
      </c>
      <c r="AJ12" s="21" t="str">
        <f t="shared" si="4"/>
        <v/>
      </c>
      <c r="AK12" s="21" t="str">
        <f t="shared" si="4"/>
        <v/>
      </c>
      <c r="AL12" s="21" t="str">
        <f t="shared" si="4"/>
        <v/>
      </c>
      <c r="AM12" s="21" t="str">
        <f t="shared" si="4"/>
        <v/>
      </c>
      <c r="AN12" s="21" t="str">
        <f t="shared" si="4"/>
        <v/>
      </c>
      <c r="AO12" s="21" t="str">
        <f t="shared" si="4"/>
        <v/>
      </c>
      <c r="AP12" s="21" t="str">
        <f t="shared" si="4"/>
        <v/>
      </c>
      <c r="AQ12" s="21" t="str">
        <f t="shared" si="4"/>
        <v/>
      </c>
      <c r="AR12" s="21" t="str">
        <f t="shared" si="5"/>
        <v/>
      </c>
      <c r="AS12" s="21" t="str">
        <f t="shared" si="5"/>
        <v/>
      </c>
      <c r="AT12" s="21" t="str">
        <f t="shared" si="5"/>
        <v/>
      </c>
      <c r="AU12" s="21" t="str">
        <f t="shared" si="5"/>
        <v/>
      </c>
      <c r="AV12" s="21" t="str">
        <f t="shared" si="5"/>
        <v/>
      </c>
      <c r="AW12" s="21" t="str">
        <f t="shared" si="5"/>
        <v/>
      </c>
      <c r="AX12" s="21" t="str">
        <f t="shared" si="5"/>
        <v/>
      </c>
      <c r="AY12" s="21" t="str">
        <f t="shared" si="5"/>
        <v/>
      </c>
      <c r="AZ12" s="21" t="str">
        <f t="shared" si="5"/>
        <v/>
      </c>
      <c r="BA12" s="21" t="str">
        <f t="shared" si="5"/>
        <v/>
      </c>
      <c r="BB12" s="21" t="str">
        <f t="shared" si="5"/>
        <v/>
      </c>
      <c r="BC12" s="21" t="str">
        <f t="shared" si="5"/>
        <v/>
      </c>
      <c r="BD12" s="21" t="str">
        <f t="shared" si="5"/>
        <v/>
      </c>
      <c r="BE12" s="21" t="str">
        <f t="shared" si="5"/>
        <v/>
      </c>
      <c r="BF12" s="21" t="str">
        <f t="shared" si="5"/>
        <v/>
      </c>
      <c r="BG12" s="34"/>
    </row>
    <row r="13" spans="1:59" customFormat="1">
      <c r="A13" s="83"/>
      <c r="B13" s="12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20" t="str">
        <f t="shared" si="3"/>
        <v/>
      </c>
      <c r="AD13" s="13"/>
      <c r="AE13" s="13"/>
      <c r="AF13" s="19" t="str">
        <f t="shared" ref="AF13:AF22" si="6">IF(AB13="","",(AD13+(AE13/36))*AB13)</f>
        <v/>
      </c>
      <c r="AG13" s="71"/>
      <c r="AH13" s="21" t="str">
        <f t="shared" si="4"/>
        <v/>
      </c>
      <c r="AI13" s="21" t="str">
        <f t="shared" si="4"/>
        <v/>
      </c>
      <c r="AJ13" s="21" t="str">
        <f t="shared" si="4"/>
        <v/>
      </c>
      <c r="AK13" s="21" t="str">
        <f t="shared" si="4"/>
        <v/>
      </c>
      <c r="AL13" s="21" t="str">
        <f t="shared" si="4"/>
        <v/>
      </c>
      <c r="AM13" s="21" t="str">
        <f t="shared" si="4"/>
        <v/>
      </c>
      <c r="AN13" s="21" t="str">
        <f t="shared" si="4"/>
        <v/>
      </c>
      <c r="AO13" s="21" t="str">
        <f t="shared" si="4"/>
        <v/>
      </c>
      <c r="AP13" s="21" t="str">
        <f t="shared" si="4"/>
        <v/>
      </c>
      <c r="AQ13" s="21" t="str">
        <f t="shared" si="4"/>
        <v/>
      </c>
      <c r="AR13" s="21" t="str">
        <f t="shared" si="5"/>
        <v/>
      </c>
      <c r="AS13" s="21" t="str">
        <f t="shared" si="5"/>
        <v/>
      </c>
      <c r="AT13" s="21" t="str">
        <f t="shared" si="5"/>
        <v/>
      </c>
      <c r="AU13" s="21" t="str">
        <f t="shared" si="5"/>
        <v/>
      </c>
      <c r="AV13" s="21" t="str">
        <f t="shared" si="5"/>
        <v/>
      </c>
      <c r="AW13" s="21" t="str">
        <f t="shared" si="5"/>
        <v/>
      </c>
      <c r="AX13" s="21" t="str">
        <f t="shared" si="5"/>
        <v/>
      </c>
      <c r="AY13" s="21" t="str">
        <f t="shared" si="5"/>
        <v/>
      </c>
      <c r="AZ13" s="21" t="str">
        <f t="shared" si="5"/>
        <v/>
      </c>
      <c r="BA13" s="21" t="str">
        <f t="shared" si="5"/>
        <v/>
      </c>
      <c r="BB13" s="21" t="str">
        <f t="shared" si="5"/>
        <v/>
      </c>
      <c r="BC13" s="21" t="str">
        <f t="shared" si="5"/>
        <v/>
      </c>
      <c r="BD13" s="21" t="str">
        <f t="shared" si="5"/>
        <v/>
      </c>
      <c r="BE13" s="21" t="str">
        <f t="shared" si="5"/>
        <v/>
      </c>
      <c r="BF13" s="21" t="str">
        <f t="shared" si="5"/>
        <v/>
      </c>
      <c r="BG13" s="34"/>
    </row>
    <row r="14" spans="1:59" customFormat="1">
      <c r="A14" s="83"/>
      <c r="B14" s="12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20" t="str">
        <f t="shared" si="3"/>
        <v/>
      </c>
      <c r="AD14" s="13"/>
      <c r="AE14" s="13"/>
      <c r="AF14" s="19" t="str">
        <f t="shared" si="6"/>
        <v/>
      </c>
      <c r="AG14" s="71"/>
      <c r="AH14" s="21" t="str">
        <f t="shared" si="4"/>
        <v/>
      </c>
      <c r="AI14" s="21" t="str">
        <f t="shared" si="4"/>
        <v/>
      </c>
      <c r="AJ14" s="21" t="str">
        <f t="shared" si="4"/>
        <v/>
      </c>
      <c r="AK14" s="21" t="str">
        <f t="shared" si="4"/>
        <v/>
      </c>
      <c r="AL14" s="21" t="str">
        <f t="shared" si="4"/>
        <v/>
      </c>
      <c r="AM14" s="21" t="str">
        <f t="shared" si="4"/>
        <v/>
      </c>
      <c r="AN14" s="21" t="str">
        <f t="shared" si="4"/>
        <v/>
      </c>
      <c r="AO14" s="21" t="str">
        <f t="shared" si="4"/>
        <v/>
      </c>
      <c r="AP14" s="21" t="str">
        <f t="shared" si="4"/>
        <v/>
      </c>
      <c r="AQ14" s="21" t="str">
        <f t="shared" si="4"/>
        <v/>
      </c>
      <c r="AR14" s="21" t="str">
        <f t="shared" si="5"/>
        <v/>
      </c>
      <c r="AS14" s="21" t="str">
        <f t="shared" si="5"/>
        <v/>
      </c>
      <c r="AT14" s="21" t="str">
        <f t="shared" si="5"/>
        <v/>
      </c>
      <c r="AU14" s="21" t="str">
        <f t="shared" si="5"/>
        <v/>
      </c>
      <c r="AV14" s="21" t="str">
        <f t="shared" si="5"/>
        <v/>
      </c>
      <c r="AW14" s="21" t="str">
        <f t="shared" si="5"/>
        <v/>
      </c>
      <c r="AX14" s="21" t="str">
        <f t="shared" si="5"/>
        <v/>
      </c>
      <c r="AY14" s="21" t="str">
        <f t="shared" si="5"/>
        <v/>
      </c>
      <c r="AZ14" s="21" t="str">
        <f t="shared" si="5"/>
        <v/>
      </c>
      <c r="BA14" s="21" t="str">
        <f t="shared" si="5"/>
        <v/>
      </c>
      <c r="BB14" s="21" t="str">
        <f t="shared" si="5"/>
        <v/>
      </c>
      <c r="BC14" s="21" t="str">
        <f t="shared" si="5"/>
        <v/>
      </c>
      <c r="BD14" s="21" t="str">
        <f t="shared" si="5"/>
        <v/>
      </c>
      <c r="BE14" s="21" t="str">
        <f t="shared" si="5"/>
        <v/>
      </c>
      <c r="BF14" s="21" t="str">
        <f t="shared" si="5"/>
        <v/>
      </c>
      <c r="BG14" s="34"/>
    </row>
    <row r="15" spans="1:59" customFormat="1">
      <c r="A15" s="83"/>
      <c r="B15" s="12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20" t="str">
        <f t="shared" si="3"/>
        <v/>
      </c>
      <c r="AD15" s="13"/>
      <c r="AE15" s="13"/>
      <c r="AF15" s="19" t="str">
        <f t="shared" si="6"/>
        <v/>
      </c>
      <c r="AG15" s="71"/>
      <c r="AH15" s="21" t="str">
        <f t="shared" si="4"/>
        <v/>
      </c>
      <c r="AI15" s="21" t="str">
        <f t="shared" si="4"/>
        <v/>
      </c>
      <c r="AJ15" s="21" t="str">
        <f t="shared" si="4"/>
        <v/>
      </c>
      <c r="AK15" s="21" t="str">
        <f t="shared" si="4"/>
        <v/>
      </c>
      <c r="AL15" s="21" t="str">
        <f t="shared" si="4"/>
        <v/>
      </c>
      <c r="AM15" s="21" t="str">
        <f t="shared" si="4"/>
        <v/>
      </c>
      <c r="AN15" s="21" t="str">
        <f t="shared" si="4"/>
        <v/>
      </c>
      <c r="AO15" s="21" t="str">
        <f t="shared" si="4"/>
        <v/>
      </c>
      <c r="AP15" s="21" t="str">
        <f t="shared" si="4"/>
        <v/>
      </c>
      <c r="AQ15" s="21" t="str">
        <f t="shared" si="4"/>
        <v/>
      </c>
      <c r="AR15" s="21" t="str">
        <f t="shared" si="5"/>
        <v/>
      </c>
      <c r="AS15" s="21" t="str">
        <f t="shared" si="5"/>
        <v/>
      </c>
      <c r="AT15" s="21" t="str">
        <f t="shared" si="5"/>
        <v/>
      </c>
      <c r="AU15" s="21" t="str">
        <f t="shared" si="5"/>
        <v/>
      </c>
      <c r="AV15" s="21" t="str">
        <f t="shared" si="5"/>
        <v/>
      </c>
      <c r="AW15" s="21" t="str">
        <f t="shared" si="5"/>
        <v/>
      </c>
      <c r="AX15" s="21" t="str">
        <f t="shared" si="5"/>
        <v/>
      </c>
      <c r="AY15" s="21" t="str">
        <f t="shared" si="5"/>
        <v/>
      </c>
      <c r="AZ15" s="21" t="str">
        <f t="shared" si="5"/>
        <v/>
      </c>
      <c r="BA15" s="21" t="str">
        <f t="shared" si="5"/>
        <v/>
      </c>
      <c r="BB15" s="21" t="str">
        <f t="shared" si="5"/>
        <v/>
      </c>
      <c r="BC15" s="21" t="str">
        <f t="shared" si="5"/>
        <v/>
      </c>
      <c r="BD15" s="21" t="str">
        <f t="shared" si="5"/>
        <v/>
      </c>
      <c r="BE15" s="21" t="str">
        <f t="shared" si="5"/>
        <v/>
      </c>
      <c r="BF15" s="21" t="str">
        <f t="shared" si="5"/>
        <v/>
      </c>
      <c r="BG15" s="34"/>
    </row>
    <row r="16" spans="1:59" customFormat="1">
      <c r="A16" s="83"/>
      <c r="B16" s="12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20" t="str">
        <f t="shared" si="3"/>
        <v/>
      </c>
      <c r="AD16" s="13"/>
      <c r="AE16" s="13"/>
      <c r="AF16" s="19" t="str">
        <f t="shared" si="6"/>
        <v/>
      </c>
      <c r="AG16" s="71"/>
      <c r="AH16" s="21" t="str">
        <f t="shared" si="4"/>
        <v/>
      </c>
      <c r="AI16" s="21" t="str">
        <f t="shared" si="4"/>
        <v/>
      </c>
      <c r="AJ16" s="21" t="str">
        <f t="shared" si="4"/>
        <v/>
      </c>
      <c r="AK16" s="21" t="str">
        <f t="shared" si="4"/>
        <v/>
      </c>
      <c r="AL16" s="21" t="str">
        <f t="shared" si="4"/>
        <v/>
      </c>
      <c r="AM16" s="21" t="str">
        <f t="shared" si="4"/>
        <v/>
      </c>
      <c r="AN16" s="21" t="str">
        <f t="shared" si="4"/>
        <v/>
      </c>
      <c r="AO16" s="21" t="str">
        <f t="shared" si="4"/>
        <v/>
      </c>
      <c r="AP16" s="21" t="str">
        <f t="shared" si="4"/>
        <v/>
      </c>
      <c r="AQ16" s="21" t="str">
        <f t="shared" si="4"/>
        <v/>
      </c>
      <c r="AR16" s="21" t="str">
        <f t="shared" si="5"/>
        <v/>
      </c>
      <c r="AS16" s="21" t="str">
        <f t="shared" si="5"/>
        <v/>
      </c>
      <c r="AT16" s="21" t="str">
        <f t="shared" si="5"/>
        <v/>
      </c>
      <c r="AU16" s="21" t="str">
        <f t="shared" si="5"/>
        <v/>
      </c>
      <c r="AV16" s="21" t="str">
        <f t="shared" si="5"/>
        <v/>
      </c>
      <c r="AW16" s="21" t="str">
        <f t="shared" si="5"/>
        <v/>
      </c>
      <c r="AX16" s="21" t="str">
        <f t="shared" si="5"/>
        <v/>
      </c>
      <c r="AY16" s="21" t="str">
        <f t="shared" si="5"/>
        <v/>
      </c>
      <c r="AZ16" s="21" t="str">
        <f t="shared" si="5"/>
        <v/>
      </c>
      <c r="BA16" s="21" t="str">
        <f t="shared" si="5"/>
        <v/>
      </c>
      <c r="BB16" s="21" t="str">
        <f t="shared" si="5"/>
        <v/>
      </c>
      <c r="BC16" s="21" t="str">
        <f t="shared" si="5"/>
        <v/>
      </c>
      <c r="BD16" s="21" t="str">
        <f t="shared" si="5"/>
        <v/>
      </c>
      <c r="BE16" s="21" t="str">
        <f t="shared" si="5"/>
        <v/>
      </c>
      <c r="BF16" s="21" t="str">
        <f t="shared" si="5"/>
        <v/>
      </c>
      <c r="BG16" s="34"/>
    </row>
    <row r="17" spans="1:59" customFormat="1">
      <c r="A17" s="83"/>
      <c r="B17" s="12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20" t="str">
        <f t="shared" si="3"/>
        <v/>
      </c>
      <c r="AD17" s="13"/>
      <c r="AE17" s="13"/>
      <c r="AF17" s="19" t="str">
        <f t="shared" si="6"/>
        <v/>
      </c>
      <c r="AG17" s="71"/>
      <c r="AH17" s="21" t="str">
        <f t="shared" si="4"/>
        <v/>
      </c>
      <c r="AI17" s="21" t="str">
        <f t="shared" si="4"/>
        <v/>
      </c>
      <c r="AJ17" s="21" t="str">
        <f t="shared" si="4"/>
        <v/>
      </c>
      <c r="AK17" s="21" t="str">
        <f t="shared" si="4"/>
        <v/>
      </c>
      <c r="AL17" s="21" t="str">
        <f t="shared" si="4"/>
        <v/>
      </c>
      <c r="AM17" s="21" t="str">
        <f t="shared" si="4"/>
        <v/>
      </c>
      <c r="AN17" s="21" t="str">
        <f t="shared" si="4"/>
        <v/>
      </c>
      <c r="AO17" s="21" t="str">
        <f t="shared" si="4"/>
        <v/>
      </c>
      <c r="AP17" s="21" t="str">
        <f t="shared" si="4"/>
        <v/>
      </c>
      <c r="AQ17" s="21" t="str">
        <f t="shared" si="4"/>
        <v/>
      </c>
      <c r="AR17" s="21" t="str">
        <f t="shared" si="5"/>
        <v/>
      </c>
      <c r="AS17" s="21" t="str">
        <f t="shared" si="5"/>
        <v/>
      </c>
      <c r="AT17" s="21" t="str">
        <f t="shared" si="5"/>
        <v/>
      </c>
      <c r="AU17" s="21" t="str">
        <f t="shared" si="5"/>
        <v/>
      </c>
      <c r="AV17" s="21" t="str">
        <f t="shared" si="5"/>
        <v/>
      </c>
      <c r="AW17" s="21" t="str">
        <f t="shared" si="5"/>
        <v/>
      </c>
      <c r="AX17" s="21" t="str">
        <f t="shared" si="5"/>
        <v/>
      </c>
      <c r="AY17" s="21" t="str">
        <f t="shared" si="5"/>
        <v/>
      </c>
      <c r="AZ17" s="21" t="str">
        <f t="shared" si="5"/>
        <v/>
      </c>
      <c r="BA17" s="21" t="str">
        <f t="shared" si="5"/>
        <v/>
      </c>
      <c r="BB17" s="21" t="str">
        <f t="shared" si="5"/>
        <v/>
      </c>
      <c r="BC17" s="21" t="str">
        <f t="shared" si="5"/>
        <v/>
      </c>
      <c r="BD17" s="21" t="str">
        <f t="shared" si="5"/>
        <v/>
      </c>
      <c r="BE17" s="21" t="str">
        <f t="shared" si="5"/>
        <v/>
      </c>
      <c r="BF17" s="21" t="str">
        <f t="shared" si="5"/>
        <v/>
      </c>
      <c r="BG17" s="34"/>
    </row>
    <row r="18" spans="1:59" customFormat="1">
      <c r="A18" s="83"/>
      <c r="B18" s="12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25"/>
      <c r="Z18" s="43"/>
      <c r="AA18" s="43"/>
      <c r="AB18" s="43"/>
      <c r="AC18" s="20" t="str">
        <f t="shared" si="3"/>
        <v/>
      </c>
      <c r="AD18" s="13"/>
      <c r="AE18" s="13"/>
      <c r="AF18" s="19" t="str">
        <f t="shared" si="6"/>
        <v/>
      </c>
      <c r="AG18" s="71"/>
      <c r="AH18" s="21" t="str">
        <f t="shared" si="4"/>
        <v/>
      </c>
      <c r="AI18" s="21" t="str">
        <f t="shared" si="4"/>
        <v/>
      </c>
      <c r="AJ18" s="21" t="str">
        <f t="shared" si="4"/>
        <v/>
      </c>
      <c r="AK18" s="21" t="str">
        <f t="shared" si="4"/>
        <v/>
      </c>
      <c r="AL18" s="21" t="str">
        <f t="shared" si="4"/>
        <v/>
      </c>
      <c r="AM18" s="21" t="str">
        <f t="shared" si="4"/>
        <v/>
      </c>
      <c r="AN18" s="21" t="str">
        <f t="shared" si="4"/>
        <v/>
      </c>
      <c r="AO18" s="21" t="str">
        <f t="shared" si="4"/>
        <v/>
      </c>
      <c r="AP18" s="21" t="str">
        <f t="shared" si="4"/>
        <v/>
      </c>
      <c r="AQ18" s="21" t="str">
        <f t="shared" si="4"/>
        <v/>
      </c>
      <c r="AR18" s="21" t="str">
        <f t="shared" si="5"/>
        <v/>
      </c>
      <c r="AS18" s="21" t="str">
        <f t="shared" si="5"/>
        <v/>
      </c>
      <c r="AT18" s="21" t="str">
        <f t="shared" si="5"/>
        <v/>
      </c>
      <c r="AU18" s="21" t="str">
        <f t="shared" si="5"/>
        <v/>
      </c>
      <c r="AV18" s="21" t="str">
        <f t="shared" si="5"/>
        <v/>
      </c>
      <c r="AW18" s="21" t="str">
        <f t="shared" si="5"/>
        <v/>
      </c>
      <c r="AX18" s="21" t="str">
        <f t="shared" si="5"/>
        <v/>
      </c>
      <c r="AY18" s="21" t="str">
        <f t="shared" si="5"/>
        <v/>
      </c>
      <c r="AZ18" s="21" t="str">
        <f t="shared" si="5"/>
        <v/>
      </c>
      <c r="BA18" s="21" t="str">
        <f t="shared" si="5"/>
        <v/>
      </c>
      <c r="BB18" s="21" t="str">
        <f t="shared" si="5"/>
        <v/>
      </c>
      <c r="BC18" s="21" t="str">
        <f t="shared" si="5"/>
        <v/>
      </c>
      <c r="BD18" s="21" t="str">
        <f t="shared" si="5"/>
        <v/>
      </c>
      <c r="BE18" s="21" t="str">
        <f t="shared" si="5"/>
        <v/>
      </c>
      <c r="BF18" s="21" t="str">
        <f t="shared" si="5"/>
        <v/>
      </c>
      <c r="BG18" s="34"/>
    </row>
    <row r="19" spans="1:59" customFormat="1">
      <c r="A19" s="83"/>
      <c r="B19" s="12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20" t="str">
        <f t="shared" si="3"/>
        <v/>
      </c>
      <c r="AD19" s="13"/>
      <c r="AE19" s="13"/>
      <c r="AF19" s="19" t="str">
        <f t="shared" si="6"/>
        <v/>
      </c>
      <c r="AG19" s="71"/>
      <c r="AH19" s="21" t="str">
        <f t="shared" si="4"/>
        <v/>
      </c>
      <c r="AI19" s="21" t="str">
        <f t="shared" si="4"/>
        <v/>
      </c>
      <c r="AJ19" s="21" t="str">
        <f t="shared" si="4"/>
        <v/>
      </c>
      <c r="AK19" s="21" t="str">
        <f t="shared" si="4"/>
        <v/>
      </c>
      <c r="AL19" s="21" t="str">
        <f t="shared" si="4"/>
        <v/>
      </c>
      <c r="AM19" s="21" t="str">
        <f t="shared" si="4"/>
        <v/>
      </c>
      <c r="AN19" s="21" t="str">
        <f t="shared" si="4"/>
        <v/>
      </c>
      <c r="AO19" s="21" t="str">
        <f t="shared" si="4"/>
        <v/>
      </c>
      <c r="AP19" s="21" t="str">
        <f t="shared" si="4"/>
        <v/>
      </c>
      <c r="AQ19" s="21" t="str">
        <f t="shared" si="4"/>
        <v/>
      </c>
      <c r="AR19" s="21" t="str">
        <f t="shared" si="5"/>
        <v/>
      </c>
      <c r="AS19" s="21" t="str">
        <f t="shared" si="5"/>
        <v/>
      </c>
      <c r="AT19" s="21" t="str">
        <f t="shared" si="5"/>
        <v/>
      </c>
      <c r="AU19" s="21" t="str">
        <f t="shared" si="5"/>
        <v/>
      </c>
      <c r="AV19" s="21" t="str">
        <f t="shared" si="5"/>
        <v/>
      </c>
      <c r="AW19" s="21" t="str">
        <f t="shared" si="5"/>
        <v/>
      </c>
      <c r="AX19" s="21" t="str">
        <f t="shared" si="5"/>
        <v/>
      </c>
      <c r="AY19" s="21" t="str">
        <f t="shared" si="5"/>
        <v/>
      </c>
      <c r="AZ19" s="21" t="str">
        <f t="shared" si="5"/>
        <v/>
      </c>
      <c r="BA19" s="21" t="str">
        <f t="shared" si="5"/>
        <v/>
      </c>
      <c r="BB19" s="21" t="str">
        <f t="shared" si="5"/>
        <v/>
      </c>
      <c r="BC19" s="21" t="str">
        <f t="shared" si="5"/>
        <v/>
      </c>
      <c r="BD19" s="21" t="str">
        <f t="shared" si="5"/>
        <v/>
      </c>
      <c r="BE19" s="21" t="str">
        <f t="shared" si="5"/>
        <v/>
      </c>
      <c r="BF19" s="21" t="str">
        <f t="shared" si="5"/>
        <v/>
      </c>
      <c r="BG19" s="34"/>
    </row>
    <row r="20" spans="1:59" customFormat="1">
      <c r="A20" s="83"/>
      <c r="B20" s="1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20" t="str">
        <f t="shared" si="3"/>
        <v/>
      </c>
      <c r="AD20" s="13"/>
      <c r="AE20" s="13"/>
      <c r="AF20" s="19" t="str">
        <f t="shared" si="6"/>
        <v/>
      </c>
      <c r="AG20" s="71"/>
      <c r="AH20" s="21" t="str">
        <f t="shared" si="4"/>
        <v/>
      </c>
      <c r="AI20" s="21" t="str">
        <f t="shared" si="4"/>
        <v/>
      </c>
      <c r="AJ20" s="21" t="str">
        <f t="shared" si="4"/>
        <v/>
      </c>
      <c r="AK20" s="21" t="str">
        <f t="shared" si="4"/>
        <v/>
      </c>
      <c r="AL20" s="21" t="str">
        <f t="shared" si="4"/>
        <v/>
      </c>
      <c r="AM20" s="21" t="str">
        <f t="shared" si="4"/>
        <v/>
      </c>
      <c r="AN20" s="21" t="str">
        <f t="shared" si="4"/>
        <v/>
      </c>
      <c r="AO20" s="21" t="str">
        <f t="shared" si="4"/>
        <v/>
      </c>
      <c r="AP20" s="21" t="str">
        <f t="shared" si="4"/>
        <v/>
      </c>
      <c r="AQ20" s="21" t="str">
        <f t="shared" si="4"/>
        <v/>
      </c>
      <c r="AR20" s="21" t="str">
        <f t="shared" si="5"/>
        <v/>
      </c>
      <c r="AS20" s="21" t="str">
        <f t="shared" si="5"/>
        <v/>
      </c>
      <c r="AT20" s="21" t="str">
        <f t="shared" si="5"/>
        <v/>
      </c>
      <c r="AU20" s="21" t="str">
        <f t="shared" si="5"/>
        <v/>
      </c>
      <c r="AV20" s="21" t="str">
        <f t="shared" si="5"/>
        <v/>
      </c>
      <c r="AW20" s="21" t="str">
        <f t="shared" si="5"/>
        <v/>
      </c>
      <c r="AX20" s="21" t="str">
        <f t="shared" si="5"/>
        <v/>
      </c>
      <c r="AY20" s="21" t="str">
        <f t="shared" si="5"/>
        <v/>
      </c>
      <c r="AZ20" s="21" t="str">
        <f t="shared" si="5"/>
        <v/>
      </c>
      <c r="BA20" s="21" t="str">
        <f t="shared" si="5"/>
        <v/>
      </c>
      <c r="BB20" s="21" t="str">
        <f t="shared" si="5"/>
        <v/>
      </c>
      <c r="BC20" s="21" t="str">
        <f t="shared" si="5"/>
        <v/>
      </c>
      <c r="BD20" s="21" t="str">
        <f t="shared" si="5"/>
        <v/>
      </c>
      <c r="BE20" s="21" t="str">
        <f t="shared" si="5"/>
        <v/>
      </c>
      <c r="BF20" s="21" t="str">
        <f t="shared" si="5"/>
        <v/>
      </c>
      <c r="BG20" s="34"/>
    </row>
    <row r="21" spans="1:59" customFormat="1">
      <c r="A21" s="83"/>
      <c r="B21" s="12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20" t="str">
        <f t="shared" si="3"/>
        <v/>
      </c>
      <c r="AD21" s="13"/>
      <c r="AE21" s="13"/>
      <c r="AF21" s="19" t="str">
        <f t="shared" si="6"/>
        <v/>
      </c>
      <c r="AG21" s="71"/>
      <c r="AH21" s="21" t="str">
        <f t="shared" si="4"/>
        <v/>
      </c>
      <c r="AI21" s="21" t="str">
        <f t="shared" si="4"/>
        <v/>
      </c>
      <c r="AJ21" s="21" t="str">
        <f t="shared" si="4"/>
        <v/>
      </c>
      <c r="AK21" s="21" t="str">
        <f t="shared" si="4"/>
        <v/>
      </c>
      <c r="AL21" s="21" t="str">
        <f t="shared" si="4"/>
        <v/>
      </c>
      <c r="AM21" s="21" t="str">
        <f t="shared" si="4"/>
        <v/>
      </c>
      <c r="AN21" s="21" t="str">
        <f t="shared" si="4"/>
        <v/>
      </c>
      <c r="AO21" s="21" t="str">
        <f t="shared" si="4"/>
        <v/>
      </c>
      <c r="AP21" s="21" t="str">
        <f t="shared" si="4"/>
        <v/>
      </c>
      <c r="AQ21" s="21" t="str">
        <f t="shared" si="4"/>
        <v/>
      </c>
      <c r="AR21" s="21" t="str">
        <f t="shared" si="5"/>
        <v/>
      </c>
      <c r="AS21" s="21" t="str">
        <f t="shared" si="5"/>
        <v/>
      </c>
      <c r="AT21" s="21" t="str">
        <f t="shared" si="5"/>
        <v/>
      </c>
      <c r="AU21" s="21" t="str">
        <f t="shared" si="5"/>
        <v/>
      </c>
      <c r="AV21" s="21" t="str">
        <f t="shared" si="5"/>
        <v/>
      </c>
      <c r="AW21" s="21" t="str">
        <f t="shared" si="5"/>
        <v/>
      </c>
      <c r="AX21" s="21" t="str">
        <f t="shared" si="5"/>
        <v/>
      </c>
      <c r="AY21" s="21" t="str">
        <f t="shared" si="5"/>
        <v/>
      </c>
      <c r="AZ21" s="21" t="str">
        <f t="shared" si="5"/>
        <v/>
      </c>
      <c r="BA21" s="21" t="str">
        <f t="shared" si="5"/>
        <v/>
      </c>
      <c r="BB21" s="21" t="str">
        <f t="shared" si="5"/>
        <v/>
      </c>
      <c r="BC21" s="21" t="str">
        <f t="shared" si="5"/>
        <v/>
      </c>
      <c r="BD21" s="21" t="str">
        <f t="shared" si="5"/>
        <v/>
      </c>
      <c r="BE21" s="21" t="str">
        <f t="shared" si="5"/>
        <v/>
      </c>
      <c r="BF21" s="21" t="str">
        <f t="shared" si="5"/>
        <v/>
      </c>
      <c r="BG21" s="34"/>
    </row>
    <row r="22" spans="1:59" customFormat="1">
      <c r="A22" s="84"/>
      <c r="B22" s="12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20" t="str">
        <f t="shared" si="3"/>
        <v/>
      </c>
      <c r="AD22" s="13"/>
      <c r="AE22" s="13"/>
      <c r="AF22" s="19" t="str">
        <f t="shared" si="6"/>
        <v/>
      </c>
      <c r="AG22" s="72"/>
      <c r="AH22" s="21" t="str">
        <f t="shared" si="4"/>
        <v/>
      </c>
      <c r="AI22" s="21" t="str">
        <f t="shared" si="4"/>
        <v/>
      </c>
      <c r="AJ22" s="21" t="str">
        <f t="shared" si="4"/>
        <v/>
      </c>
      <c r="AK22" s="21" t="str">
        <f t="shared" si="4"/>
        <v/>
      </c>
      <c r="AL22" s="21" t="str">
        <f t="shared" si="4"/>
        <v/>
      </c>
      <c r="AM22" s="21" t="str">
        <f t="shared" si="4"/>
        <v/>
      </c>
      <c r="AN22" s="21" t="str">
        <f t="shared" si="4"/>
        <v/>
      </c>
      <c r="AO22" s="21" t="str">
        <f t="shared" si="4"/>
        <v/>
      </c>
      <c r="AP22" s="21" t="str">
        <f t="shared" si="4"/>
        <v/>
      </c>
      <c r="AQ22" s="21" t="str">
        <f t="shared" si="4"/>
        <v/>
      </c>
      <c r="AR22" s="21" t="str">
        <f t="shared" si="5"/>
        <v/>
      </c>
      <c r="AS22" s="21" t="str">
        <f t="shared" si="5"/>
        <v/>
      </c>
      <c r="AT22" s="21" t="str">
        <f t="shared" si="5"/>
        <v/>
      </c>
      <c r="AU22" s="21" t="str">
        <f t="shared" si="5"/>
        <v/>
      </c>
      <c r="AV22" s="21" t="str">
        <f t="shared" si="5"/>
        <v/>
      </c>
      <c r="AW22" s="21" t="str">
        <f t="shared" si="5"/>
        <v/>
      </c>
      <c r="AX22" s="21" t="str">
        <f t="shared" si="5"/>
        <v/>
      </c>
      <c r="AY22" s="21" t="str">
        <f t="shared" si="5"/>
        <v/>
      </c>
      <c r="AZ22" s="21" t="str">
        <f t="shared" si="5"/>
        <v/>
      </c>
      <c r="BA22" s="21" t="str">
        <f t="shared" si="5"/>
        <v/>
      </c>
      <c r="BB22" s="21" t="str">
        <f t="shared" si="5"/>
        <v/>
      </c>
      <c r="BC22" s="21" t="str">
        <f t="shared" si="5"/>
        <v/>
      </c>
      <c r="BD22" s="21" t="str">
        <f t="shared" si="5"/>
        <v/>
      </c>
      <c r="BE22" s="21" t="str">
        <f t="shared" si="5"/>
        <v/>
      </c>
      <c r="BF22" s="21" t="str">
        <f t="shared" si="5"/>
        <v/>
      </c>
      <c r="BG22" s="34"/>
    </row>
    <row r="23" spans="1:59" s="39" customFormat="1" ht="15.75" thickBot="1">
      <c r="A23" s="22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77" t="s">
        <v>586</v>
      </c>
      <c r="AB23" s="77"/>
      <c r="AC23" s="23">
        <f>SUM(AC8:AC22)</f>
        <v>0</v>
      </c>
      <c r="AD23" s="77" t="s">
        <v>592</v>
      </c>
      <c r="AE23" s="77"/>
      <c r="AF23" s="23">
        <f>SUM(AF8:AF22)</f>
        <v>0</v>
      </c>
      <c r="AG23" s="24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35"/>
      <c r="BG23" s="38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8:AB22 A8:A22 AD8:AE22 C3:AA4 AE2:AF2 B1:B3" name="範圍1"/>
    <protectedRange password="CE2A" sqref="K1:L1" name="範圍1_1"/>
  </protectedRanges>
  <mergeCells count="32">
    <mergeCell ref="AA23:AB23"/>
    <mergeCell ref="AD23:AE23"/>
    <mergeCell ref="M1:N1"/>
    <mergeCell ref="O1:P1"/>
    <mergeCell ref="A4:B4"/>
    <mergeCell ref="AC4:AD4"/>
    <mergeCell ref="AE4:AF4"/>
    <mergeCell ref="AB1:AU1"/>
    <mergeCell ref="C2:AA2"/>
    <mergeCell ref="AB2:AB3"/>
    <mergeCell ref="AC2:AD2"/>
    <mergeCell ref="AE2:AF2"/>
    <mergeCell ref="C1:E1"/>
    <mergeCell ref="F1:H1"/>
    <mergeCell ref="I1:J1"/>
    <mergeCell ref="K1:L1"/>
    <mergeCell ref="AH4:BF7"/>
    <mergeCell ref="A5:B5"/>
    <mergeCell ref="AC5:AD5"/>
    <mergeCell ref="AE5:AF5"/>
    <mergeCell ref="A6:A7"/>
    <mergeCell ref="B6:B7"/>
    <mergeCell ref="C6:AA7"/>
    <mergeCell ref="AG2:AG22"/>
    <mergeCell ref="AH2:BF2"/>
    <mergeCell ref="AC3:AD3"/>
    <mergeCell ref="AE3:AF3"/>
    <mergeCell ref="AB6:AB7"/>
    <mergeCell ref="A8:A22"/>
    <mergeCell ref="AC6:AC7"/>
    <mergeCell ref="AD6:AE6"/>
    <mergeCell ref="AF6:AF7"/>
  </mergeCells>
  <phoneticPr fontId="15" type="noConversion"/>
  <conditionalFormatting sqref="AE4:AF4 AC5">
    <cfRule type="cellIs" dxfId="11" priority="11" operator="lessThanOrEqual">
      <formula>0</formula>
    </cfRule>
  </conditionalFormatting>
  <conditionalFormatting sqref="AF8:AF23 AC8:AC23 B8:B22 AB4 AE3:AF3 C5:AB5 AH8:BF22 AH3:BF3">
    <cfRule type="notContainsBlanks" dxfId="10" priority="12">
      <formula>LEN(TRIM(B3))&gt;0</formula>
    </cfRule>
  </conditionalFormatting>
  <conditionalFormatting sqref="AE4:AF4">
    <cfRule type="cellIs" dxfId="9" priority="9" operator="greaterThanOrEqual">
      <formula>20</formula>
    </cfRule>
    <cfRule type="cellIs" dxfId="8" priority="10" operator="greaterThanOrEqual">
      <formula>1</formula>
    </cfRule>
  </conditionalFormatting>
  <conditionalFormatting sqref="AE5 A8 AD8:AE22 C3:AA4 C8:AB22 AE2 B1:B3">
    <cfRule type="containsBlanks" dxfId="7" priority="13">
      <formula>LEN(TRIM(A1))=0</formula>
    </cfRule>
    <cfRule type="notContainsBlanks" dxfId="6" priority="14">
      <formula>LEN(TRIM(A1))&gt;0</formula>
    </cfRule>
  </conditionalFormatting>
  <conditionalFormatting sqref="F1">
    <cfRule type="containsBlanks" dxfId="5" priority="7">
      <formula>LEN(TRIM(F1))=0</formula>
    </cfRule>
    <cfRule type="notContainsBlanks" dxfId="4" priority="8">
      <formula>LEN(TRIM(F1))&gt;0</formula>
    </cfRule>
  </conditionalFormatting>
  <conditionalFormatting sqref="K1">
    <cfRule type="containsBlanks" dxfId="3" priority="5">
      <formula>LEN(TRIM(K1))=0</formula>
    </cfRule>
    <cfRule type="notContainsBlanks" dxfId="2" priority="6">
      <formula>LEN(TRIM(K1))&gt;0</formula>
    </cfRule>
  </conditionalFormatting>
  <conditionalFormatting sqref="O1">
    <cfRule type="containsBlanks" dxfId="1" priority="1">
      <formula>LEN(TRIM(O1))=0</formula>
    </cfRule>
    <cfRule type="notContainsBlanks" dxfId="0" priority="2">
      <formula>LEN(TRIM(O1))&gt;0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Upload</vt:lpstr>
      <vt:lpstr>Sample</vt:lpstr>
      <vt:lpstr>公式转换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BensonChung鐘穎昀7221</cp:lastModifiedBy>
  <cp:lastPrinted>2024-02-22T02:24:19Z</cp:lastPrinted>
  <dcterms:created xsi:type="dcterms:W3CDTF">1996-12-17T01:32:42Z</dcterms:created>
  <dcterms:modified xsi:type="dcterms:W3CDTF">2025-03-11T09:06:26Z</dcterms:modified>
</cp:coreProperties>
</file>