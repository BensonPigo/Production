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showInkAnnotation="0" codeName="ThisWorkbook" defaultThemeVersion="124226"/>
  <bookViews>
    <workbookView xWindow="0" yWindow="0" windowWidth="23040" windowHeight="9750"/>
  </bookViews>
  <sheets>
    <sheet name="Upload" sheetId="56" r:id="rId1"/>
    <sheet name="Sample" sheetId="57" r:id="rId2"/>
    <sheet name="公式转换" sheetId="43" state="hidden" r:id="rId3"/>
    <sheet name="Notice" sheetId="58" r:id="rId4"/>
  </sheets>
  <calcPr calcId="144525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Y22" i="57" l="1"/>
  <c r="AX22" i="57"/>
  <c r="AW22" i="57"/>
  <c r="AV22" i="57"/>
  <c r="AU22" i="57"/>
  <c r="AT22" i="57"/>
  <c r="AS22" i="57"/>
  <c r="AR22" i="57"/>
  <c r="AQ22" i="57"/>
  <c r="AP22" i="57"/>
  <c r="AO22" i="57"/>
  <c r="AN22" i="57"/>
  <c r="AM22" i="57"/>
  <c r="AL22" i="57"/>
  <c r="AK22" i="57"/>
  <c r="AY21" i="57"/>
  <c r="AX21" i="57"/>
  <c r="AW21" i="57"/>
  <c r="AV21" i="57"/>
  <c r="AU21" i="57"/>
  <c r="AT21" i="57"/>
  <c r="AS21" i="57"/>
  <c r="AR21" i="57"/>
  <c r="AQ21" i="57"/>
  <c r="AP21" i="57"/>
  <c r="AO21" i="57"/>
  <c r="AN21" i="57"/>
  <c r="AM21" i="57"/>
  <c r="AL21" i="57"/>
  <c r="AK21" i="57"/>
  <c r="AY20" i="57"/>
  <c r="AX20" i="57"/>
  <c r="AW20" i="57"/>
  <c r="AV20" i="57"/>
  <c r="AU20" i="57"/>
  <c r="AT20" i="57"/>
  <c r="AS20" i="57"/>
  <c r="AR20" i="57"/>
  <c r="AQ20" i="57"/>
  <c r="AP20" i="57"/>
  <c r="AO20" i="57"/>
  <c r="AN20" i="57"/>
  <c r="AM20" i="57"/>
  <c r="AL20" i="57"/>
  <c r="AK20" i="57"/>
  <c r="AY19" i="57"/>
  <c r="AX19" i="57"/>
  <c r="AW19" i="57"/>
  <c r="AV19" i="57"/>
  <c r="AU19" i="57"/>
  <c r="AT19" i="57"/>
  <c r="AS19" i="57"/>
  <c r="AR19" i="57"/>
  <c r="AQ19" i="57"/>
  <c r="AP19" i="57"/>
  <c r="AO19" i="57"/>
  <c r="AN19" i="57"/>
  <c r="AM19" i="57"/>
  <c r="AL19" i="57"/>
  <c r="AK19" i="57"/>
  <c r="AY18" i="57"/>
  <c r="AX18" i="57"/>
  <c r="AW18" i="57"/>
  <c r="AV18" i="57"/>
  <c r="AU18" i="57"/>
  <c r="AT18" i="57"/>
  <c r="AS18" i="57"/>
  <c r="AR18" i="57"/>
  <c r="AQ18" i="57"/>
  <c r="AP18" i="57"/>
  <c r="AO18" i="57"/>
  <c r="AN18" i="57"/>
  <c r="AM18" i="57"/>
  <c r="AL18" i="57"/>
  <c r="AK18" i="57"/>
  <c r="AY17" i="57"/>
  <c r="AX17" i="57"/>
  <c r="AW17" i="57"/>
  <c r="AV17" i="57"/>
  <c r="AU17" i="57"/>
  <c r="AT17" i="57"/>
  <c r="AS17" i="57"/>
  <c r="AR17" i="57"/>
  <c r="AQ17" i="57"/>
  <c r="AP17" i="57"/>
  <c r="AO17" i="57"/>
  <c r="AN17" i="57"/>
  <c r="AM17" i="57"/>
  <c r="AL17" i="57"/>
  <c r="AK17" i="57"/>
  <c r="AY16" i="57"/>
  <c r="AX16" i="57"/>
  <c r="AW16" i="57"/>
  <c r="AV16" i="57"/>
  <c r="AU16" i="57"/>
  <c r="AT16" i="57"/>
  <c r="AS16" i="57"/>
  <c r="AR16" i="57"/>
  <c r="AQ16" i="57"/>
  <c r="AP16" i="57"/>
  <c r="AO16" i="57"/>
  <c r="AN16" i="57"/>
  <c r="AM16" i="57"/>
  <c r="AL16" i="57"/>
  <c r="AK16" i="57"/>
  <c r="AY15" i="57"/>
  <c r="AX15" i="57"/>
  <c r="AW15" i="57"/>
  <c r="AV15" i="57"/>
  <c r="AU15" i="57"/>
  <c r="AT15" i="57"/>
  <c r="AS15" i="57"/>
  <c r="AR15" i="57"/>
  <c r="AQ15" i="57"/>
  <c r="AP15" i="57"/>
  <c r="AO15" i="57"/>
  <c r="AN15" i="57"/>
  <c r="AM15" i="57"/>
  <c r="AL15" i="57"/>
  <c r="AK15" i="57"/>
  <c r="AY14" i="57"/>
  <c r="AX14" i="57"/>
  <c r="AW14" i="57"/>
  <c r="AV14" i="57"/>
  <c r="AU14" i="57"/>
  <c r="AT14" i="57"/>
  <c r="AS14" i="57"/>
  <c r="AR14" i="57"/>
  <c r="AQ14" i="57"/>
  <c r="AP14" i="57"/>
  <c r="AO14" i="57"/>
  <c r="AN14" i="57"/>
  <c r="AM14" i="57"/>
  <c r="AL14" i="57"/>
  <c r="AK14" i="57"/>
  <c r="AY13" i="57"/>
  <c r="AX13" i="57"/>
  <c r="AW13" i="57"/>
  <c r="AV13" i="57"/>
  <c r="AU13" i="57"/>
  <c r="AT13" i="57"/>
  <c r="AS13" i="57"/>
  <c r="AR13" i="57"/>
  <c r="AQ13" i="57"/>
  <c r="AP13" i="57"/>
  <c r="AO13" i="57"/>
  <c r="AN13" i="57"/>
  <c r="AM13" i="57"/>
  <c r="AL13" i="57"/>
  <c r="AK13" i="57"/>
  <c r="AY12" i="57"/>
  <c r="AX12" i="57"/>
  <c r="AW12" i="57"/>
  <c r="AV12" i="57"/>
  <c r="AU12" i="57"/>
  <c r="AT12" i="57"/>
  <c r="AS12" i="57"/>
  <c r="AR12" i="57"/>
  <c r="AQ12" i="57"/>
  <c r="AP12" i="57"/>
  <c r="AO12" i="57"/>
  <c r="AN12" i="57"/>
  <c r="AM12" i="57"/>
  <c r="AL12" i="57"/>
  <c r="AK12" i="57"/>
  <c r="AY11" i="57"/>
  <c r="AX11" i="57"/>
  <c r="AW11" i="57"/>
  <c r="AV11" i="57"/>
  <c r="AU11" i="57"/>
  <c r="AT11" i="57"/>
  <c r="AS11" i="57"/>
  <c r="AR11" i="57"/>
  <c r="AQ11" i="57"/>
  <c r="AP11" i="57"/>
  <c r="AO11" i="57"/>
  <c r="AN11" i="57"/>
  <c r="AM11" i="57"/>
  <c r="AL11" i="57"/>
  <c r="AK11" i="57"/>
  <c r="AY10" i="57"/>
  <c r="AX10" i="57"/>
  <c r="AW10" i="57"/>
  <c r="AV10" i="57"/>
  <c r="AU10" i="57"/>
  <c r="AT10" i="57"/>
  <c r="AS10" i="57"/>
  <c r="AR10" i="57"/>
  <c r="AQ10" i="57"/>
  <c r="AP10" i="57"/>
  <c r="AO10" i="57"/>
  <c r="AN10" i="57"/>
  <c r="AM10" i="57"/>
  <c r="AL10" i="57"/>
  <c r="AK10" i="57"/>
  <c r="AY9" i="57"/>
  <c r="AX9" i="57"/>
  <c r="AW9" i="57"/>
  <c r="AV9" i="57"/>
  <c r="AU9" i="57"/>
  <c r="AT9" i="57"/>
  <c r="AS9" i="57"/>
  <c r="AR9" i="57"/>
  <c r="AQ9" i="57"/>
  <c r="AP9" i="57"/>
  <c r="AO9" i="57"/>
  <c r="AN9" i="57"/>
  <c r="AM9" i="57"/>
  <c r="AL9" i="57"/>
  <c r="AK9" i="57"/>
  <c r="AY8" i="57"/>
  <c r="AX8" i="57"/>
  <c r="AW8" i="57"/>
  <c r="AV8" i="57"/>
  <c r="AU8" i="57"/>
  <c r="AT8" i="57"/>
  <c r="AS8" i="57"/>
  <c r="AR8" i="57"/>
  <c r="AQ8" i="57"/>
  <c r="AP8" i="57"/>
  <c r="AO8" i="57"/>
  <c r="AN8" i="57"/>
  <c r="AM8" i="57"/>
  <c r="AL8" i="57"/>
  <c r="AK8" i="57"/>
  <c r="AY24" i="56"/>
  <c r="AY23" i="56"/>
  <c r="AY22" i="56"/>
  <c r="AY21" i="56"/>
  <c r="AY20" i="56"/>
  <c r="AY19" i="56"/>
  <c r="AY18" i="56"/>
  <c r="AY17" i="56"/>
  <c r="AY16" i="56"/>
  <c r="AY15" i="56"/>
  <c r="AY14" i="56"/>
  <c r="AY13" i="56"/>
  <c r="AY12" i="56"/>
  <c r="AY11" i="56"/>
  <c r="AY10" i="56"/>
  <c r="AX23" i="56"/>
  <c r="AX22" i="56"/>
  <c r="AX21" i="56"/>
  <c r="AX20" i="56"/>
  <c r="AX19" i="56"/>
  <c r="AX18" i="56"/>
  <c r="AX17" i="56"/>
  <c r="AX16" i="56"/>
  <c r="AX15" i="56"/>
  <c r="AX14" i="56"/>
  <c r="AX13" i="56"/>
  <c r="AX12" i="56"/>
  <c r="AX11" i="56"/>
  <c r="AX10" i="56"/>
  <c r="AX24" i="56"/>
  <c r="AW24" i="56"/>
  <c r="AW23" i="56"/>
  <c r="AW22" i="56"/>
  <c r="AW21" i="56"/>
  <c r="AW20" i="56"/>
  <c r="AW19" i="56"/>
  <c r="AW18" i="56"/>
  <c r="AW17" i="56"/>
  <c r="AW16" i="56"/>
  <c r="AW15" i="56"/>
  <c r="AW14" i="56"/>
  <c r="AW13" i="56"/>
  <c r="AW12" i="56"/>
  <c r="AW11" i="56"/>
  <c r="AW10" i="56"/>
  <c r="AV24" i="56"/>
  <c r="AV23" i="56"/>
  <c r="AV22" i="56"/>
  <c r="AV21" i="56"/>
  <c r="AV20" i="56"/>
  <c r="AV19" i="56"/>
  <c r="AV18" i="56"/>
  <c r="AV17" i="56"/>
  <c r="AV16" i="56"/>
  <c r="AV15" i="56"/>
  <c r="AV14" i="56"/>
  <c r="AV13" i="56"/>
  <c r="AV12" i="56"/>
  <c r="AV11" i="56"/>
  <c r="AV10" i="56"/>
  <c r="AU24" i="56"/>
  <c r="AU23" i="56"/>
  <c r="AU22" i="56"/>
  <c r="AU21" i="56"/>
  <c r="AU20" i="56"/>
  <c r="AU19" i="56"/>
  <c r="AU18" i="56"/>
  <c r="AU17" i="56"/>
  <c r="AU16" i="56"/>
  <c r="AU15" i="56"/>
  <c r="AU14" i="56"/>
  <c r="AU13" i="56"/>
  <c r="AU12" i="56"/>
  <c r="AU11" i="56"/>
  <c r="AU10" i="56"/>
  <c r="AT24" i="56"/>
  <c r="AT23" i="56"/>
  <c r="AT22" i="56"/>
  <c r="AT21" i="56"/>
  <c r="AT20" i="56"/>
  <c r="AT19" i="56"/>
  <c r="AT18" i="56"/>
  <c r="AT17" i="56"/>
  <c r="AT16" i="56"/>
  <c r="AT15" i="56"/>
  <c r="AT14" i="56"/>
  <c r="AT13" i="56"/>
  <c r="AT12" i="56"/>
  <c r="AT11" i="56"/>
  <c r="AT10" i="56"/>
  <c r="AS24" i="56"/>
  <c r="AS23" i="56"/>
  <c r="AS22" i="56"/>
  <c r="AS21" i="56"/>
  <c r="AS20" i="56"/>
  <c r="AS19" i="56"/>
  <c r="AS18" i="56"/>
  <c r="AS17" i="56"/>
  <c r="AS16" i="56"/>
  <c r="AS15" i="56"/>
  <c r="AS14" i="56"/>
  <c r="AS13" i="56"/>
  <c r="AS12" i="56"/>
  <c r="AS11" i="56"/>
  <c r="AS10" i="56"/>
  <c r="AR24" i="56"/>
  <c r="AR23" i="56"/>
  <c r="AR22" i="56"/>
  <c r="AR21" i="56"/>
  <c r="AR20" i="56"/>
  <c r="AR19" i="56"/>
  <c r="AR18" i="56"/>
  <c r="AR17" i="56"/>
  <c r="AR16" i="56"/>
  <c r="AR15" i="56"/>
  <c r="AR14" i="56"/>
  <c r="AR13" i="56"/>
  <c r="AR12" i="56"/>
  <c r="AR11" i="56"/>
  <c r="AR10" i="56"/>
  <c r="AQ24" i="56"/>
  <c r="AQ23" i="56"/>
  <c r="AQ22" i="56"/>
  <c r="AQ21" i="56"/>
  <c r="AQ20" i="56"/>
  <c r="AQ19" i="56"/>
  <c r="AQ18" i="56"/>
  <c r="AQ17" i="56"/>
  <c r="AQ16" i="56"/>
  <c r="AQ15" i="56"/>
  <c r="AQ14" i="56"/>
  <c r="AQ13" i="56"/>
  <c r="AQ12" i="56"/>
  <c r="AQ11" i="56"/>
  <c r="AQ10" i="56"/>
  <c r="AP24" i="56"/>
  <c r="AP23" i="56"/>
  <c r="AP22" i="56"/>
  <c r="AP21" i="56"/>
  <c r="AP20" i="56"/>
  <c r="AP19" i="56"/>
  <c r="AP18" i="56"/>
  <c r="AP17" i="56"/>
  <c r="AP16" i="56"/>
  <c r="AP15" i="56"/>
  <c r="AP14" i="56"/>
  <c r="AP13" i="56"/>
  <c r="AP12" i="56"/>
  <c r="AP11" i="56"/>
  <c r="AP10" i="56"/>
  <c r="AO18" i="56"/>
  <c r="AO24" i="56"/>
  <c r="AO23" i="56"/>
  <c r="AO22" i="56"/>
  <c r="AO21" i="56"/>
  <c r="AO20" i="56"/>
  <c r="AO19" i="56"/>
  <c r="AO17" i="56"/>
  <c r="AO16" i="56"/>
  <c r="AO15" i="56"/>
  <c r="AO14" i="56"/>
  <c r="AO13" i="56"/>
  <c r="AO12" i="56"/>
  <c r="AO11" i="56"/>
  <c r="AO10" i="56"/>
  <c r="AN24" i="56"/>
  <c r="AN23" i="56"/>
  <c r="AN22" i="56"/>
  <c r="AN21" i="56"/>
  <c r="AN20" i="56"/>
  <c r="AN19" i="56"/>
  <c r="AN18" i="56"/>
  <c r="AN17" i="56"/>
  <c r="AN16" i="56"/>
  <c r="AN15" i="56"/>
  <c r="AN14" i="56"/>
  <c r="AN13" i="56"/>
  <c r="AN12" i="56"/>
  <c r="AN11" i="56"/>
  <c r="AN10" i="56"/>
  <c r="AM24" i="56"/>
  <c r="AM23" i="56"/>
  <c r="AM22" i="56"/>
  <c r="AM21" i="56"/>
  <c r="AM20" i="56"/>
  <c r="AM19" i="56"/>
  <c r="AM18" i="56"/>
  <c r="AM17" i="56"/>
  <c r="AM16" i="56"/>
  <c r="AM15" i="56"/>
  <c r="AM14" i="56"/>
  <c r="AM13" i="56"/>
  <c r="AM12" i="56"/>
  <c r="AM11" i="56"/>
  <c r="AM10" i="56"/>
  <c r="AL24" i="56"/>
  <c r="AL23" i="56"/>
  <c r="AL22" i="56"/>
  <c r="AL21" i="56"/>
  <c r="AL20" i="56"/>
  <c r="AL19" i="56"/>
  <c r="AL18" i="56"/>
  <c r="AL17" i="56"/>
  <c r="AL16" i="56"/>
  <c r="AL15" i="56"/>
  <c r="AL14" i="56"/>
  <c r="AL13" i="56"/>
  <c r="AL12" i="56"/>
  <c r="AL11" i="56"/>
  <c r="AL10" i="56"/>
  <c r="AK13" i="56"/>
  <c r="AK24" i="56"/>
  <c r="AK23" i="56"/>
  <c r="AK22" i="56"/>
  <c r="AK21" i="56"/>
  <c r="AK20" i="56"/>
  <c r="AK19" i="56"/>
  <c r="AK18" i="56"/>
  <c r="AK17" i="56"/>
  <c r="AK16" i="56"/>
  <c r="AK15" i="56"/>
  <c r="AK14" i="56"/>
  <c r="AK12" i="56"/>
  <c r="AK11" i="56"/>
  <c r="AK10" i="56"/>
  <c r="BI22" i="57" l="1"/>
  <c r="BH22" i="57"/>
  <c r="BG22" i="57"/>
  <c r="BF22" i="57"/>
  <c r="BE22" i="57"/>
  <c r="BD22" i="57"/>
  <c r="BC22" i="57"/>
  <c r="BB22" i="57"/>
  <c r="BA22" i="57"/>
  <c r="AZ22" i="57"/>
  <c r="AI22" i="57"/>
  <c r="AE22" i="57"/>
  <c r="BI21" i="57"/>
  <c r="BH21" i="57"/>
  <c r="BG21" i="57"/>
  <c r="BF21" i="57"/>
  <c r="BE21" i="57"/>
  <c r="BD21" i="57"/>
  <c r="BC21" i="57"/>
  <c r="BB21" i="57"/>
  <c r="BA21" i="57"/>
  <c r="AZ21" i="57"/>
  <c r="AI21" i="57"/>
  <c r="AE21" i="57"/>
  <c r="BI20" i="57"/>
  <c r="BH20" i="57"/>
  <c r="BG20" i="57"/>
  <c r="BF20" i="57"/>
  <c r="BE20" i="57"/>
  <c r="BD20" i="57"/>
  <c r="BC20" i="57"/>
  <c r="BB20" i="57"/>
  <c r="BA20" i="57"/>
  <c r="AZ20" i="57"/>
  <c r="AI20" i="57"/>
  <c r="AE20" i="57"/>
  <c r="BI19" i="57"/>
  <c r="BH19" i="57"/>
  <c r="BG19" i="57"/>
  <c r="BF19" i="57"/>
  <c r="BE19" i="57"/>
  <c r="BD19" i="57"/>
  <c r="BC19" i="57"/>
  <c r="BB19" i="57"/>
  <c r="BA19" i="57"/>
  <c r="AZ19" i="57"/>
  <c r="AI19" i="57"/>
  <c r="AE19" i="57"/>
  <c r="BI18" i="57"/>
  <c r="BH18" i="57"/>
  <c r="BG18" i="57"/>
  <c r="BF18" i="57"/>
  <c r="BE18" i="57"/>
  <c r="BD18" i="57"/>
  <c r="BC18" i="57"/>
  <c r="BB18" i="57"/>
  <c r="BA18" i="57"/>
  <c r="AZ18" i="57"/>
  <c r="AI18" i="57"/>
  <c r="AE18" i="57"/>
  <c r="BI17" i="57"/>
  <c r="BH17" i="57"/>
  <c r="BG17" i="57"/>
  <c r="BF17" i="57"/>
  <c r="BE17" i="57"/>
  <c r="BD17" i="57"/>
  <c r="BC17" i="57"/>
  <c r="BB17" i="57"/>
  <c r="BA17" i="57"/>
  <c r="AZ17" i="57"/>
  <c r="AI17" i="57"/>
  <c r="AE17" i="57"/>
  <c r="BI16" i="57"/>
  <c r="BH16" i="57"/>
  <c r="BG16" i="57"/>
  <c r="BF16" i="57"/>
  <c r="BE16" i="57"/>
  <c r="BD16" i="57"/>
  <c r="BC16" i="57"/>
  <c r="BB16" i="57"/>
  <c r="BA16" i="57"/>
  <c r="AZ16" i="57"/>
  <c r="AI16" i="57"/>
  <c r="AE16" i="57"/>
  <c r="BI15" i="57"/>
  <c r="BH15" i="57"/>
  <c r="BG15" i="57"/>
  <c r="BF15" i="57"/>
  <c r="BE15" i="57"/>
  <c r="BD15" i="57"/>
  <c r="BC15" i="57"/>
  <c r="BB15" i="57"/>
  <c r="BA15" i="57"/>
  <c r="AZ15" i="57"/>
  <c r="AI15" i="57"/>
  <c r="AE15" i="57"/>
  <c r="BI14" i="57"/>
  <c r="BH14" i="57"/>
  <c r="BG14" i="57"/>
  <c r="BF14" i="57"/>
  <c r="BE14" i="57"/>
  <c r="BD14" i="57"/>
  <c r="BC14" i="57"/>
  <c r="BB14" i="57"/>
  <c r="BA14" i="57"/>
  <c r="AZ14" i="57"/>
  <c r="AI14" i="57"/>
  <c r="AE14" i="57"/>
  <c r="BI13" i="57"/>
  <c r="BH13" i="57"/>
  <c r="BG13" i="57"/>
  <c r="BF13" i="57"/>
  <c r="BE13" i="57"/>
  <c r="BD13" i="57"/>
  <c r="BC13" i="57"/>
  <c r="BB13" i="57"/>
  <c r="BA13" i="57"/>
  <c r="AZ13" i="57"/>
  <c r="AI13" i="57"/>
  <c r="AE13" i="57"/>
  <c r="BI12" i="57"/>
  <c r="BH12" i="57"/>
  <c r="BG12" i="57"/>
  <c r="BF12" i="57"/>
  <c r="BE12" i="57"/>
  <c r="BD12" i="57"/>
  <c r="BC12" i="57"/>
  <c r="BB12" i="57"/>
  <c r="BA12" i="57"/>
  <c r="AZ12" i="57"/>
  <c r="AI12" i="57"/>
  <c r="AE12" i="57"/>
  <c r="BI11" i="57"/>
  <c r="BH11" i="57"/>
  <c r="BG11" i="57"/>
  <c r="BF11" i="57"/>
  <c r="BE11" i="57"/>
  <c r="BD11" i="57"/>
  <c r="BC11" i="57"/>
  <c r="BB11" i="57"/>
  <c r="BA11" i="57"/>
  <c r="AZ11" i="57"/>
  <c r="AI11" i="57"/>
  <c r="AE11" i="57"/>
  <c r="BI10" i="57"/>
  <c r="BH10" i="57"/>
  <c r="BG10" i="57"/>
  <c r="BF10" i="57"/>
  <c r="BE10" i="57"/>
  <c r="BD10" i="57"/>
  <c r="BC10" i="57"/>
  <c r="BB10" i="57"/>
  <c r="BA10" i="57"/>
  <c r="AI10" i="57"/>
  <c r="AE10" i="57"/>
  <c r="BI9" i="57"/>
  <c r="BH9" i="57"/>
  <c r="BG9" i="57"/>
  <c r="BF9" i="57"/>
  <c r="BE9" i="57"/>
  <c r="BD9" i="57"/>
  <c r="BC9" i="57"/>
  <c r="BB9" i="57"/>
  <c r="BA9" i="57"/>
  <c r="AZ9" i="57"/>
  <c r="AI9" i="57"/>
  <c r="AE9" i="57"/>
  <c r="BI8" i="57"/>
  <c r="BH8" i="57"/>
  <c r="BG8" i="57"/>
  <c r="BF8" i="57"/>
  <c r="BE8" i="57"/>
  <c r="BD8" i="57"/>
  <c r="BC8" i="57"/>
  <c r="BB8" i="57"/>
  <c r="BA8" i="57"/>
  <c r="AZ8" i="57"/>
  <c r="AI8" i="57"/>
  <c r="AE8" i="57"/>
  <c r="AC5" i="57"/>
  <c r="AB5" i="57"/>
  <c r="AA5" i="57"/>
  <c r="Z5" i="57"/>
  <c r="Y5" i="57"/>
  <c r="X5" i="57"/>
  <c r="W5" i="57"/>
  <c r="V5" i="57"/>
  <c r="U5" i="57"/>
  <c r="T5" i="57"/>
  <c r="AZ10" i="57" s="1"/>
  <c r="S5" i="57"/>
  <c r="R5" i="57"/>
  <c r="Q5" i="57"/>
  <c r="P5" i="57"/>
  <c r="O5" i="57"/>
  <c r="N5" i="57"/>
  <c r="M5" i="57"/>
  <c r="L5" i="57"/>
  <c r="K5" i="57"/>
  <c r="J5" i="57"/>
  <c r="I5" i="57"/>
  <c r="H5" i="57"/>
  <c r="G5" i="57"/>
  <c r="F5" i="57"/>
  <c r="E5" i="57"/>
  <c r="AD4" i="57"/>
  <c r="BI3" i="57"/>
  <c r="BH3" i="57"/>
  <c r="BG3" i="57"/>
  <c r="BF3" i="57"/>
  <c r="BE3" i="57"/>
  <c r="BD3" i="57"/>
  <c r="BC3" i="57"/>
  <c r="BB3" i="57"/>
  <c r="BA3" i="57"/>
  <c r="AZ3" i="57"/>
  <c r="AY3" i="57"/>
  <c r="AX3" i="57"/>
  <c r="AW3" i="57"/>
  <c r="AV3" i="57"/>
  <c r="AU3" i="57"/>
  <c r="AT3" i="57"/>
  <c r="AS3" i="57"/>
  <c r="AR3" i="57"/>
  <c r="AQ3" i="57"/>
  <c r="AP3" i="57"/>
  <c r="AO3" i="57"/>
  <c r="AN3" i="57"/>
  <c r="AM3" i="57"/>
  <c r="AL3" i="57"/>
  <c r="AK3" i="57"/>
  <c r="AD5" i="57" l="1"/>
  <c r="AE23" i="57"/>
  <c r="AI23" i="57"/>
  <c r="AG3" i="57"/>
  <c r="AG4" i="57" s="1"/>
  <c r="AE4" i="57" s="1"/>
  <c r="BI24" i="56" l="1"/>
  <c r="BH24" i="56"/>
  <c r="BG24" i="56"/>
  <c r="BF24" i="56"/>
  <c r="BE24" i="56"/>
  <c r="BD24" i="56"/>
  <c r="BC24" i="56"/>
  <c r="BB24" i="56"/>
  <c r="BA24" i="56"/>
  <c r="AZ24" i="56"/>
  <c r="AI24" i="56"/>
  <c r="AE24" i="56"/>
  <c r="BI23" i="56"/>
  <c r="BH23" i="56"/>
  <c r="BG23" i="56"/>
  <c r="BF23" i="56"/>
  <c r="BE23" i="56"/>
  <c r="BD23" i="56"/>
  <c r="BC23" i="56"/>
  <c r="BB23" i="56"/>
  <c r="BA23" i="56"/>
  <c r="AZ23" i="56"/>
  <c r="AI23" i="56"/>
  <c r="AE23" i="56"/>
  <c r="BI22" i="56"/>
  <c r="BH22" i="56"/>
  <c r="BG22" i="56"/>
  <c r="BF22" i="56"/>
  <c r="BE22" i="56"/>
  <c r="BD22" i="56"/>
  <c r="BC22" i="56"/>
  <c r="BB22" i="56"/>
  <c r="BA22" i="56"/>
  <c r="AZ22" i="56"/>
  <c r="AI22" i="56"/>
  <c r="AE22" i="56"/>
  <c r="BI21" i="56"/>
  <c r="BH21" i="56"/>
  <c r="BG21" i="56"/>
  <c r="BF21" i="56"/>
  <c r="BE21" i="56"/>
  <c r="BD21" i="56"/>
  <c r="BC21" i="56"/>
  <c r="BB21" i="56"/>
  <c r="BA21" i="56"/>
  <c r="AZ21" i="56"/>
  <c r="AI21" i="56"/>
  <c r="AE21" i="56"/>
  <c r="BI20" i="56"/>
  <c r="BH20" i="56"/>
  <c r="BG20" i="56"/>
  <c r="BF20" i="56"/>
  <c r="BE20" i="56"/>
  <c r="BD20" i="56"/>
  <c r="BC20" i="56"/>
  <c r="BB20" i="56"/>
  <c r="BA20" i="56"/>
  <c r="AZ20" i="56"/>
  <c r="AI20" i="56"/>
  <c r="AE20" i="56"/>
  <c r="BI19" i="56"/>
  <c r="BH19" i="56"/>
  <c r="BG19" i="56"/>
  <c r="BF19" i="56"/>
  <c r="BE19" i="56"/>
  <c r="BD19" i="56"/>
  <c r="BC19" i="56"/>
  <c r="BB19" i="56"/>
  <c r="BA19" i="56"/>
  <c r="AZ19" i="56"/>
  <c r="AI19" i="56"/>
  <c r="AE19" i="56"/>
  <c r="BI18" i="56"/>
  <c r="BH18" i="56"/>
  <c r="BG18" i="56"/>
  <c r="BF18" i="56"/>
  <c r="BE18" i="56"/>
  <c r="BD18" i="56"/>
  <c r="BC18" i="56"/>
  <c r="BB18" i="56"/>
  <c r="BA18" i="56"/>
  <c r="AZ18" i="56"/>
  <c r="AI18" i="56"/>
  <c r="AE18" i="56"/>
  <c r="BI17" i="56"/>
  <c r="BH17" i="56"/>
  <c r="BG17" i="56"/>
  <c r="BF17" i="56"/>
  <c r="BE17" i="56"/>
  <c r="BD17" i="56"/>
  <c r="BC17" i="56"/>
  <c r="BB17" i="56"/>
  <c r="BA17" i="56"/>
  <c r="AZ17" i="56"/>
  <c r="AI17" i="56"/>
  <c r="AE17" i="56"/>
  <c r="BI16" i="56"/>
  <c r="BH16" i="56"/>
  <c r="BG16" i="56"/>
  <c r="BF16" i="56"/>
  <c r="BE16" i="56"/>
  <c r="BD16" i="56"/>
  <c r="BC16" i="56"/>
  <c r="BB16" i="56"/>
  <c r="BA16" i="56"/>
  <c r="AZ16" i="56"/>
  <c r="AI16" i="56"/>
  <c r="AE16" i="56"/>
  <c r="BI15" i="56"/>
  <c r="BH15" i="56"/>
  <c r="BG15" i="56"/>
  <c r="BF15" i="56"/>
  <c r="BE15" i="56"/>
  <c r="BD15" i="56"/>
  <c r="BC15" i="56"/>
  <c r="BB15" i="56"/>
  <c r="BA15" i="56"/>
  <c r="AZ15" i="56"/>
  <c r="AI15" i="56"/>
  <c r="AE15" i="56"/>
  <c r="BI14" i="56"/>
  <c r="BH14" i="56"/>
  <c r="BG14" i="56"/>
  <c r="BF14" i="56"/>
  <c r="BE14" i="56"/>
  <c r="BD14" i="56"/>
  <c r="BC14" i="56"/>
  <c r="BB14" i="56"/>
  <c r="BA14" i="56"/>
  <c r="AZ14" i="56"/>
  <c r="AI14" i="56"/>
  <c r="AE14" i="56"/>
  <c r="BI13" i="56"/>
  <c r="BH13" i="56"/>
  <c r="BG13" i="56"/>
  <c r="BF13" i="56"/>
  <c r="BE13" i="56"/>
  <c r="BD13" i="56"/>
  <c r="BC13" i="56"/>
  <c r="BB13" i="56"/>
  <c r="BA13" i="56"/>
  <c r="AZ13" i="56"/>
  <c r="AI13" i="56"/>
  <c r="AE13" i="56"/>
  <c r="BI12" i="56"/>
  <c r="BH12" i="56"/>
  <c r="BG12" i="56"/>
  <c r="BF12" i="56"/>
  <c r="BE12" i="56"/>
  <c r="BD12" i="56"/>
  <c r="BC12" i="56"/>
  <c r="BB12" i="56"/>
  <c r="BA12" i="56"/>
  <c r="AI12" i="56"/>
  <c r="AE12" i="56"/>
  <c r="BI11" i="56"/>
  <c r="BH11" i="56"/>
  <c r="BG11" i="56"/>
  <c r="BF11" i="56"/>
  <c r="BE11" i="56"/>
  <c r="BC11" i="56"/>
  <c r="BB11" i="56"/>
  <c r="BA11" i="56"/>
  <c r="AI11" i="56"/>
  <c r="AE11" i="56"/>
  <c r="BI10" i="56"/>
  <c r="BH10" i="56"/>
  <c r="BG10" i="56"/>
  <c r="BF10" i="56"/>
  <c r="BE10" i="56"/>
  <c r="BD10" i="56"/>
  <c r="BC10" i="56"/>
  <c r="BB10" i="56"/>
  <c r="BA10" i="56"/>
  <c r="AZ10" i="56"/>
  <c r="AI10" i="56"/>
  <c r="AE10" i="56"/>
  <c r="AC7" i="56"/>
  <c r="AB7" i="56"/>
  <c r="AA7" i="56"/>
  <c r="Z7" i="56"/>
  <c r="Y7" i="56"/>
  <c r="X7" i="56"/>
  <c r="BD11" i="56" s="1"/>
  <c r="W7" i="56"/>
  <c r="V7" i="56"/>
  <c r="U7" i="56"/>
  <c r="T7" i="56"/>
  <c r="AZ11" i="56" s="1"/>
  <c r="S7" i="56"/>
  <c r="R7" i="56"/>
  <c r="Q7" i="56"/>
  <c r="P7" i="56"/>
  <c r="O7" i="56"/>
  <c r="N7" i="56"/>
  <c r="M7" i="56"/>
  <c r="L7" i="56"/>
  <c r="K7" i="56"/>
  <c r="J7" i="56"/>
  <c r="I7" i="56"/>
  <c r="H7" i="56"/>
  <c r="G7" i="56"/>
  <c r="F7" i="56"/>
  <c r="E7" i="56"/>
  <c r="AD6" i="56"/>
  <c r="BI5" i="56"/>
  <c r="BH5" i="56"/>
  <c r="BG5" i="56"/>
  <c r="BF5" i="56"/>
  <c r="BE5" i="56"/>
  <c r="BD5" i="56"/>
  <c r="BC5" i="56"/>
  <c r="BB5" i="56"/>
  <c r="BA5" i="56"/>
  <c r="AZ5" i="56"/>
  <c r="AY5" i="56"/>
  <c r="AX5" i="56"/>
  <c r="AW5" i="56"/>
  <c r="AV5" i="56"/>
  <c r="AU5" i="56"/>
  <c r="AT5" i="56"/>
  <c r="AS5" i="56"/>
  <c r="AR5" i="56"/>
  <c r="AQ5" i="56"/>
  <c r="AP5" i="56"/>
  <c r="AO5" i="56"/>
  <c r="AN5" i="56"/>
  <c r="AM5" i="56"/>
  <c r="AL5" i="56"/>
  <c r="AK5" i="56"/>
  <c r="AZ12" i="56" l="1"/>
  <c r="AE25" i="56"/>
  <c r="AG5" i="56"/>
  <c r="AG6" i="56" s="1"/>
  <c r="AE6" i="56" s="1"/>
  <c r="AI25" i="56"/>
  <c r="AD7" i="56"/>
  <c r="B5" i="43" l="1"/>
  <c r="N84" i="43" l="1"/>
  <c r="B8" i="43" l="1"/>
  <c r="C8" i="43" s="1"/>
  <c r="D8" i="43" s="1"/>
  <c r="D5" i="43"/>
  <c r="C5" i="43"/>
  <c r="B2" i="43"/>
  <c r="C2" i="43" s="1"/>
  <c r="D2" i="43" s="1"/>
</calcChain>
</file>

<file path=xl/sharedStrings.xml><?xml version="1.0" encoding="utf-8"?>
<sst xmlns="http://schemas.openxmlformats.org/spreadsheetml/2006/main" count="641" uniqueCount="606">
  <si>
    <t>Size Ratio</t>
  </si>
  <si>
    <t>DATE:</t>
    <phoneticPr fontId="3" type="noConversion"/>
  </si>
  <si>
    <t>码</t>
  </si>
  <si>
    <t>英寸</t>
  </si>
  <si>
    <t>米</t>
  </si>
  <si>
    <t>公分</t>
  </si>
  <si>
    <t>SP:</t>
    <phoneticPr fontId="3" type="noConversion"/>
  </si>
  <si>
    <t>Color:</t>
    <phoneticPr fontId="3" type="noConversion"/>
  </si>
  <si>
    <t>Layers</t>
  </si>
  <si>
    <t>ST：</t>
    <phoneticPr fontId="0" type="noConversion"/>
  </si>
  <si>
    <t>Mk Name</t>
  </si>
  <si>
    <t>Protec code</t>
  </si>
  <si>
    <t>M 01</t>
  </si>
  <si>
    <t>M 02</t>
  </si>
  <si>
    <t>M 03</t>
  </si>
  <si>
    <t>M 04</t>
  </si>
  <si>
    <t>M 05</t>
  </si>
  <si>
    <t>M 06</t>
  </si>
  <si>
    <t>M 07</t>
  </si>
  <si>
    <t>M 08</t>
  </si>
  <si>
    <t>M 09</t>
  </si>
  <si>
    <t>M 10</t>
  </si>
  <si>
    <t>M 11</t>
  </si>
  <si>
    <t>M 12</t>
  </si>
  <si>
    <t>M 13</t>
  </si>
  <si>
    <t>M 14</t>
  </si>
  <si>
    <t>M 15</t>
  </si>
  <si>
    <t>M 16</t>
  </si>
  <si>
    <t>M 17</t>
  </si>
  <si>
    <t>M 18</t>
  </si>
  <si>
    <t>M 19</t>
  </si>
  <si>
    <t>M 20</t>
  </si>
  <si>
    <t>M 21</t>
  </si>
  <si>
    <t>M 22</t>
  </si>
  <si>
    <t>M 23</t>
  </si>
  <si>
    <t>M 24</t>
  </si>
  <si>
    <t>M 25</t>
  </si>
  <si>
    <t>M 26</t>
  </si>
  <si>
    <t>M 27</t>
  </si>
  <si>
    <t>M 28</t>
  </si>
  <si>
    <t>M 29</t>
  </si>
  <si>
    <t>M 30</t>
  </si>
  <si>
    <t>M 31</t>
  </si>
  <si>
    <t>M 32</t>
  </si>
  <si>
    <t>M 33</t>
  </si>
  <si>
    <t>M 34</t>
  </si>
  <si>
    <t>M 35</t>
  </si>
  <si>
    <t>M 36</t>
  </si>
  <si>
    <t>M 37</t>
  </si>
  <si>
    <t>M 38</t>
  </si>
  <si>
    <t>M 39</t>
  </si>
  <si>
    <t>M 40</t>
  </si>
  <si>
    <t>M 41</t>
  </si>
  <si>
    <t>M 42</t>
  </si>
  <si>
    <t>M 43</t>
  </si>
  <si>
    <t>M 44</t>
  </si>
  <si>
    <t>M 45</t>
  </si>
  <si>
    <t>M 46</t>
  </si>
  <si>
    <t>M 47</t>
  </si>
  <si>
    <t>M 48</t>
  </si>
  <si>
    <t>M 49</t>
  </si>
  <si>
    <t>M 50</t>
  </si>
  <si>
    <t>M 51</t>
  </si>
  <si>
    <t>M 52</t>
  </si>
  <si>
    <t>M 53</t>
  </si>
  <si>
    <t>M 54</t>
  </si>
  <si>
    <t>M 55</t>
  </si>
  <si>
    <t>M 56</t>
  </si>
  <si>
    <t>M 57</t>
  </si>
  <si>
    <t>M 58</t>
  </si>
  <si>
    <t>M 59</t>
  </si>
  <si>
    <t>M 60</t>
  </si>
  <si>
    <t>M 61</t>
  </si>
  <si>
    <t>M 62</t>
  </si>
  <si>
    <t>M 63</t>
  </si>
  <si>
    <t>M 64</t>
  </si>
  <si>
    <t>M 65</t>
  </si>
  <si>
    <t>M 66</t>
  </si>
  <si>
    <t>M 67</t>
  </si>
  <si>
    <t>M 68</t>
  </si>
  <si>
    <t>M 69</t>
  </si>
  <si>
    <t>M 70</t>
  </si>
  <si>
    <t>M 71</t>
  </si>
  <si>
    <t>M 72</t>
  </si>
  <si>
    <t>M 73</t>
  </si>
  <si>
    <t>M 74</t>
  </si>
  <si>
    <t>M 75</t>
  </si>
  <si>
    <t>M 76</t>
  </si>
  <si>
    <t>M 77</t>
  </si>
  <si>
    <t>M 78</t>
  </si>
  <si>
    <t>M 79</t>
  </si>
  <si>
    <t>M 80</t>
  </si>
  <si>
    <t>M 81</t>
  </si>
  <si>
    <t>M 82</t>
  </si>
  <si>
    <t>M 83</t>
  </si>
  <si>
    <t>M 84</t>
  </si>
  <si>
    <t>M 85</t>
  </si>
  <si>
    <t>M 86</t>
  </si>
  <si>
    <t>M 87</t>
  </si>
  <si>
    <t>M 88</t>
  </si>
  <si>
    <t>M 89</t>
  </si>
  <si>
    <t>M 90</t>
  </si>
  <si>
    <t>M 91</t>
  </si>
  <si>
    <t>M 92</t>
  </si>
  <si>
    <t>M 93</t>
  </si>
  <si>
    <t>M 94</t>
  </si>
  <si>
    <t>M 95</t>
  </si>
  <si>
    <t>M 96</t>
  </si>
  <si>
    <t>M 97</t>
  </si>
  <si>
    <t>M 98</t>
  </si>
  <si>
    <t>M 99</t>
  </si>
  <si>
    <t>M 100</t>
  </si>
  <si>
    <t>M 101</t>
  </si>
  <si>
    <t>M 102</t>
  </si>
  <si>
    <t>M 103</t>
  </si>
  <si>
    <t>M 104</t>
  </si>
  <si>
    <t>M 105</t>
  </si>
  <si>
    <t>M 106</t>
  </si>
  <si>
    <t>M 107</t>
  </si>
  <si>
    <t>M 108</t>
  </si>
  <si>
    <t>M 109</t>
  </si>
  <si>
    <t>M 110</t>
  </si>
  <si>
    <t>M 111</t>
  </si>
  <si>
    <t>M 112</t>
  </si>
  <si>
    <t>M 113</t>
  </si>
  <si>
    <t>M 114</t>
  </si>
  <si>
    <t>M 115</t>
  </si>
  <si>
    <t>M 116</t>
  </si>
  <si>
    <t>M 117</t>
  </si>
  <si>
    <t>M 118</t>
  </si>
  <si>
    <t>M 119</t>
  </si>
  <si>
    <t>M 120</t>
  </si>
  <si>
    <t>M 121</t>
  </si>
  <si>
    <t>M 122</t>
  </si>
  <si>
    <t>M 123</t>
  </si>
  <si>
    <t>M 124</t>
  </si>
  <si>
    <t>M 125</t>
  </si>
  <si>
    <t>M 126</t>
  </si>
  <si>
    <t>M 127</t>
  </si>
  <si>
    <t>M 128</t>
  </si>
  <si>
    <t>M 129</t>
  </si>
  <si>
    <t>M 130</t>
  </si>
  <si>
    <t>M 131</t>
  </si>
  <si>
    <t>M 132</t>
  </si>
  <si>
    <t>M 133</t>
  </si>
  <si>
    <t>M 134</t>
  </si>
  <si>
    <t>M 135</t>
  </si>
  <si>
    <t>M 136</t>
  </si>
  <si>
    <t>M 137</t>
  </si>
  <si>
    <t>M 138</t>
  </si>
  <si>
    <t>M 139</t>
  </si>
  <si>
    <t>M 140</t>
  </si>
  <si>
    <t>M 141</t>
  </si>
  <si>
    <t>M 142</t>
  </si>
  <si>
    <t>M 143</t>
  </si>
  <si>
    <t>M 144</t>
  </si>
  <si>
    <t>M 145</t>
  </si>
  <si>
    <t>M 146</t>
  </si>
  <si>
    <t>M 147</t>
  </si>
  <si>
    <t>M 148</t>
  </si>
  <si>
    <t>M 149</t>
  </si>
  <si>
    <t>M 150</t>
  </si>
  <si>
    <t>M 151</t>
  </si>
  <si>
    <t>M 152</t>
  </si>
  <si>
    <t>M 153</t>
  </si>
  <si>
    <t>M 154</t>
  </si>
  <si>
    <t>M 155</t>
  </si>
  <si>
    <t>M 156</t>
  </si>
  <si>
    <t>M 157</t>
  </si>
  <si>
    <t>M 158</t>
  </si>
  <si>
    <t>M 159</t>
  </si>
  <si>
    <t>M 160</t>
  </si>
  <si>
    <t>M 161</t>
  </si>
  <si>
    <t>M 162</t>
  </si>
  <si>
    <t>M 163</t>
  </si>
  <si>
    <t>M 164</t>
  </si>
  <si>
    <t>M 165</t>
  </si>
  <si>
    <t>M 166</t>
  </si>
  <si>
    <t>M 167</t>
  </si>
  <si>
    <t>M 168</t>
  </si>
  <si>
    <t>M 169</t>
  </si>
  <si>
    <t>M 170</t>
  </si>
  <si>
    <t>M 171</t>
  </si>
  <si>
    <t>M 172</t>
  </si>
  <si>
    <t>M 173</t>
  </si>
  <si>
    <t>M 174</t>
  </si>
  <si>
    <t>M 175</t>
  </si>
  <si>
    <t>M 176</t>
  </si>
  <si>
    <t>M 177</t>
  </si>
  <si>
    <t>M 178</t>
  </si>
  <si>
    <t>M 179</t>
  </si>
  <si>
    <t>M 180</t>
  </si>
  <si>
    <t>M 181</t>
  </si>
  <si>
    <t>M 182</t>
  </si>
  <si>
    <t>M 183</t>
  </si>
  <si>
    <t>M 184</t>
  </si>
  <si>
    <t>M 185</t>
  </si>
  <si>
    <t>M 186</t>
  </si>
  <si>
    <t>M 187</t>
  </si>
  <si>
    <t>M 188</t>
  </si>
  <si>
    <t>M 189</t>
  </si>
  <si>
    <t>M 190</t>
  </si>
  <si>
    <t>M 191</t>
  </si>
  <si>
    <t>M 192</t>
  </si>
  <si>
    <t>M 193</t>
  </si>
  <si>
    <t>M 194</t>
  </si>
  <si>
    <t>M 195</t>
  </si>
  <si>
    <t>M 196</t>
  </si>
  <si>
    <t>M 197</t>
  </si>
  <si>
    <t>M 198</t>
  </si>
  <si>
    <t>M 199</t>
  </si>
  <si>
    <t>M 200</t>
  </si>
  <si>
    <t>M 201</t>
  </si>
  <si>
    <t>M 202</t>
  </si>
  <si>
    <t>M 203</t>
  </si>
  <si>
    <t>M 204</t>
  </si>
  <si>
    <t>M 205</t>
  </si>
  <si>
    <t>M 206</t>
  </si>
  <si>
    <t>M 207</t>
  </si>
  <si>
    <t>M 208</t>
  </si>
  <si>
    <t>M 209</t>
  </si>
  <si>
    <t>M 210</t>
  </si>
  <si>
    <t>M 211</t>
  </si>
  <si>
    <t>M 212</t>
  </si>
  <si>
    <t>M 213</t>
  </si>
  <si>
    <t>M 214</t>
  </si>
  <si>
    <t>M 215</t>
  </si>
  <si>
    <t>M 216</t>
  </si>
  <si>
    <t>M 217</t>
  </si>
  <si>
    <t>M 218</t>
  </si>
  <si>
    <t>M 219</t>
  </si>
  <si>
    <t>M 220</t>
  </si>
  <si>
    <t>M 221</t>
  </si>
  <si>
    <t>M 222</t>
  </si>
  <si>
    <t>M 223</t>
  </si>
  <si>
    <t>M 224</t>
  </si>
  <si>
    <t>M 225</t>
  </si>
  <si>
    <t>M 226</t>
  </si>
  <si>
    <t>M 227</t>
  </si>
  <si>
    <t>M 228</t>
  </si>
  <si>
    <t>M 229</t>
  </si>
  <si>
    <t>M 230</t>
  </si>
  <si>
    <t>M 231</t>
  </si>
  <si>
    <t>M 232</t>
  </si>
  <si>
    <t>M 233</t>
  </si>
  <si>
    <t>M 234</t>
  </si>
  <si>
    <t>M 235</t>
  </si>
  <si>
    <t>M 236</t>
  </si>
  <si>
    <t>M 237</t>
  </si>
  <si>
    <t>M 238</t>
  </si>
  <si>
    <t>M 239</t>
  </si>
  <si>
    <t>M 240</t>
  </si>
  <si>
    <t>M 241</t>
  </si>
  <si>
    <t>M 242</t>
  </si>
  <si>
    <t>M 243</t>
  </si>
  <si>
    <t>M 244</t>
  </si>
  <si>
    <t>M 245</t>
  </si>
  <si>
    <t>M 246</t>
  </si>
  <si>
    <t>M 247</t>
  </si>
  <si>
    <t>M 248</t>
  </si>
  <si>
    <t>M 249</t>
  </si>
  <si>
    <t>M 250</t>
  </si>
  <si>
    <t>M 251</t>
  </si>
  <si>
    <t>M 252</t>
  </si>
  <si>
    <t>M 253</t>
  </si>
  <si>
    <t>M 254</t>
  </si>
  <si>
    <t>M 255</t>
  </si>
  <si>
    <t>M 256</t>
  </si>
  <si>
    <t>M 257</t>
  </si>
  <si>
    <t>M 258</t>
  </si>
  <si>
    <t>M 259</t>
  </si>
  <si>
    <t>M 260</t>
  </si>
  <si>
    <t>M 261</t>
  </si>
  <si>
    <t>M 262</t>
  </si>
  <si>
    <t>M 263</t>
  </si>
  <si>
    <t>M 264</t>
  </si>
  <si>
    <t>M 265</t>
  </si>
  <si>
    <t>M 266</t>
  </si>
  <si>
    <t>M 267</t>
  </si>
  <si>
    <t>M 268</t>
  </si>
  <si>
    <t>M 269</t>
  </si>
  <si>
    <t>M 270</t>
  </si>
  <si>
    <t>M 271</t>
  </si>
  <si>
    <t>M 272</t>
  </si>
  <si>
    <t>M 273</t>
  </si>
  <si>
    <t>M 274</t>
  </si>
  <si>
    <t>M 275</t>
  </si>
  <si>
    <t>M 276</t>
  </si>
  <si>
    <t>M 277</t>
  </si>
  <si>
    <t>M 278</t>
  </si>
  <si>
    <t>M 279</t>
  </si>
  <si>
    <t>M 280</t>
  </si>
  <si>
    <t>M 281</t>
  </si>
  <si>
    <t>M 282</t>
  </si>
  <si>
    <t>M 283</t>
  </si>
  <si>
    <t>M 284</t>
  </si>
  <si>
    <t>M 285</t>
  </si>
  <si>
    <t>M 286</t>
  </si>
  <si>
    <t>M 287</t>
  </si>
  <si>
    <t>M 288</t>
  </si>
  <si>
    <t>M 289</t>
  </si>
  <si>
    <t>M 290</t>
  </si>
  <si>
    <t>M 291</t>
  </si>
  <si>
    <t>M 292</t>
  </si>
  <si>
    <t>M 293</t>
  </si>
  <si>
    <t>M 294</t>
  </si>
  <si>
    <t>M 295</t>
  </si>
  <si>
    <t>M 296</t>
  </si>
  <si>
    <t>M 297</t>
  </si>
  <si>
    <t>M 298</t>
  </si>
  <si>
    <t>M 299</t>
  </si>
  <si>
    <t>M 300</t>
  </si>
  <si>
    <t>M 301</t>
  </si>
  <si>
    <t>M 302</t>
  </si>
  <si>
    <t>M 303</t>
  </si>
  <si>
    <t>M 304</t>
  </si>
  <si>
    <t>M 305</t>
  </si>
  <si>
    <t>M 306</t>
  </si>
  <si>
    <t>M 307</t>
  </si>
  <si>
    <t>M 308</t>
  </si>
  <si>
    <t>M 309</t>
  </si>
  <si>
    <t>M 310</t>
  </si>
  <si>
    <t>M 311</t>
  </si>
  <si>
    <t>M 312</t>
  </si>
  <si>
    <t>M 313</t>
  </si>
  <si>
    <t>M 314</t>
  </si>
  <si>
    <t>M 315</t>
  </si>
  <si>
    <t>M 316</t>
  </si>
  <si>
    <t>M 317</t>
  </si>
  <si>
    <t>M 318</t>
  </si>
  <si>
    <t>M 319</t>
  </si>
  <si>
    <t>M 320</t>
  </si>
  <si>
    <t>M 321</t>
  </si>
  <si>
    <t>M 322</t>
  </si>
  <si>
    <t>M 323</t>
  </si>
  <si>
    <t>M 324</t>
  </si>
  <si>
    <t>M 325</t>
  </si>
  <si>
    <t>M 326</t>
  </si>
  <si>
    <t>M 327</t>
  </si>
  <si>
    <t>M 328</t>
  </si>
  <si>
    <t>M 329</t>
  </si>
  <si>
    <t>M 330</t>
  </si>
  <si>
    <t>M 331</t>
  </si>
  <si>
    <t>M 332</t>
  </si>
  <si>
    <t>M 333</t>
  </si>
  <si>
    <t>M 334</t>
  </si>
  <si>
    <t>M 335</t>
  </si>
  <si>
    <t>M 336</t>
  </si>
  <si>
    <t>M 337</t>
  </si>
  <si>
    <t>M 338</t>
  </si>
  <si>
    <t>M 339</t>
  </si>
  <si>
    <t>M 340</t>
  </si>
  <si>
    <t>M 341</t>
  </si>
  <si>
    <t>M 342</t>
  </si>
  <si>
    <t>M 343</t>
  </si>
  <si>
    <t>M 344</t>
  </si>
  <si>
    <t>M 345</t>
  </si>
  <si>
    <t>M 346</t>
  </si>
  <si>
    <t>M 347</t>
  </si>
  <si>
    <t>M 348</t>
  </si>
  <si>
    <t>M 349</t>
  </si>
  <si>
    <t>M 350</t>
  </si>
  <si>
    <t>M 351</t>
  </si>
  <si>
    <t>M 352</t>
  </si>
  <si>
    <t>M 353</t>
  </si>
  <si>
    <t>M 354</t>
  </si>
  <si>
    <t>M 355</t>
  </si>
  <si>
    <t>M 356</t>
  </si>
  <si>
    <t>M 357</t>
  </si>
  <si>
    <t>M 358</t>
  </si>
  <si>
    <t>M 359</t>
  </si>
  <si>
    <t>M 360</t>
  </si>
  <si>
    <t>M 361</t>
  </si>
  <si>
    <t>M 362</t>
  </si>
  <si>
    <t>M 363</t>
  </si>
  <si>
    <t>M 364</t>
  </si>
  <si>
    <t>M 365</t>
  </si>
  <si>
    <t>M 366</t>
  </si>
  <si>
    <t>M 367</t>
  </si>
  <si>
    <t>M 368</t>
  </si>
  <si>
    <t>M 369</t>
  </si>
  <si>
    <t>M 370</t>
  </si>
  <si>
    <t>M 371</t>
  </si>
  <si>
    <t>M 372</t>
  </si>
  <si>
    <t>M 373</t>
  </si>
  <si>
    <t>M 374</t>
  </si>
  <si>
    <t>M 375</t>
  </si>
  <si>
    <t>M 376</t>
  </si>
  <si>
    <t>M 377</t>
  </si>
  <si>
    <t>M 378</t>
  </si>
  <si>
    <t>M 379</t>
  </si>
  <si>
    <t>M 380</t>
  </si>
  <si>
    <t>M 381</t>
  </si>
  <si>
    <t>M 382</t>
  </si>
  <si>
    <t>M 383</t>
  </si>
  <si>
    <t>M 384</t>
  </si>
  <si>
    <t>M 385</t>
  </si>
  <si>
    <t>M 386</t>
  </si>
  <si>
    <t>M 387</t>
  </si>
  <si>
    <t>M 388</t>
  </si>
  <si>
    <t>M 389</t>
  </si>
  <si>
    <t>M 390</t>
  </si>
  <si>
    <t>M 391</t>
  </si>
  <si>
    <t>M 392</t>
  </si>
  <si>
    <t>M 393</t>
  </si>
  <si>
    <t>M 394</t>
  </si>
  <si>
    <t>M 395</t>
  </si>
  <si>
    <t>M 396</t>
  </si>
  <si>
    <t>M 397</t>
  </si>
  <si>
    <t>M 398</t>
  </si>
  <si>
    <t>M 399</t>
  </si>
  <si>
    <t>M 400</t>
  </si>
  <si>
    <t>M 401</t>
  </si>
  <si>
    <t>M 402</t>
  </si>
  <si>
    <t>M 403</t>
  </si>
  <si>
    <t>M 404</t>
  </si>
  <si>
    <t>M 405</t>
  </si>
  <si>
    <t>M 406</t>
  </si>
  <si>
    <t>M 407</t>
  </si>
  <si>
    <t>M 408</t>
  </si>
  <si>
    <t>M 409</t>
  </si>
  <si>
    <t>M 410</t>
  </si>
  <si>
    <t>M 411</t>
  </si>
  <si>
    <t>M 412</t>
  </si>
  <si>
    <t>M 413</t>
  </si>
  <si>
    <t>M 414</t>
  </si>
  <si>
    <t>M 415</t>
  </si>
  <si>
    <t>M 416</t>
  </si>
  <si>
    <t>M 417</t>
  </si>
  <si>
    <t>M 418</t>
  </si>
  <si>
    <t>M 419</t>
  </si>
  <si>
    <t>M 420</t>
  </si>
  <si>
    <t>M 421</t>
  </si>
  <si>
    <t>M 422</t>
  </si>
  <si>
    <t>M 423</t>
  </si>
  <si>
    <t>M 424</t>
  </si>
  <si>
    <t>M 425</t>
  </si>
  <si>
    <t>M 426</t>
  </si>
  <si>
    <t>M 427</t>
  </si>
  <si>
    <t>M 428</t>
  </si>
  <si>
    <t>M 429</t>
  </si>
  <si>
    <t>M 430</t>
  </si>
  <si>
    <t>M 431</t>
  </si>
  <si>
    <t>M 432</t>
  </si>
  <si>
    <t>M 433</t>
  </si>
  <si>
    <t>M 434</t>
  </si>
  <si>
    <t>M 435</t>
  </si>
  <si>
    <t>M 436</t>
  </si>
  <si>
    <t>M 437</t>
  </si>
  <si>
    <t>M 438</t>
  </si>
  <si>
    <t>M 439</t>
  </si>
  <si>
    <t>M 440</t>
  </si>
  <si>
    <t>M 441</t>
  </si>
  <si>
    <t>M 442</t>
  </si>
  <si>
    <t>M 443</t>
  </si>
  <si>
    <t>M 444</t>
  </si>
  <si>
    <t>M 445</t>
  </si>
  <si>
    <t>M 446</t>
  </si>
  <si>
    <t>M 447</t>
  </si>
  <si>
    <t>M 448</t>
  </si>
  <si>
    <t>M 449</t>
  </si>
  <si>
    <t>M 450</t>
  </si>
  <si>
    <t>M 451</t>
  </si>
  <si>
    <t>M 452</t>
  </si>
  <si>
    <t>M 453</t>
  </si>
  <si>
    <t>M 454</t>
  </si>
  <si>
    <t>M 455</t>
  </si>
  <si>
    <t>M 456</t>
  </si>
  <si>
    <t>M 457</t>
  </si>
  <si>
    <t>M 458</t>
  </si>
  <si>
    <t>M 459</t>
  </si>
  <si>
    <t>M 460</t>
  </si>
  <si>
    <t>M 461</t>
  </si>
  <si>
    <t>M 462</t>
  </si>
  <si>
    <t>M 463</t>
  </si>
  <si>
    <t>M 464</t>
  </si>
  <si>
    <t>M 465</t>
  </si>
  <si>
    <t>M 466</t>
  </si>
  <si>
    <t>M 467</t>
  </si>
  <si>
    <t>M 468</t>
  </si>
  <si>
    <t>M 469</t>
  </si>
  <si>
    <t>M 470</t>
  </si>
  <si>
    <t>M 471</t>
  </si>
  <si>
    <t>M 472</t>
  </si>
  <si>
    <t>M 473</t>
  </si>
  <si>
    <t>M 474</t>
  </si>
  <si>
    <t>M 475</t>
  </si>
  <si>
    <t>M 476</t>
  </si>
  <si>
    <t>M 477</t>
  </si>
  <si>
    <t>M 478</t>
  </si>
  <si>
    <t>M 479</t>
  </si>
  <si>
    <t>M 480</t>
  </si>
  <si>
    <t>M 481</t>
  </si>
  <si>
    <t>M 482</t>
  </si>
  <si>
    <t>M 483</t>
  </si>
  <si>
    <t>M 484</t>
  </si>
  <si>
    <t>M 485</t>
  </si>
  <si>
    <t>M 486</t>
  </si>
  <si>
    <t>M 487</t>
  </si>
  <si>
    <t>M 488</t>
  </si>
  <si>
    <t>M 489</t>
  </si>
  <si>
    <t>M 490</t>
  </si>
  <si>
    <t>M 491</t>
  </si>
  <si>
    <t>M 492</t>
  </si>
  <si>
    <t>M 493</t>
  </si>
  <si>
    <t>M 494</t>
  </si>
  <si>
    <t>M 495</t>
  </si>
  <si>
    <t>M 496</t>
  </si>
  <si>
    <t>M 497</t>
  </si>
  <si>
    <t>M 498</t>
  </si>
  <si>
    <t>M 499</t>
  </si>
  <si>
    <t>M 500</t>
  </si>
  <si>
    <t>M 501</t>
  </si>
  <si>
    <t>M 502</t>
  </si>
  <si>
    <t>M 503</t>
  </si>
  <si>
    <t>M 504</t>
  </si>
  <si>
    <t>M 505</t>
  </si>
  <si>
    <t>M 506</t>
  </si>
  <si>
    <t>M 507</t>
  </si>
  <si>
    <t>M 508</t>
  </si>
  <si>
    <t>M 509</t>
  </si>
  <si>
    <t>M 510</t>
  </si>
  <si>
    <t>M 511</t>
  </si>
  <si>
    <t>M 512</t>
  </si>
  <si>
    <t>M 513</t>
  </si>
  <si>
    <t>M 514</t>
  </si>
  <si>
    <t>M 515</t>
  </si>
  <si>
    <t>M 516</t>
  </si>
  <si>
    <t>M 517</t>
  </si>
  <si>
    <t>M 518</t>
  </si>
  <si>
    <t>M 519</t>
  </si>
  <si>
    <t>M 520</t>
  </si>
  <si>
    <t>M 521</t>
  </si>
  <si>
    <t>M 522</t>
  </si>
  <si>
    <t>M 523</t>
  </si>
  <si>
    <t>M 524</t>
  </si>
  <si>
    <t>M 525</t>
  </si>
  <si>
    <t>M 526</t>
  </si>
  <si>
    <t>M 527</t>
  </si>
  <si>
    <t>M 528</t>
  </si>
  <si>
    <t>M 529</t>
  </si>
  <si>
    <t>M 530</t>
  </si>
  <si>
    <t>M 531</t>
  </si>
  <si>
    <t>M 532</t>
  </si>
  <si>
    <t>M 533</t>
  </si>
  <si>
    <t>M 534</t>
  </si>
  <si>
    <t>M 535</t>
  </si>
  <si>
    <t>M 536</t>
  </si>
  <si>
    <t>M 537</t>
  </si>
  <si>
    <t>M 538</t>
  </si>
  <si>
    <t>M 539</t>
  </si>
  <si>
    <t>M 540</t>
  </si>
  <si>
    <t>M 541</t>
  </si>
  <si>
    <t>M 542</t>
  </si>
  <si>
    <t>M 543</t>
  </si>
  <si>
    <t>M 544</t>
  </si>
  <si>
    <t>M 545</t>
  </si>
  <si>
    <t>M 546</t>
  </si>
  <si>
    <t>M 547</t>
  </si>
  <si>
    <t>M 548</t>
  </si>
  <si>
    <t>M 549</t>
  </si>
  <si>
    <t>M 550</t>
  </si>
  <si>
    <t>M 551</t>
  </si>
  <si>
    <t>M 552</t>
  </si>
  <si>
    <t>M 553</t>
  </si>
  <si>
    <t>M 554</t>
  </si>
  <si>
    <t>M 555</t>
  </si>
  <si>
    <t>M 556</t>
  </si>
  <si>
    <t>M 557</t>
  </si>
  <si>
    <t>M 558</t>
  </si>
  <si>
    <t>M 559</t>
  </si>
  <si>
    <t>M 560</t>
  </si>
  <si>
    <t>M 561</t>
  </si>
  <si>
    <t>M 562</t>
  </si>
  <si>
    <t>CODE</t>
  </si>
  <si>
    <t>MK</t>
  </si>
  <si>
    <t>Mix Marker Calculation Sheet</t>
    <phoneticPr fontId="3" type="noConversion"/>
  </si>
  <si>
    <t>SIZE</t>
    <phoneticPr fontId="3" type="noConversion"/>
  </si>
  <si>
    <t>No.</t>
    <phoneticPr fontId="15" type="noConversion"/>
  </si>
  <si>
    <t>Ori. Cons.</t>
    <phoneticPr fontId="3" type="noConversion"/>
  </si>
  <si>
    <t>Aft. Cons.</t>
    <phoneticPr fontId="3" type="noConversion"/>
  </si>
  <si>
    <t>Qty.</t>
    <phoneticPr fontId="3" type="noConversion"/>
  </si>
  <si>
    <t>Marker Length</t>
    <phoneticPr fontId="3" type="noConversion"/>
  </si>
  <si>
    <t>Total Yards</t>
    <phoneticPr fontId="3" type="noConversion"/>
  </si>
  <si>
    <t>Yard</t>
    <phoneticPr fontId="3" type="noConversion"/>
  </si>
  <si>
    <t>Inch</t>
    <phoneticPr fontId="3" type="noConversion"/>
  </si>
  <si>
    <t>Ttl. Qty.</t>
    <phoneticPr fontId="15" type="noConversion"/>
  </si>
  <si>
    <t>Add. Revised Cons.</t>
    <phoneticPr fontId="15" type="noConversion"/>
  </si>
  <si>
    <t>Remaining Qty.</t>
    <phoneticPr fontId="15" type="noConversion"/>
  </si>
  <si>
    <t>Panel Code:</t>
    <phoneticPr fontId="15" type="noConversion"/>
  </si>
  <si>
    <t>Total Qty.</t>
    <phoneticPr fontId="3" type="noConversion"/>
  </si>
  <si>
    <t>Pattern Panel
(Fabric Combo)</t>
    <phoneticPr fontId="15" type="noConversion"/>
  </si>
  <si>
    <t>Ttl. Cons.</t>
    <phoneticPr fontId="15" type="noConversion"/>
  </si>
  <si>
    <t>Need Layers</t>
    <phoneticPr fontId="15" type="noConversion"/>
  </si>
  <si>
    <t>SEQ</t>
    <phoneticPr fontId="15" type="noConversion"/>
  </si>
  <si>
    <t>Pattern No. (Marker)</t>
    <phoneticPr fontId="15" type="noConversion"/>
  </si>
  <si>
    <t>Seq/
Cut#</t>
    <phoneticPr fontId="15" type="noConversion"/>
  </si>
  <si>
    <t>Tone</t>
    <phoneticPr fontId="15" type="noConversion"/>
  </si>
  <si>
    <t>No.</t>
    <phoneticPr fontId="3" type="noConversion"/>
  </si>
  <si>
    <t>Panel Code:</t>
    <phoneticPr fontId="3" type="noConversion"/>
  </si>
  <si>
    <t>Fabric Width</t>
    <phoneticPr fontId="15" type="noConversion"/>
  </si>
  <si>
    <t>Layers</t>
    <phoneticPr fontId="15" type="noConversion"/>
  </si>
  <si>
    <t>Marker Length</t>
    <phoneticPr fontId="15" type="noConversion"/>
  </si>
  <si>
    <t>Fabric Width</t>
    <phoneticPr fontId="15" type="noConversion"/>
  </si>
  <si>
    <t>Notes :</t>
  </si>
  <si>
    <t>1. Marker Length: If users enter both sides, the right-side Marker Length will take priority.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</si>
</sst>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_ * #,##0.00_ ;_ * \-#,##0.00_ ;_ * &quot;-&quot;??_ ;_ @_ "/>
    <numFmt numFmtId="177" formatCode="0.0000;[Red]0.0000"/>
    <numFmt numFmtId="178" formatCode="0.000_ "/>
    <numFmt numFmtId="179" formatCode="[$EUR]\ #,##0.00;[Red][$EUR]\ #,##0.00"/>
    <numFmt numFmtId="180" formatCode="yyyy/mm/dd"/>
  </numFmts>
  <fonts count="20">
    <font>
      <sz val="12"/>
      <name val="宋体"/>
      <charset val="134"/>
    </font>
    <font>
      <sz val="11"/>
      <color theme="1"/>
      <name val="新細明體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u/>
      <sz val="12"/>
      <color theme="10"/>
      <name val="宋体"/>
      <family val="3"/>
      <charset val="134"/>
    </font>
    <font>
      <sz val="10"/>
      <name val="Arial"/>
      <family val="2"/>
    </font>
    <font>
      <sz val="12"/>
      <name val="新細明體"/>
      <family val="1"/>
      <charset val="136"/>
    </font>
    <font>
      <sz val="11"/>
      <color indexed="17"/>
      <name val="宋体"/>
      <family val="3"/>
      <charset val="134"/>
    </font>
    <font>
      <sz val="12"/>
      <color theme="1"/>
      <name val="新細明體"/>
      <family val="1"/>
      <charset val="136"/>
    </font>
    <font>
      <sz val="12"/>
      <color theme="1"/>
      <name val="新細明體"/>
      <family val="2"/>
      <scheme val="minor"/>
    </font>
    <font>
      <sz val="12"/>
      <color theme="1"/>
      <name val="宋体"/>
      <family val="3"/>
      <charset val="134"/>
    </font>
    <font>
      <sz val="12"/>
      <name val="微軟正黑體"/>
      <family val="2"/>
      <charset val="136"/>
    </font>
    <font>
      <u/>
      <sz val="11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sz val="9"/>
      <name val="細明體"/>
      <family val="3"/>
      <charset val="136"/>
    </font>
    <font>
      <sz val="12"/>
      <name val="宋体"/>
    </font>
    <font>
      <b/>
      <sz val="16"/>
      <name val="Arial"/>
      <family val="2"/>
    </font>
    <font>
      <b/>
      <sz val="11"/>
      <color rgb="FFFF0000"/>
      <name val="Arial"/>
      <family val="2"/>
    </font>
    <font>
      <sz val="14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rgb="FF00B0F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rgb="FFFF0000"/>
      </bottom>
      <diagonal/>
    </border>
    <border>
      <left/>
      <right style="thin">
        <color indexed="64"/>
      </right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/>
      <right/>
      <top style="thin">
        <color indexed="64"/>
      </top>
      <bottom style="medium">
        <color rgb="FFFF0000"/>
      </bottom>
      <diagonal/>
    </border>
    <border>
      <left style="thin">
        <color indexed="64"/>
      </left>
      <right/>
      <top style="thin">
        <color indexed="64"/>
      </top>
      <bottom style="medium">
        <color rgb="FFFF0000"/>
      </bottom>
      <diagonal/>
    </border>
    <border>
      <left/>
      <right style="thin">
        <color indexed="64"/>
      </right>
      <top style="thin">
        <color indexed="64"/>
      </top>
      <bottom style="medium">
        <color rgb="FFFF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rgb="FFFF0000"/>
      </top>
      <bottom style="thin">
        <color indexed="64"/>
      </bottom>
      <diagonal/>
    </border>
    <border>
      <left/>
      <right/>
      <top style="medium">
        <color rgb="FFFF0000"/>
      </top>
      <bottom style="thin">
        <color indexed="64"/>
      </bottom>
      <diagonal/>
    </border>
    <border>
      <left/>
      <right style="thin">
        <color indexed="64"/>
      </right>
      <top style="medium">
        <color rgb="FFFF0000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89">
    <xf numFmtId="0" fontId="0" fillId="0" borderId="0"/>
    <xf numFmtId="0" fontId="4" fillId="0" borderId="0" applyNumberFormat="0" applyFill="0" applyBorder="0" applyAlignment="0" applyProtection="0"/>
    <xf numFmtId="0" fontId="2" fillId="0" borderId="0"/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0" fontId="1" fillId="0" borderId="0">
      <alignment vertical="center"/>
    </xf>
    <xf numFmtId="179" fontId="1" fillId="0" borderId="0">
      <alignment vertical="center"/>
    </xf>
    <xf numFmtId="0" fontId="1" fillId="0" borderId="0">
      <alignment vertical="center"/>
    </xf>
    <xf numFmtId="179" fontId="1" fillId="0" borderId="0">
      <alignment vertical="center"/>
    </xf>
    <xf numFmtId="0" fontId="1" fillId="0" borderId="0">
      <alignment vertical="center"/>
    </xf>
    <xf numFmtId="179" fontId="1" fillId="0" borderId="0">
      <alignment vertical="center"/>
    </xf>
    <xf numFmtId="0" fontId="1" fillId="0" borderId="0">
      <alignment vertical="center"/>
    </xf>
    <xf numFmtId="179" fontId="1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0" fontId="2" fillId="0" borderId="0"/>
    <xf numFmtId="179" fontId="6" fillId="0" borderId="0"/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6" fillId="0" borderId="0">
      <alignment vertical="center"/>
    </xf>
    <xf numFmtId="0" fontId="9" fillId="0" borderId="0"/>
    <xf numFmtId="179" fontId="9" fillId="0" borderId="0"/>
    <xf numFmtId="179" fontId="7" fillId="2" borderId="0" applyNumberFormat="0" applyBorder="0" applyAlignment="0" applyProtection="0">
      <alignment vertical="center"/>
    </xf>
    <xf numFmtId="179" fontId="5" fillId="0" borderId="0"/>
    <xf numFmtId="179" fontId="5" fillId="0" borderId="0"/>
    <xf numFmtId="179" fontId="5" fillId="0" borderId="0"/>
    <xf numFmtId="179" fontId="2" fillId="0" borderId="0">
      <alignment vertical="center"/>
    </xf>
    <xf numFmtId="179" fontId="2" fillId="0" borderId="0">
      <alignment vertical="center"/>
    </xf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10" fillId="0" borderId="0">
      <alignment vertical="center"/>
    </xf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10" fillId="0" borderId="0">
      <alignment vertical="center"/>
    </xf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</cellStyleXfs>
  <cellXfs count="99">
    <xf numFmtId="0" fontId="0" fillId="0" borderId="0" xfId="0"/>
    <xf numFmtId="0" fontId="11" fillId="0" borderId="0" xfId="0" applyFont="1" applyAlignment="1">
      <alignment vertical="center"/>
    </xf>
    <xf numFmtId="0" fontId="11" fillId="0" borderId="0" xfId="0" applyFont="1" applyAlignment="1" applyProtection="1">
      <alignment vertical="center"/>
      <protection hidden="1"/>
    </xf>
    <xf numFmtId="0" fontId="11" fillId="0" borderId="0" xfId="0" applyFont="1"/>
    <xf numFmtId="0" fontId="11" fillId="0" borderId="0" xfId="0" quotePrefix="1" applyFont="1" applyAlignment="1">
      <alignment horizontal="center" vertical="center"/>
    </xf>
    <xf numFmtId="0" fontId="11" fillId="0" borderId="0" xfId="0" applyFont="1" applyAlignment="1" applyProtection="1">
      <alignment vertical="center"/>
      <protection locked="0"/>
    </xf>
    <xf numFmtId="0" fontId="11" fillId="3" borderId="1" xfId="0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3" fillId="0" borderId="0" xfId="0" applyFont="1" applyFill="1" applyBorder="1" applyAlignment="1" applyProtection="1">
      <alignment vertical="center"/>
      <protection locked="0"/>
    </xf>
    <xf numFmtId="0" fontId="13" fillId="0" borderId="11" xfId="0" applyFont="1" applyFill="1" applyBorder="1" applyAlignment="1" applyProtection="1">
      <alignment vertical="center"/>
      <protection locked="0"/>
    </xf>
    <xf numFmtId="0" fontId="13" fillId="0" borderId="4" xfId="0" applyFont="1" applyFill="1" applyBorder="1" applyAlignment="1" applyProtection="1">
      <alignment horizontal="center" vertical="center"/>
      <protection locked="0"/>
    </xf>
    <xf numFmtId="49" fontId="13" fillId="0" borderId="1" xfId="0" applyNumberFormat="1" applyFont="1" applyFill="1" applyBorder="1" applyAlignment="1" applyProtection="1">
      <alignment horizontal="center" vertical="center"/>
      <protection locked="0"/>
    </xf>
    <xf numFmtId="0" fontId="13" fillId="0" borderId="1" xfId="0" applyFont="1" applyFill="1" applyBorder="1" applyAlignment="1" applyProtection="1">
      <alignment horizontal="center" vertical="center" shrinkToFit="1"/>
      <protection locked="0"/>
    </xf>
    <xf numFmtId="0" fontId="13" fillId="0" borderId="13" xfId="0" applyFont="1" applyFill="1" applyBorder="1" applyAlignment="1" applyProtection="1">
      <alignment vertical="center"/>
      <protection locked="0"/>
    </xf>
    <xf numFmtId="0" fontId="13" fillId="0" borderId="0" xfId="0" applyFont="1" applyFill="1" applyBorder="1" applyAlignment="1" applyProtection="1">
      <alignment horizontal="center" vertical="center"/>
    </xf>
    <xf numFmtId="0" fontId="13" fillId="0" borderId="11" xfId="0" applyFont="1" applyFill="1" applyBorder="1" applyAlignment="1" applyProtection="1">
      <alignment horizontal="center" vertical="center"/>
    </xf>
    <xf numFmtId="0" fontId="13" fillId="0" borderId="13" xfId="0" applyFont="1" applyFill="1" applyBorder="1" applyAlignment="1" applyProtection="1">
      <alignment horizontal="center" vertical="center"/>
    </xf>
    <xf numFmtId="4" fontId="13" fillId="0" borderId="1" xfId="0" applyNumberFormat="1" applyFont="1" applyFill="1" applyBorder="1" applyAlignment="1" applyProtection="1">
      <alignment horizontal="center" vertical="center"/>
    </xf>
    <xf numFmtId="4" fontId="13" fillId="0" borderId="1" xfId="0" applyNumberFormat="1" applyFont="1" applyFill="1" applyBorder="1" applyAlignment="1" applyProtection="1">
      <alignment horizontal="center" vertical="center" shrinkToFit="1"/>
    </xf>
    <xf numFmtId="3" fontId="13" fillId="0" borderId="1" xfId="0" applyNumberFormat="1" applyFont="1" applyFill="1" applyBorder="1" applyAlignment="1" applyProtection="1">
      <alignment horizontal="center" vertical="center"/>
    </xf>
    <xf numFmtId="0" fontId="13" fillId="0" borderId="11" xfId="0" applyFont="1" applyFill="1" applyBorder="1" applyAlignment="1" applyProtection="1">
      <alignment horizontal="center" vertical="center" shrinkToFit="1"/>
    </xf>
    <xf numFmtId="4" fontId="13" fillId="0" borderId="12" xfId="0" applyNumberFormat="1" applyFont="1" applyFill="1" applyBorder="1" applyAlignment="1" applyProtection="1">
      <alignment horizontal="center" vertical="center" shrinkToFit="1"/>
    </xf>
    <xf numFmtId="0" fontId="13" fillId="0" borderId="11" xfId="0" applyFont="1" applyFill="1" applyBorder="1" applyAlignment="1" applyProtection="1">
      <alignment vertical="center"/>
    </xf>
    <xf numFmtId="0" fontId="16" fillId="0" borderId="1" xfId="0" applyFont="1" applyFill="1" applyBorder="1" applyAlignment="1" applyProtection="1">
      <alignment horizontal="center" vertical="center"/>
      <protection locked="0"/>
    </xf>
    <xf numFmtId="0" fontId="14" fillId="0" borderId="12" xfId="0" applyFont="1" applyFill="1" applyBorder="1" applyAlignment="1" applyProtection="1">
      <alignment horizontal="center" vertical="center"/>
    </xf>
    <xf numFmtId="0" fontId="14" fillId="0" borderId="1" xfId="0" applyFont="1" applyFill="1" applyBorder="1" applyAlignment="1" applyProtection="1">
      <alignment horizontal="center" vertical="center" wrapText="1"/>
    </xf>
    <xf numFmtId="0" fontId="13" fillId="0" borderId="1" xfId="0" applyFont="1" applyFill="1" applyBorder="1" applyAlignment="1" applyProtection="1">
      <alignment horizontal="center" vertical="center"/>
    </xf>
    <xf numFmtId="0" fontId="13" fillId="0" borderId="1" xfId="0" applyFont="1" applyFill="1" applyBorder="1" applyAlignment="1" applyProtection="1">
      <alignment horizontal="center" vertical="center"/>
      <protection locked="0"/>
    </xf>
    <xf numFmtId="0" fontId="13" fillId="0" borderId="4" xfId="0" applyFont="1" applyFill="1" applyBorder="1" applyAlignment="1" applyProtection="1">
      <alignment horizontal="center" vertical="center"/>
    </xf>
    <xf numFmtId="0" fontId="14" fillId="0" borderId="1" xfId="0" applyFont="1" applyFill="1" applyBorder="1" applyAlignment="1" applyProtection="1">
      <alignment horizontal="center" vertical="center"/>
    </xf>
    <xf numFmtId="0" fontId="0" fillId="0" borderId="2" xfId="0" applyBorder="1"/>
    <xf numFmtId="0" fontId="13" fillId="0" borderId="10" xfId="0" applyFont="1" applyFill="1" applyBorder="1" applyAlignment="1" applyProtection="1">
      <alignment vertical="center"/>
      <protection locked="0"/>
    </xf>
    <xf numFmtId="0" fontId="13" fillId="0" borderId="15" xfId="0" applyFont="1" applyFill="1" applyBorder="1" applyAlignment="1" applyProtection="1">
      <alignment vertical="center"/>
      <protection locked="0"/>
    </xf>
    <xf numFmtId="0" fontId="13" fillId="0" borderId="7" xfId="0" applyFont="1" applyFill="1" applyBorder="1" applyAlignment="1" applyProtection="1">
      <alignment vertical="center"/>
      <protection locked="0"/>
    </xf>
    <xf numFmtId="0" fontId="0" fillId="0" borderId="9" xfId="0" applyBorder="1"/>
    <xf numFmtId="0" fontId="0" fillId="0" borderId="11" xfId="0" applyBorder="1"/>
    <xf numFmtId="0" fontId="0" fillId="0" borderId="0" xfId="0" applyProtection="1">
      <protection locked="0"/>
    </xf>
    <xf numFmtId="0" fontId="13" fillId="0" borderId="1" xfId="0" applyFont="1" applyFill="1" applyBorder="1" applyAlignment="1" applyProtection="1">
      <alignment horizontal="center" vertical="center"/>
      <protection locked="0"/>
    </xf>
    <xf numFmtId="0" fontId="14" fillId="0" borderId="1" xfId="0" applyFont="1" applyFill="1" applyBorder="1" applyAlignment="1" applyProtection="1">
      <alignment horizontal="center" vertical="center" wrapText="1"/>
    </xf>
    <xf numFmtId="0" fontId="13" fillId="0" borderId="4" xfId="0" applyFont="1" applyFill="1" applyBorder="1" applyAlignment="1" applyProtection="1">
      <alignment horizontal="center" vertical="center"/>
    </xf>
    <xf numFmtId="0" fontId="13" fillId="0" borderId="1" xfId="0" applyFont="1" applyFill="1" applyBorder="1" applyAlignment="1" applyProtection="1">
      <alignment horizontal="center" vertical="center"/>
    </xf>
    <xf numFmtId="0" fontId="13" fillId="0" borderId="18" xfId="0" applyNumberFormat="1" applyFont="1" applyFill="1" applyBorder="1" applyAlignment="1" applyProtection="1">
      <alignment vertical="center"/>
    </xf>
    <xf numFmtId="0" fontId="13" fillId="0" borderId="19" xfId="0" applyNumberFormat="1" applyFont="1" applyFill="1" applyBorder="1" applyAlignment="1" applyProtection="1">
      <alignment vertical="center"/>
    </xf>
    <xf numFmtId="0" fontId="13" fillId="0" borderId="1" xfId="0" applyFont="1" applyFill="1" applyBorder="1" applyAlignment="1" applyProtection="1">
      <alignment horizontal="center" vertical="center"/>
      <protection locked="0"/>
    </xf>
    <xf numFmtId="0" fontId="19" fillId="0" borderId="0" xfId="0" applyFont="1"/>
    <xf numFmtId="0" fontId="14" fillId="0" borderId="14" xfId="0" applyFont="1" applyFill="1" applyBorder="1" applyAlignment="1" applyProtection="1">
      <alignment horizontal="center" vertical="center"/>
    </xf>
    <xf numFmtId="0" fontId="14" fillId="0" borderId="13" xfId="0" applyFont="1" applyFill="1" applyBorder="1" applyAlignment="1" applyProtection="1">
      <alignment horizontal="center" vertical="center"/>
    </xf>
    <xf numFmtId="0" fontId="0" fillId="0" borderId="15" xfId="0" applyBorder="1" applyAlignment="1">
      <alignment horizontal="center" vertical="center"/>
    </xf>
    <xf numFmtId="0" fontId="17" fillId="0" borderId="1" xfId="0" applyFont="1" applyFill="1" applyBorder="1" applyAlignment="1" applyProtection="1">
      <alignment horizontal="center" vertical="center"/>
    </xf>
    <xf numFmtId="180" fontId="13" fillId="0" borderId="1" xfId="0" applyNumberFormat="1" applyFont="1" applyFill="1" applyBorder="1" applyAlignment="1" applyProtection="1">
      <alignment horizontal="center" vertical="center"/>
      <protection locked="0"/>
    </xf>
    <xf numFmtId="0" fontId="13" fillId="0" borderId="12" xfId="0" applyFont="1" applyFill="1" applyBorder="1" applyAlignment="1" applyProtection="1">
      <alignment horizontal="center" vertical="center"/>
      <protection locked="0"/>
    </xf>
    <xf numFmtId="0" fontId="14" fillId="0" borderId="15" xfId="0" applyFont="1" applyFill="1" applyBorder="1" applyAlignment="1" applyProtection="1">
      <alignment horizontal="center" vertical="center"/>
    </xf>
    <xf numFmtId="3" fontId="17" fillId="0" borderId="1" xfId="0" applyNumberFormat="1" applyFont="1" applyFill="1" applyBorder="1" applyAlignment="1" applyProtection="1">
      <alignment horizontal="center" vertical="center"/>
    </xf>
    <xf numFmtId="0" fontId="14" fillId="0" borderId="17" xfId="0" applyFont="1" applyFill="1" applyBorder="1" applyAlignment="1" applyProtection="1">
      <alignment horizontal="center" vertical="center"/>
    </xf>
    <xf numFmtId="0" fontId="14" fillId="0" borderId="19" xfId="0" applyFont="1" applyFill="1" applyBorder="1" applyAlignment="1" applyProtection="1">
      <alignment horizontal="center" vertical="center"/>
    </xf>
    <xf numFmtId="0" fontId="12" fillId="0" borderId="4" xfId="1" applyFont="1" applyFill="1" applyBorder="1" applyAlignment="1" applyProtection="1">
      <alignment horizontal="center" vertical="center"/>
    </xf>
    <xf numFmtId="0" fontId="12" fillId="0" borderId="8" xfId="1" applyFont="1" applyFill="1" applyBorder="1" applyAlignment="1" applyProtection="1">
      <alignment horizontal="center" vertical="center"/>
    </xf>
    <xf numFmtId="0" fontId="12" fillId="0" borderId="2" xfId="1" applyFont="1" applyFill="1" applyBorder="1" applyAlignment="1" applyProtection="1">
      <alignment horizontal="center" vertical="center"/>
    </xf>
    <xf numFmtId="0" fontId="14" fillId="0" borderId="1" xfId="0" applyFont="1" applyFill="1" applyBorder="1" applyAlignment="1" applyProtection="1">
      <alignment horizontal="center" vertical="center"/>
    </xf>
    <xf numFmtId="49" fontId="14" fillId="0" borderId="1" xfId="0" applyNumberFormat="1" applyFont="1" applyFill="1" applyBorder="1" applyAlignment="1" applyProtection="1">
      <alignment horizontal="center" vertical="center"/>
    </xf>
    <xf numFmtId="3" fontId="13" fillId="0" borderId="1" xfId="0" applyNumberFormat="1" applyFont="1" applyFill="1" applyBorder="1" applyAlignment="1" applyProtection="1">
      <alignment horizontal="center" vertical="center"/>
      <protection locked="0"/>
    </xf>
    <xf numFmtId="0" fontId="13" fillId="0" borderId="1" xfId="0" applyFont="1" applyFill="1" applyBorder="1" applyAlignment="1" applyProtection="1">
      <alignment horizontal="center" vertical="center"/>
      <protection locked="0"/>
    </xf>
    <xf numFmtId="0" fontId="13" fillId="0" borderId="3" xfId="0" applyFont="1" applyFill="1" applyBorder="1" applyAlignment="1" applyProtection="1">
      <alignment horizontal="center" vertical="center"/>
    </xf>
    <xf numFmtId="0" fontId="13" fillId="0" borderId="8" xfId="0" applyFont="1" applyFill="1" applyBorder="1" applyAlignment="1" applyProtection="1">
      <alignment horizontal="center" vertical="center"/>
    </xf>
    <xf numFmtId="0" fontId="13" fillId="0" borderId="4" xfId="0" applyFont="1" applyFill="1" applyBorder="1" applyAlignment="1" applyProtection="1">
      <alignment horizontal="center" vertical="center"/>
    </xf>
    <xf numFmtId="0" fontId="14" fillId="0" borderId="5" xfId="0" applyFont="1" applyFill="1" applyBorder="1" applyAlignment="1" applyProtection="1">
      <alignment horizontal="center" vertical="center"/>
    </xf>
    <xf numFmtId="0" fontId="14" fillId="0" borderId="16" xfId="0" applyFont="1" applyFill="1" applyBorder="1" applyAlignment="1" applyProtection="1">
      <alignment horizontal="center" vertical="center"/>
    </xf>
    <xf numFmtId="0" fontId="14" fillId="0" borderId="6" xfId="0" applyFont="1" applyFill="1" applyBorder="1" applyAlignment="1" applyProtection="1">
      <alignment horizontal="center" vertical="center"/>
    </xf>
    <xf numFmtId="178" fontId="13" fillId="0" borderId="1" xfId="0" applyNumberFormat="1" applyFont="1" applyFill="1" applyBorder="1" applyAlignment="1" applyProtection="1">
      <alignment horizontal="center" vertical="center"/>
    </xf>
    <xf numFmtId="0" fontId="14" fillId="0" borderId="12" xfId="0" applyFont="1" applyFill="1" applyBorder="1" applyAlignment="1" applyProtection="1">
      <alignment horizontal="center" vertical="center"/>
    </xf>
    <xf numFmtId="0" fontId="14" fillId="0" borderId="1" xfId="0" applyFont="1" applyFill="1" applyBorder="1" applyAlignment="1" applyProtection="1">
      <alignment horizontal="center" vertical="center" wrapText="1" shrinkToFit="1"/>
    </xf>
    <xf numFmtId="0" fontId="18" fillId="0" borderId="1" xfId="0" applyFont="1" applyFill="1" applyBorder="1" applyAlignment="1" applyProtection="1">
      <alignment horizontal="center" vertical="center"/>
    </xf>
    <xf numFmtId="0" fontId="14" fillId="0" borderId="1" xfId="0" applyFont="1" applyFill="1" applyBorder="1" applyAlignment="1" applyProtection="1">
      <alignment horizontal="center" vertical="center" wrapText="1"/>
    </xf>
    <xf numFmtId="177" fontId="14" fillId="0" borderId="1" xfId="0" applyNumberFormat="1" applyFont="1" applyFill="1" applyBorder="1" applyAlignment="1" applyProtection="1">
      <alignment horizontal="center" vertical="center" wrapText="1"/>
    </xf>
    <xf numFmtId="0" fontId="13" fillId="0" borderId="3" xfId="0" applyFont="1" applyFill="1" applyBorder="1" applyAlignment="1" applyProtection="1">
      <alignment horizontal="center" vertical="center" shrinkToFit="1"/>
      <protection locked="0"/>
    </xf>
    <xf numFmtId="0" fontId="13" fillId="0" borderId="8" xfId="0" applyFont="1" applyFill="1" applyBorder="1" applyAlignment="1" applyProtection="1">
      <alignment horizontal="center" vertical="center" shrinkToFit="1"/>
      <protection locked="0"/>
    </xf>
    <xf numFmtId="0" fontId="13" fillId="0" borderId="4" xfId="0" applyFont="1" applyFill="1" applyBorder="1" applyAlignment="1" applyProtection="1">
      <alignment horizontal="center" vertical="center" shrinkToFit="1"/>
      <protection locked="0"/>
    </xf>
    <xf numFmtId="49" fontId="13" fillId="0" borderId="17" xfId="0" applyNumberFormat="1" applyFont="1" applyFill="1" applyBorder="1" applyAlignment="1" applyProtection="1">
      <alignment horizontal="center" vertical="center"/>
      <protection locked="0"/>
    </xf>
    <xf numFmtId="49" fontId="13" fillId="0" borderId="18" xfId="0" applyNumberFormat="1" applyFont="1" applyFill="1" applyBorder="1" applyAlignment="1" applyProtection="1">
      <alignment horizontal="center" vertical="center"/>
      <protection locked="0"/>
    </xf>
    <xf numFmtId="0" fontId="0" fillId="0" borderId="18" xfId="0" applyBorder="1" applyAlignment="1">
      <alignment vertical="center"/>
    </xf>
    <xf numFmtId="0" fontId="14" fillId="0" borderId="3" xfId="0" applyFont="1" applyFill="1" applyBorder="1" applyAlignment="1" applyProtection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14" fillId="0" borderId="5" xfId="0" applyFont="1" applyFill="1" applyBorder="1" applyAlignment="1" applyProtection="1">
      <alignment horizontal="center" vertical="center" wrapText="1" shrinkToFit="1"/>
    </xf>
    <xf numFmtId="0" fontId="0" fillId="0" borderId="16" xfId="0" applyBorder="1" applyAlignment="1">
      <alignment horizontal="center" vertical="center" wrapText="1" shrinkToFit="1"/>
    </xf>
    <xf numFmtId="0" fontId="0" fillId="0" borderId="6" xfId="0" applyBorder="1" applyAlignment="1">
      <alignment horizontal="center" vertical="center" wrapText="1" shrinkToFit="1"/>
    </xf>
    <xf numFmtId="0" fontId="14" fillId="0" borderId="18" xfId="0" applyFont="1" applyFill="1" applyBorder="1" applyAlignment="1" applyProtection="1">
      <alignment horizontal="center" vertical="center"/>
    </xf>
    <xf numFmtId="0" fontId="13" fillId="0" borderId="17" xfId="0" applyFont="1" applyFill="1" applyBorder="1" applyAlignment="1" applyProtection="1">
      <alignment horizontal="center" vertical="center"/>
      <protection locked="0"/>
    </xf>
    <xf numFmtId="0" fontId="13" fillId="0" borderId="18" xfId="0" applyFont="1" applyFill="1" applyBorder="1" applyAlignment="1" applyProtection="1">
      <alignment horizontal="center" vertical="center"/>
      <protection locked="0"/>
    </xf>
    <xf numFmtId="0" fontId="13" fillId="0" borderId="19" xfId="0" applyFont="1" applyFill="1" applyBorder="1" applyAlignment="1" applyProtection="1">
      <alignment horizontal="center" vertical="center"/>
      <protection locked="0"/>
    </xf>
    <xf numFmtId="49" fontId="13" fillId="0" borderId="19" xfId="0" applyNumberFormat="1" applyFont="1" applyFill="1" applyBorder="1" applyAlignment="1" applyProtection="1">
      <alignment horizontal="center" vertical="center"/>
      <protection locked="0"/>
    </xf>
    <xf numFmtId="0" fontId="14" fillId="0" borderId="20" xfId="0" applyFont="1" applyFill="1" applyBorder="1" applyAlignment="1" applyProtection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</cellXfs>
  <cellStyles count="89">
    <cellStyle name="Comma 2" xfId="3"/>
    <cellStyle name="Comma 2 2" xfId="4"/>
    <cellStyle name="Comma 2 2 2" xfId="5"/>
    <cellStyle name="Comma 2 3" xfId="6"/>
    <cellStyle name="Normal 2" xfId="7"/>
    <cellStyle name="Normal 2 2" xfId="8"/>
    <cellStyle name="Normal 2 2 2" xfId="9"/>
    <cellStyle name="Normal 2 3" xfId="10"/>
    <cellStyle name="Normal 2_(Hikki's Copy)" xfId="11"/>
    <cellStyle name="Normal 3" xfId="12"/>
    <cellStyle name="Normal 3 2" xfId="13"/>
    <cellStyle name="Normal 4" xfId="14"/>
    <cellStyle name="Normal 4 2" xfId="15"/>
    <cellStyle name="Normal 5" xfId="16"/>
    <cellStyle name="Normal 5 2" xfId="17"/>
    <cellStyle name="Normal 6" xfId="18"/>
    <cellStyle name="Normal 6 2" xfId="19"/>
    <cellStyle name="Normal 7" xfId="20"/>
    <cellStyle name="Normal 7 2" xfId="21"/>
    <cellStyle name="Normal 8" xfId="22"/>
    <cellStyle name="Normal 9" xfId="23"/>
    <cellStyle name="oft Excel]_x000d__x000a_Comment=The open=/f lines load custom functions into the Paste Function list._x000d__x000a_Maximized=2_x000d__x000a_DefaultPath" xfId="24"/>
    <cellStyle name="oft Excel]_x000d__x000a_Comment=The open=/f lines load custom functions into the Paste Function list._x000d__x000a_Maximized=2_x000d__x000a_DefaultPath 2" xfId="25"/>
    <cellStyle name="Percent 2" xfId="26"/>
    <cellStyle name="Percent 2 2" xfId="27"/>
    <cellStyle name="一般" xfId="0" builtinId="0"/>
    <cellStyle name="一般 11 2 2 2 2" xfId="28"/>
    <cellStyle name="一般 2" xfId="29"/>
    <cellStyle name="一般 3" xfId="30"/>
    <cellStyle name="一般 3 2" xfId="31"/>
    <cellStyle name="好 2" xfId="32"/>
    <cellStyle name="常规 10" xfId="33"/>
    <cellStyle name="常规 10 2" xfId="34"/>
    <cellStyle name="常规 10 3" xfId="35"/>
    <cellStyle name="常规 11" xfId="36"/>
    <cellStyle name="常规 11 2" xfId="37"/>
    <cellStyle name="常规 12" xfId="2"/>
    <cellStyle name="常规 13" xfId="38"/>
    <cellStyle name="常规 14" xfId="39"/>
    <cellStyle name="常规 16" xfId="40"/>
    <cellStyle name="常规 17" xfId="41"/>
    <cellStyle name="常规 18" xfId="42"/>
    <cellStyle name="常规 19" xfId="43"/>
    <cellStyle name="常规 2" xfId="44"/>
    <cellStyle name="常规 2 2" xfId="45"/>
    <cellStyle name="常规 2 3" xfId="46"/>
    <cellStyle name="常规 2 4" xfId="47"/>
    <cellStyle name="常规 20" xfId="48"/>
    <cellStyle name="常规 21" xfId="49"/>
    <cellStyle name="常规 22" xfId="50"/>
    <cellStyle name="常规 23" xfId="51"/>
    <cellStyle name="常规 24" xfId="52"/>
    <cellStyle name="常规 25" xfId="53"/>
    <cellStyle name="常规 26" xfId="54"/>
    <cellStyle name="常规 27" xfId="55"/>
    <cellStyle name="常规 28" xfId="56"/>
    <cellStyle name="常规 29" xfId="57"/>
    <cellStyle name="常规 3" xfId="58"/>
    <cellStyle name="常规 3 2" xfId="59"/>
    <cellStyle name="常规 30" xfId="60"/>
    <cellStyle name="常规 31" xfId="61"/>
    <cellStyle name="常规 32" xfId="62"/>
    <cellStyle name="常规 33" xfId="63"/>
    <cellStyle name="常规 34" xfId="64"/>
    <cellStyle name="常规 35" xfId="65"/>
    <cellStyle name="常规 36" xfId="66"/>
    <cellStyle name="常规 37" xfId="67"/>
    <cellStyle name="常规 38" xfId="68"/>
    <cellStyle name="常规 39" xfId="69"/>
    <cellStyle name="常规 4" xfId="70"/>
    <cellStyle name="常规 4 2" xfId="71"/>
    <cellStyle name="常规 4 3" xfId="72"/>
    <cellStyle name="常规 40" xfId="73"/>
    <cellStyle name="常规 5" xfId="74"/>
    <cellStyle name="常规 5 2" xfId="75"/>
    <cellStyle name="常规 5 3" xfId="76"/>
    <cellStyle name="常规 6" xfId="77"/>
    <cellStyle name="常规 6 2" xfId="78"/>
    <cellStyle name="常规 6 3" xfId="79"/>
    <cellStyle name="常规 7" xfId="80"/>
    <cellStyle name="常规 7 2" xfId="81"/>
    <cellStyle name="常规 7 3" xfId="82"/>
    <cellStyle name="常规 8" xfId="83"/>
    <cellStyle name="常规 8 2" xfId="84"/>
    <cellStyle name="常规 8 3" xfId="85"/>
    <cellStyle name="常规 9" xfId="86"/>
    <cellStyle name="常规 9 2" xfId="87"/>
    <cellStyle name="常规 9 3" xfId="88"/>
    <cellStyle name="超連結" xfId="1" builtinId="8"/>
  </cellStyles>
  <dxfs count="31"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3" tint="0.79998168889431442"/>
        </patternFill>
      </fill>
    </dxf>
    <dxf>
      <fill>
        <patternFill patternType="solid"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3" tint="0.79998168889431442"/>
        </patternFill>
      </fill>
    </dxf>
    <dxf>
      <fill>
        <patternFill patternType="solid">
          <bgColor rgb="FFFF0000"/>
        </patternFill>
      </fill>
    </dxf>
  </dxfs>
  <tableStyles count="0" defaultTableStyle="TableStyleMedium9" defaultPivotStyle="PivotStyleLight16"/>
  <colors>
    <mruColors>
      <color rgb="FF16F66B"/>
      <color rgb="FF78FAAA"/>
      <color rgb="FF0000CC"/>
      <color rgb="FFFF66FF"/>
      <color rgb="FFA1E38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BJ25"/>
  <sheetViews>
    <sheetView showGridLines="0" tabSelected="1" zoomScale="85" zoomScaleNormal="85" workbookViewId="0">
      <selection sqref="A1:AI1"/>
    </sheetView>
  </sheetViews>
  <sheetFormatPr defaultColWidth="8.75" defaultRowHeight="14.25"/>
  <cols>
    <col min="1" max="1" width="14.875" style="37" bestFit="1" customWidth="1"/>
    <col min="2" max="3" width="10.625" style="37" customWidth="1"/>
    <col min="4" max="4" width="9.625" style="37" bestFit="1" customWidth="1"/>
    <col min="5" max="19" width="6.75" style="37" customWidth="1"/>
    <col min="20" max="29" width="6.75" style="37" hidden="1" customWidth="1"/>
    <col min="30" max="30" width="9.5" style="37" customWidth="1"/>
    <col min="31" max="31" width="10.25" style="37" customWidth="1"/>
    <col min="32" max="33" width="8.75" style="37"/>
    <col min="34" max="34" width="15" style="37" bestFit="1" customWidth="1"/>
    <col min="35" max="36" width="8.75" style="37"/>
    <col min="37" max="51" width="6.75" style="37" customWidth="1"/>
    <col min="52" max="61" width="6.75" style="37" hidden="1" customWidth="1"/>
    <col min="62" max="16384" width="8.75" style="37"/>
  </cols>
  <sheetData>
    <row r="1" spans="1:62" customFormat="1" ht="20.25">
      <c r="A1" s="49" t="s">
        <v>576</v>
      </c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49"/>
      <c r="AC1" s="49"/>
      <c r="AD1" s="49"/>
      <c r="AE1" s="49"/>
      <c r="AF1" s="49"/>
      <c r="AG1" s="49"/>
      <c r="AH1" s="49"/>
      <c r="AI1" s="49"/>
      <c r="AJ1" s="30" t="s">
        <v>1</v>
      </c>
      <c r="AK1" s="50"/>
      <c r="AL1" s="50"/>
      <c r="AM1" s="50"/>
      <c r="AN1" s="50"/>
      <c r="AO1" s="15"/>
      <c r="AP1" s="15"/>
      <c r="AQ1" s="15"/>
      <c r="AR1" s="15"/>
      <c r="AS1" s="15"/>
      <c r="AT1" s="15"/>
      <c r="AU1" s="15"/>
      <c r="AV1" s="15"/>
      <c r="AW1" s="15"/>
      <c r="AX1" s="15"/>
      <c r="AY1" s="9"/>
      <c r="AZ1" s="9"/>
      <c r="BA1" s="9"/>
      <c r="BB1" s="9"/>
      <c r="BC1" s="9"/>
      <c r="BD1" s="9"/>
      <c r="BE1" s="9"/>
      <c r="BF1" s="9"/>
      <c r="BG1" s="9"/>
      <c r="BH1" s="9"/>
      <c r="BI1" s="34"/>
      <c r="BJ1" s="31"/>
    </row>
    <row r="2" spans="1:62" s="36" customFormat="1" ht="15.75" thickBot="1">
      <c r="A2" s="46" t="s">
        <v>6</v>
      </c>
      <c r="B2" s="83"/>
      <c r="C2" s="48"/>
      <c r="D2" s="51"/>
      <c r="E2" s="51"/>
      <c r="F2" s="51"/>
      <c r="G2" s="51"/>
      <c r="H2" s="25" t="s">
        <v>9</v>
      </c>
      <c r="I2" s="51"/>
      <c r="J2" s="51"/>
      <c r="K2" s="51"/>
      <c r="L2" s="51"/>
      <c r="M2" s="46"/>
      <c r="N2" s="52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  <c r="AS2" s="17"/>
      <c r="AT2" s="17"/>
      <c r="AU2" s="17"/>
      <c r="AV2" s="17"/>
      <c r="AW2" s="17"/>
      <c r="AX2" s="17"/>
      <c r="AY2" s="14"/>
      <c r="AZ2" s="14"/>
      <c r="BA2" s="14"/>
      <c r="BB2" s="14"/>
      <c r="BC2" s="14"/>
      <c r="BD2" s="14"/>
      <c r="BE2" s="14"/>
      <c r="BF2" s="14"/>
      <c r="BG2" s="14"/>
      <c r="BH2" s="14"/>
      <c r="BI2" s="33"/>
      <c r="BJ2" s="35"/>
    </row>
    <row r="3" spans="1:62" customFormat="1" ht="15">
      <c r="A3" s="54" t="s">
        <v>598</v>
      </c>
      <c r="B3" s="84"/>
      <c r="C3" s="85"/>
      <c r="D3" s="11"/>
      <c r="E3" s="54" t="s">
        <v>595</v>
      </c>
      <c r="F3" s="91"/>
      <c r="G3" s="55"/>
      <c r="H3" s="92"/>
      <c r="I3" s="93"/>
      <c r="J3" s="94"/>
      <c r="K3" s="54" t="s">
        <v>594</v>
      </c>
      <c r="L3" s="55"/>
      <c r="M3" s="78"/>
      <c r="N3" s="95"/>
      <c r="O3" s="54" t="s">
        <v>603</v>
      </c>
      <c r="P3" s="55"/>
      <c r="Q3" s="78"/>
      <c r="R3" s="79"/>
      <c r="S3" s="80"/>
      <c r="T3" s="42"/>
      <c r="U3" s="42"/>
      <c r="V3" s="42"/>
      <c r="W3" s="42"/>
      <c r="X3" s="42"/>
      <c r="Y3" s="42"/>
      <c r="Z3" s="42"/>
      <c r="AA3" s="42"/>
      <c r="AB3" s="42"/>
      <c r="AC3" s="43"/>
      <c r="AD3" s="56"/>
      <c r="AE3" s="56"/>
      <c r="AF3" s="56"/>
      <c r="AG3" s="56"/>
      <c r="AH3" s="56"/>
      <c r="AI3" s="56"/>
      <c r="AJ3" s="56"/>
      <c r="AK3" s="57"/>
      <c r="AL3" s="57"/>
      <c r="AM3" s="57"/>
      <c r="AN3" s="57"/>
      <c r="AO3" s="57"/>
      <c r="AP3" s="57"/>
      <c r="AQ3" s="57"/>
      <c r="AR3" s="57"/>
      <c r="AS3" s="57"/>
      <c r="AT3" s="57"/>
      <c r="AU3" s="57"/>
      <c r="AV3" s="57"/>
      <c r="AW3" s="57"/>
      <c r="AX3" s="58"/>
      <c r="AY3" s="9"/>
      <c r="AZ3" s="9"/>
      <c r="BA3" s="9"/>
      <c r="BB3" s="9"/>
      <c r="BC3" s="9"/>
      <c r="BD3" s="9"/>
      <c r="BE3" s="9"/>
      <c r="BF3" s="9"/>
      <c r="BG3" s="9"/>
      <c r="BH3" s="9"/>
      <c r="BI3" s="34"/>
      <c r="BJ3" s="31"/>
    </row>
    <row r="4" spans="1:62" customFormat="1" ht="15">
      <c r="A4" s="66" t="s">
        <v>599</v>
      </c>
      <c r="B4" s="86"/>
      <c r="C4" s="87"/>
      <c r="D4" s="12"/>
      <c r="E4" s="59" t="s">
        <v>577</v>
      </c>
      <c r="F4" s="59"/>
      <c r="G4" s="59"/>
      <c r="H4" s="59"/>
      <c r="I4" s="59"/>
      <c r="J4" s="59"/>
      <c r="K4" s="59"/>
      <c r="L4" s="59"/>
      <c r="M4" s="59"/>
      <c r="N4" s="59"/>
      <c r="O4" s="59"/>
      <c r="P4" s="59"/>
      <c r="Q4" s="59"/>
      <c r="R4" s="59"/>
      <c r="S4" s="59"/>
      <c r="T4" s="59"/>
      <c r="U4" s="59"/>
      <c r="V4" s="59"/>
      <c r="W4" s="59"/>
      <c r="X4" s="59"/>
      <c r="Y4" s="59"/>
      <c r="Z4" s="59"/>
      <c r="AA4" s="59"/>
      <c r="AB4" s="59"/>
      <c r="AC4" s="59"/>
      <c r="AD4" s="60" t="s">
        <v>590</v>
      </c>
      <c r="AE4" s="59" t="s">
        <v>579</v>
      </c>
      <c r="AF4" s="59"/>
      <c r="AG4" s="61"/>
      <c r="AH4" s="61"/>
      <c r="AI4" s="62"/>
      <c r="AJ4" s="63"/>
      <c r="AK4" s="66" t="s">
        <v>577</v>
      </c>
      <c r="AL4" s="67"/>
      <c r="AM4" s="67"/>
      <c r="AN4" s="67"/>
      <c r="AO4" s="67"/>
      <c r="AP4" s="67"/>
      <c r="AQ4" s="67"/>
      <c r="AR4" s="67"/>
      <c r="AS4" s="67"/>
      <c r="AT4" s="67"/>
      <c r="AU4" s="67"/>
      <c r="AV4" s="67"/>
      <c r="AW4" s="67"/>
      <c r="AX4" s="67"/>
      <c r="AY4" s="67"/>
      <c r="AZ4" s="67"/>
      <c r="BA4" s="67"/>
      <c r="BB4" s="67"/>
      <c r="BC4" s="67"/>
      <c r="BD4" s="67"/>
      <c r="BE4" s="67"/>
      <c r="BF4" s="67"/>
      <c r="BG4" s="67"/>
      <c r="BH4" s="67"/>
      <c r="BI4" s="68"/>
      <c r="BJ4" s="31"/>
    </row>
    <row r="5" spans="1:62" customFormat="1" ht="15">
      <c r="A5" s="88" t="s">
        <v>7</v>
      </c>
      <c r="B5" s="89"/>
      <c r="C5" s="90"/>
      <c r="D5" s="12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60"/>
      <c r="AE5" s="59" t="s">
        <v>580</v>
      </c>
      <c r="AF5" s="59"/>
      <c r="AG5" s="69">
        <f>SUM(AI10:AI24)</f>
        <v>0</v>
      </c>
      <c r="AH5" s="69"/>
      <c r="AI5" s="69"/>
      <c r="AJ5" s="64"/>
      <c r="AK5" s="29" t="str">
        <f t="shared" ref="AK5:AT5" si="0">IF(E5="", "", E5)</f>
        <v/>
      </c>
      <c r="AL5" s="29" t="str">
        <f t="shared" si="0"/>
        <v/>
      </c>
      <c r="AM5" s="29" t="str">
        <f t="shared" si="0"/>
        <v/>
      </c>
      <c r="AN5" s="29" t="str">
        <f t="shared" si="0"/>
        <v/>
      </c>
      <c r="AO5" s="29" t="str">
        <f t="shared" si="0"/>
        <v/>
      </c>
      <c r="AP5" s="29" t="str">
        <f t="shared" si="0"/>
        <v/>
      </c>
      <c r="AQ5" s="29" t="str">
        <f t="shared" si="0"/>
        <v/>
      </c>
      <c r="AR5" s="29" t="str">
        <f t="shared" si="0"/>
        <v/>
      </c>
      <c r="AS5" s="29" t="str">
        <f t="shared" si="0"/>
        <v/>
      </c>
      <c r="AT5" s="29" t="str">
        <f t="shared" si="0"/>
        <v/>
      </c>
      <c r="AU5" s="29" t="str">
        <f t="shared" ref="AU5:AX5" si="1">IF(O5="", "", O5)</f>
        <v/>
      </c>
      <c r="AV5" s="29" t="str">
        <f t="shared" si="1"/>
        <v/>
      </c>
      <c r="AW5" s="29" t="str">
        <f t="shared" si="1"/>
        <v/>
      </c>
      <c r="AX5" s="29" t="str">
        <f t="shared" si="1"/>
        <v/>
      </c>
      <c r="AY5" s="29" t="str">
        <f>IF(S5="", "", S5)</f>
        <v/>
      </c>
      <c r="AZ5" s="29" t="str">
        <f t="shared" ref="AZ5:BI5" si="2">IF(T5="", "", T5)</f>
        <v/>
      </c>
      <c r="BA5" s="29" t="str">
        <f t="shared" si="2"/>
        <v/>
      </c>
      <c r="BB5" s="29" t="str">
        <f t="shared" si="2"/>
        <v/>
      </c>
      <c r="BC5" s="29" t="str">
        <f t="shared" si="2"/>
        <v/>
      </c>
      <c r="BD5" s="29" t="str">
        <f t="shared" si="2"/>
        <v/>
      </c>
      <c r="BE5" s="29" t="str">
        <f t="shared" si="2"/>
        <v/>
      </c>
      <c r="BF5" s="29" t="str">
        <f t="shared" si="2"/>
        <v/>
      </c>
      <c r="BG5" s="29" t="str">
        <f t="shared" si="2"/>
        <v/>
      </c>
      <c r="BH5" s="29" t="str">
        <f t="shared" si="2"/>
        <v/>
      </c>
      <c r="BI5" s="29" t="str">
        <f t="shared" si="2"/>
        <v/>
      </c>
      <c r="BJ5" s="31"/>
    </row>
    <row r="6" spans="1:62" customFormat="1" ht="15">
      <c r="A6" s="71" t="s">
        <v>581</v>
      </c>
      <c r="B6" s="71"/>
      <c r="C6" s="71"/>
      <c r="D6" s="71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18">
        <f>SUM(E6:AC6)</f>
        <v>0</v>
      </c>
      <c r="AE6" s="72" t="str">
        <f>IF(AG6&lt;5,"NO ",IF(AG6=5,"OK",IF(AG6&gt;5,"OK")))</f>
        <v xml:space="preserve">NO </v>
      </c>
      <c r="AF6" s="72"/>
      <c r="AG6" s="69">
        <f>AG4-AG5-AG7</f>
        <v>0</v>
      </c>
      <c r="AH6" s="69"/>
      <c r="AI6" s="69"/>
      <c r="AJ6" s="64"/>
      <c r="AK6" s="53" t="s">
        <v>593</v>
      </c>
      <c r="AL6" s="53"/>
      <c r="AM6" s="53"/>
      <c r="AN6" s="53"/>
      <c r="AO6" s="53"/>
      <c r="AP6" s="53"/>
      <c r="AQ6" s="53"/>
      <c r="AR6" s="53"/>
      <c r="AS6" s="53"/>
      <c r="AT6" s="53"/>
      <c r="AU6" s="53"/>
      <c r="AV6" s="53"/>
      <c r="AW6" s="53"/>
      <c r="AX6" s="53"/>
      <c r="AY6" s="53"/>
      <c r="AZ6" s="53"/>
      <c r="BA6" s="53"/>
      <c r="BB6" s="53"/>
      <c r="BC6" s="53"/>
      <c r="BD6" s="53"/>
      <c r="BE6" s="53"/>
      <c r="BF6" s="53"/>
      <c r="BG6" s="53"/>
      <c r="BH6" s="53"/>
      <c r="BI6" s="53"/>
      <c r="BJ6" s="31"/>
    </row>
    <row r="7" spans="1:62" customFormat="1" ht="15">
      <c r="A7" s="71" t="s">
        <v>588</v>
      </c>
      <c r="B7" s="71"/>
      <c r="C7" s="71"/>
      <c r="D7" s="71"/>
      <c r="E7" s="27" t="str">
        <f t="shared" ref="E7:AC7" si="3">IF(E5="","",E6-E10*$AD10-E11*$AD11-E12*$AD12-E13*$AD13-E14*$AD14-E15*$AD15-E16*$AD16-E17*$AD17-E18*$AD18-E19*$AD19-E20*$AD20-E21*$AD21-E22*$AD22-E23*$AD23-E24*$AD24)</f>
        <v/>
      </c>
      <c r="F7" s="27" t="str">
        <f t="shared" si="3"/>
        <v/>
      </c>
      <c r="G7" s="27" t="str">
        <f t="shared" si="3"/>
        <v/>
      </c>
      <c r="H7" s="27" t="str">
        <f t="shared" si="3"/>
        <v/>
      </c>
      <c r="I7" s="27" t="str">
        <f t="shared" si="3"/>
        <v/>
      </c>
      <c r="J7" s="27" t="str">
        <f t="shared" si="3"/>
        <v/>
      </c>
      <c r="K7" s="27" t="str">
        <f t="shared" si="3"/>
        <v/>
      </c>
      <c r="L7" s="27" t="str">
        <f t="shared" si="3"/>
        <v/>
      </c>
      <c r="M7" s="27" t="str">
        <f t="shared" si="3"/>
        <v/>
      </c>
      <c r="N7" s="27" t="str">
        <f t="shared" si="3"/>
        <v/>
      </c>
      <c r="O7" s="27" t="str">
        <f t="shared" si="3"/>
        <v/>
      </c>
      <c r="P7" s="27" t="str">
        <f t="shared" si="3"/>
        <v/>
      </c>
      <c r="Q7" s="27" t="str">
        <f t="shared" si="3"/>
        <v/>
      </c>
      <c r="R7" s="27" t="str">
        <f t="shared" si="3"/>
        <v/>
      </c>
      <c r="S7" s="27" t="str">
        <f t="shared" si="3"/>
        <v/>
      </c>
      <c r="T7" s="27" t="str">
        <f t="shared" si="3"/>
        <v/>
      </c>
      <c r="U7" s="27" t="str">
        <f t="shared" si="3"/>
        <v/>
      </c>
      <c r="V7" s="27" t="str">
        <f t="shared" si="3"/>
        <v/>
      </c>
      <c r="W7" s="27" t="str">
        <f t="shared" si="3"/>
        <v/>
      </c>
      <c r="X7" s="27" t="str">
        <f t="shared" si="3"/>
        <v/>
      </c>
      <c r="Y7" s="27" t="str">
        <f t="shared" si="3"/>
        <v/>
      </c>
      <c r="Z7" s="27" t="str">
        <f t="shared" si="3"/>
        <v/>
      </c>
      <c r="AA7" s="27" t="str">
        <f t="shared" si="3"/>
        <v/>
      </c>
      <c r="AB7" s="27" t="str">
        <f t="shared" si="3"/>
        <v/>
      </c>
      <c r="AC7" s="27" t="str">
        <f t="shared" si="3"/>
        <v/>
      </c>
      <c r="AD7" s="27">
        <f>SUM(E7:AC7)</f>
        <v>0</v>
      </c>
      <c r="AE7" s="59" t="s">
        <v>587</v>
      </c>
      <c r="AF7" s="59"/>
      <c r="AG7" s="62"/>
      <c r="AH7" s="62"/>
      <c r="AI7" s="62"/>
      <c r="AJ7" s="64"/>
      <c r="AK7" s="53"/>
      <c r="AL7" s="53"/>
      <c r="AM7" s="53"/>
      <c r="AN7" s="53"/>
      <c r="AO7" s="53"/>
      <c r="AP7" s="53"/>
      <c r="AQ7" s="53"/>
      <c r="AR7" s="53"/>
      <c r="AS7" s="53"/>
      <c r="AT7" s="53"/>
      <c r="AU7" s="53"/>
      <c r="AV7" s="53"/>
      <c r="AW7" s="53"/>
      <c r="AX7" s="53"/>
      <c r="AY7" s="53"/>
      <c r="AZ7" s="53"/>
      <c r="BA7" s="53"/>
      <c r="BB7" s="53"/>
      <c r="BC7" s="53"/>
      <c r="BD7" s="53"/>
      <c r="BE7" s="53"/>
      <c r="BF7" s="53"/>
      <c r="BG7" s="53"/>
      <c r="BH7" s="53"/>
      <c r="BI7" s="53"/>
      <c r="BJ7" s="31"/>
    </row>
    <row r="8" spans="1:62" customFormat="1" ht="15">
      <c r="A8" s="73" t="s">
        <v>591</v>
      </c>
      <c r="B8" s="73" t="s">
        <v>596</v>
      </c>
      <c r="C8" s="59" t="s">
        <v>597</v>
      </c>
      <c r="D8" s="59" t="s">
        <v>10</v>
      </c>
      <c r="E8" s="59" t="s">
        <v>0</v>
      </c>
      <c r="F8" s="59"/>
      <c r="G8" s="59"/>
      <c r="H8" s="59"/>
      <c r="I8" s="59"/>
      <c r="J8" s="59"/>
      <c r="K8" s="59"/>
      <c r="L8" s="59"/>
      <c r="M8" s="59"/>
      <c r="N8" s="59"/>
      <c r="O8" s="59"/>
      <c r="P8" s="59"/>
      <c r="Q8" s="59"/>
      <c r="R8" s="59"/>
      <c r="S8" s="59"/>
      <c r="T8" s="59"/>
      <c r="U8" s="59"/>
      <c r="V8" s="59"/>
      <c r="W8" s="59"/>
      <c r="X8" s="59"/>
      <c r="Y8" s="59"/>
      <c r="Z8" s="59"/>
      <c r="AA8" s="59"/>
      <c r="AB8" s="59"/>
      <c r="AC8" s="59"/>
      <c r="AD8" s="59" t="s">
        <v>601</v>
      </c>
      <c r="AE8" s="73" t="s">
        <v>581</v>
      </c>
      <c r="AF8" s="73" t="s">
        <v>582</v>
      </c>
      <c r="AG8" s="73"/>
      <c r="AH8" s="81" t="s">
        <v>602</v>
      </c>
      <c r="AI8" s="74" t="s">
        <v>583</v>
      </c>
      <c r="AJ8" s="64"/>
      <c r="AK8" s="53"/>
      <c r="AL8" s="53"/>
      <c r="AM8" s="53"/>
      <c r="AN8" s="53"/>
      <c r="AO8" s="53"/>
      <c r="AP8" s="53"/>
      <c r="AQ8" s="53"/>
      <c r="AR8" s="53"/>
      <c r="AS8" s="53"/>
      <c r="AT8" s="53"/>
      <c r="AU8" s="53"/>
      <c r="AV8" s="53"/>
      <c r="AW8" s="53"/>
      <c r="AX8" s="53"/>
      <c r="AY8" s="53"/>
      <c r="AZ8" s="53"/>
      <c r="BA8" s="53"/>
      <c r="BB8" s="53"/>
      <c r="BC8" s="53"/>
      <c r="BD8" s="53"/>
      <c r="BE8" s="53"/>
      <c r="BF8" s="53"/>
      <c r="BG8" s="53"/>
      <c r="BH8" s="53"/>
      <c r="BI8" s="53"/>
      <c r="BJ8" s="31"/>
    </row>
    <row r="9" spans="1:62" customFormat="1" ht="15">
      <c r="A9" s="59"/>
      <c r="B9" s="59"/>
      <c r="C9" s="59"/>
      <c r="D9" s="59"/>
      <c r="E9" s="59"/>
      <c r="F9" s="59"/>
      <c r="G9" s="59"/>
      <c r="H9" s="59"/>
      <c r="I9" s="59"/>
      <c r="J9" s="59"/>
      <c r="K9" s="59"/>
      <c r="L9" s="59"/>
      <c r="M9" s="59"/>
      <c r="N9" s="59"/>
      <c r="O9" s="59"/>
      <c r="P9" s="59"/>
      <c r="Q9" s="59"/>
      <c r="R9" s="59"/>
      <c r="S9" s="59"/>
      <c r="T9" s="59"/>
      <c r="U9" s="59"/>
      <c r="V9" s="59"/>
      <c r="W9" s="59"/>
      <c r="X9" s="59"/>
      <c r="Y9" s="59"/>
      <c r="Z9" s="59"/>
      <c r="AA9" s="59"/>
      <c r="AB9" s="59"/>
      <c r="AC9" s="59"/>
      <c r="AD9" s="59"/>
      <c r="AE9" s="73"/>
      <c r="AF9" s="26" t="s">
        <v>584</v>
      </c>
      <c r="AG9" s="26" t="s">
        <v>585</v>
      </c>
      <c r="AH9" s="82"/>
      <c r="AI9" s="74"/>
      <c r="AJ9" s="64"/>
      <c r="AK9" s="53"/>
      <c r="AL9" s="53"/>
      <c r="AM9" s="53"/>
      <c r="AN9" s="53"/>
      <c r="AO9" s="53"/>
      <c r="AP9" s="53"/>
      <c r="AQ9" s="53"/>
      <c r="AR9" s="53"/>
      <c r="AS9" s="53"/>
      <c r="AT9" s="53"/>
      <c r="AU9" s="53"/>
      <c r="AV9" s="53"/>
      <c r="AW9" s="53"/>
      <c r="AX9" s="53"/>
      <c r="AY9" s="53"/>
      <c r="AZ9" s="53"/>
      <c r="BA9" s="53"/>
      <c r="BB9" s="53"/>
      <c r="BC9" s="53"/>
      <c r="BD9" s="53"/>
      <c r="BE9" s="53"/>
      <c r="BF9" s="53"/>
      <c r="BG9" s="53"/>
      <c r="BH9" s="53"/>
      <c r="BI9" s="53"/>
      <c r="BJ9" s="31"/>
    </row>
    <row r="10" spans="1:62" customFormat="1">
      <c r="A10" s="75"/>
      <c r="B10" s="12"/>
      <c r="C10" s="12"/>
      <c r="D10" s="12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19" t="str">
        <f t="shared" ref="AE10:AE24" si="4">IF(AD10="","",SUM(E10:AC10)*AD10)</f>
        <v/>
      </c>
      <c r="AF10" s="28"/>
      <c r="AG10" s="28"/>
      <c r="AH10" s="44"/>
      <c r="AI10" s="18" t="str">
        <f>IF(AD10="","",(AF10+(AG10/36))*AD10)</f>
        <v/>
      </c>
      <c r="AJ10" s="64"/>
      <c r="AK10" s="20" t="str">
        <f>IF(E10=0,"",ROUNDUP($E7/E10,0))</f>
        <v/>
      </c>
      <c r="AL10" s="20" t="str">
        <f>IF(F10=0,"",ROUNDUP($F7/F10,0))</f>
        <v/>
      </c>
      <c r="AM10" s="20" t="str">
        <f>IF(G10=0,"",ROUNDUP($G7/G10,0))</f>
        <v/>
      </c>
      <c r="AN10" s="20" t="str">
        <f>IF(H10=0,"",ROUNDUP($H7/H10,0))</f>
        <v/>
      </c>
      <c r="AO10" s="20" t="str">
        <f>IF(I10=0,"",ROUNDUP($I7/I10,0))</f>
        <v/>
      </c>
      <c r="AP10" s="20" t="str">
        <f>IF(J10=0,"",ROUNDUP($J7/J10,0))</f>
        <v/>
      </c>
      <c r="AQ10" s="20" t="str">
        <f>IF(K10=0,"",ROUNDUP($K7/K10,0))</f>
        <v/>
      </c>
      <c r="AR10" s="20" t="str">
        <f>IF(L10=0,"",ROUNDUP($L7/L10,0))</f>
        <v/>
      </c>
      <c r="AS10" s="20" t="str">
        <f>IF(M10=0,"",ROUNDUP($M7/M10,0))</f>
        <v/>
      </c>
      <c r="AT10" s="20" t="str">
        <f>IF(N10=0,"",ROUNDUP($N7/N10,0))</f>
        <v/>
      </c>
      <c r="AU10" s="20" t="str">
        <f>IF(O10=0,"",ROUNDUP($O7/O10,0))</f>
        <v/>
      </c>
      <c r="AV10" s="20" t="str">
        <f>IF(P10=0,"",ROUNDUP($P7/P10,0))</f>
        <v/>
      </c>
      <c r="AW10" s="20" t="str">
        <f>IF(Q10=0,"",ROUNDUP($Q7/Q10,0))</f>
        <v/>
      </c>
      <c r="AX10" s="20" t="str">
        <f>IF(R10=0,"",ROUNDUP($R7/R10,0))</f>
        <v/>
      </c>
      <c r="AY10" s="20" t="str">
        <f>IF(S10=0,"",ROUNDUP($S7/S10,0))</f>
        <v/>
      </c>
      <c r="AZ10" s="20" t="str">
        <f t="shared" ref="AZ10" si="5">IF(T10=0,"",ROUNDUP(T$7/T10,0))</f>
        <v/>
      </c>
      <c r="BA10" s="20" t="str">
        <f t="shared" ref="AZ10:BI24" si="6">IF(U10=0,"",ROUNDUP(U$7/U10,0))</f>
        <v/>
      </c>
      <c r="BB10" s="20" t="str">
        <f t="shared" si="6"/>
        <v/>
      </c>
      <c r="BC10" s="20" t="str">
        <f t="shared" si="6"/>
        <v/>
      </c>
      <c r="BD10" s="20" t="str">
        <f t="shared" si="6"/>
        <v/>
      </c>
      <c r="BE10" s="20" t="str">
        <f t="shared" si="6"/>
        <v/>
      </c>
      <c r="BF10" s="20" t="str">
        <f t="shared" si="6"/>
        <v/>
      </c>
      <c r="BG10" s="20" t="str">
        <f t="shared" si="6"/>
        <v/>
      </c>
      <c r="BH10" s="20" t="str">
        <f t="shared" si="6"/>
        <v/>
      </c>
      <c r="BI10" s="20" t="str">
        <f t="shared" si="6"/>
        <v/>
      </c>
      <c r="BJ10" s="31"/>
    </row>
    <row r="11" spans="1:62" customFormat="1">
      <c r="A11" s="76"/>
      <c r="B11" s="12"/>
      <c r="C11" s="12"/>
      <c r="D11" s="12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19" t="str">
        <f t="shared" si="4"/>
        <v/>
      </c>
      <c r="AF11" s="28"/>
      <c r="AG11" s="28"/>
      <c r="AH11" s="44"/>
      <c r="AI11" s="18" t="str">
        <f>IF(AD11="","",(AF11+(AG11/36))*AD11)</f>
        <v/>
      </c>
      <c r="AJ11" s="64"/>
      <c r="AK11" s="20" t="str">
        <f>IF(E11=0,"",ROUNDUP($E7/E11,0))</f>
        <v/>
      </c>
      <c r="AL11" s="20" t="str">
        <f>IF(F11=0,"",ROUNDUP($F7/F11,0))</f>
        <v/>
      </c>
      <c r="AM11" s="20" t="str">
        <f>IF(G11=0,"",ROUNDUP($G7/G11,0))</f>
        <v/>
      </c>
      <c r="AN11" s="20" t="str">
        <f>IF(H11=0,"",ROUNDUP($H7/H11,0))</f>
        <v/>
      </c>
      <c r="AO11" s="20" t="str">
        <f>IF(I11=0,"",ROUNDUP($I7/I11,0))</f>
        <v/>
      </c>
      <c r="AP11" s="20" t="str">
        <f>IF(J11=0,"",ROUNDUP($J7/J11,0))</f>
        <v/>
      </c>
      <c r="AQ11" s="20" t="str">
        <f>IF(K11=0,"",ROUNDUP($K7/K11,0))</f>
        <v/>
      </c>
      <c r="AR11" s="20" t="str">
        <f>IF(L11=0,"",ROUNDUP($L7/L11,0))</f>
        <v/>
      </c>
      <c r="AS11" s="20" t="str">
        <f>IF(M11=0,"",ROUNDUP($M7/M11,0))</f>
        <v/>
      </c>
      <c r="AT11" s="20" t="str">
        <f>IF(N11=0,"",ROUNDUP($N7/N11,0))</f>
        <v/>
      </c>
      <c r="AU11" s="20" t="str">
        <f>IF(O11=0,"",ROUNDUP($O7/O11,0))</f>
        <v/>
      </c>
      <c r="AV11" s="20" t="str">
        <f>IF(P11=0,"",ROUNDUP($P7/P11,0))</f>
        <v/>
      </c>
      <c r="AW11" s="20" t="str">
        <f>IF(Q11=0,"",ROUNDUP($Q7/Q11,0))</f>
        <v/>
      </c>
      <c r="AX11" s="20" t="str">
        <f>IF(R11=0,"",ROUNDUP($R7/R11,0))</f>
        <v/>
      </c>
      <c r="AY11" s="20" t="str">
        <f>IF(S11=0,"",ROUNDUP($S7/S11,0))</f>
        <v/>
      </c>
      <c r="AZ11" s="20" t="str">
        <f t="shared" si="6"/>
        <v/>
      </c>
      <c r="BA11" s="20" t="str">
        <f t="shared" si="6"/>
        <v/>
      </c>
      <c r="BB11" s="20" t="str">
        <f t="shared" si="6"/>
        <v/>
      </c>
      <c r="BC11" s="20" t="str">
        <f t="shared" si="6"/>
        <v/>
      </c>
      <c r="BD11" s="20" t="str">
        <f t="shared" si="6"/>
        <v/>
      </c>
      <c r="BE11" s="20" t="str">
        <f t="shared" si="6"/>
        <v/>
      </c>
      <c r="BF11" s="20" t="str">
        <f t="shared" si="6"/>
        <v/>
      </c>
      <c r="BG11" s="20" t="str">
        <f t="shared" si="6"/>
        <v/>
      </c>
      <c r="BH11" s="20" t="str">
        <f t="shared" si="6"/>
        <v/>
      </c>
      <c r="BI11" s="20" t="str">
        <f t="shared" si="6"/>
        <v/>
      </c>
      <c r="BJ11" s="31"/>
    </row>
    <row r="12" spans="1:62" customFormat="1">
      <c r="A12" s="76"/>
      <c r="B12" s="12"/>
      <c r="C12" s="12"/>
      <c r="D12" s="12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19" t="str">
        <f t="shared" si="4"/>
        <v/>
      </c>
      <c r="AF12" s="28"/>
      <c r="AG12" s="28"/>
      <c r="AH12" s="44"/>
      <c r="AI12" s="18" t="str">
        <f>IF(AD12="","",(AF12+(AG12/36))*AD12)</f>
        <v/>
      </c>
      <c r="AJ12" s="64"/>
      <c r="AK12" s="20" t="str">
        <f>IF(E12=0,"",ROUNDUP($E7/E12,0))</f>
        <v/>
      </c>
      <c r="AL12" s="20" t="str">
        <f>IF(F12=0,"",ROUNDUP($F7/F12,0))</f>
        <v/>
      </c>
      <c r="AM12" s="20" t="str">
        <f>IF(G12=0,"",ROUNDUP($G7/G12,0))</f>
        <v/>
      </c>
      <c r="AN12" s="20" t="str">
        <f>IF(H12=0,"",ROUNDUP($H7/H12,0))</f>
        <v/>
      </c>
      <c r="AO12" s="20" t="str">
        <f>IF(I12=0,"",ROUNDUP($I7/I12,0))</f>
        <v/>
      </c>
      <c r="AP12" s="20" t="str">
        <f>IF(J12=0,"",ROUNDUP($J7/J12,0))</f>
        <v/>
      </c>
      <c r="AQ12" s="20" t="str">
        <f>IF(K12=0,"",ROUNDUP($K7/K12,0))</f>
        <v/>
      </c>
      <c r="AR12" s="20" t="str">
        <f>IF(L12=0,"",ROUNDUP($L7/L12,0))</f>
        <v/>
      </c>
      <c r="AS12" s="20" t="str">
        <f>IF(M12=0,"",ROUNDUP($M7/M12,0))</f>
        <v/>
      </c>
      <c r="AT12" s="20" t="str">
        <f>IF(N12=0,"",ROUNDUP($N7/N12,0))</f>
        <v/>
      </c>
      <c r="AU12" s="20" t="str">
        <f>IF(O12=0,"",ROUNDUP($O7/O12,0))</f>
        <v/>
      </c>
      <c r="AV12" s="20" t="str">
        <f>IF(P12=0,"",ROUNDUP($P7/P12,0))</f>
        <v/>
      </c>
      <c r="AW12" s="20" t="str">
        <f>IF(Q12=0,"",ROUNDUP($Q7/Q12,0))</f>
        <v/>
      </c>
      <c r="AX12" s="20" t="str">
        <f>IF(R12=0,"",ROUNDUP($R7/R12,0))</f>
        <v/>
      </c>
      <c r="AY12" s="20" t="str">
        <f>IF(S12=0,"",ROUNDUP($S7/S12,0))</f>
        <v/>
      </c>
      <c r="AZ12" s="20" t="str">
        <f t="shared" si="6"/>
        <v/>
      </c>
      <c r="BA12" s="20" t="str">
        <f t="shared" si="6"/>
        <v/>
      </c>
      <c r="BB12" s="20" t="str">
        <f t="shared" si="6"/>
        <v/>
      </c>
      <c r="BC12" s="20" t="str">
        <f t="shared" si="6"/>
        <v/>
      </c>
      <c r="BD12" s="20" t="str">
        <f t="shared" si="6"/>
        <v/>
      </c>
      <c r="BE12" s="20" t="str">
        <f t="shared" si="6"/>
        <v/>
      </c>
      <c r="BF12" s="20" t="str">
        <f t="shared" si="6"/>
        <v/>
      </c>
      <c r="BG12" s="20" t="str">
        <f t="shared" si="6"/>
        <v/>
      </c>
      <c r="BH12" s="20" t="str">
        <f t="shared" si="6"/>
        <v/>
      </c>
      <c r="BI12" s="20" t="str">
        <f t="shared" si="6"/>
        <v/>
      </c>
      <c r="BJ12" s="31"/>
    </row>
    <row r="13" spans="1:62" customFormat="1">
      <c r="A13" s="76"/>
      <c r="B13" s="12"/>
      <c r="C13" s="12"/>
      <c r="D13" s="12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19" t="str">
        <f t="shared" si="4"/>
        <v/>
      </c>
      <c r="AF13" s="28"/>
      <c r="AG13" s="28"/>
      <c r="AH13" s="44"/>
      <c r="AI13" s="18" t="str">
        <f>IF(AD13="","",(AF13+(AG13/36))*AD13)</f>
        <v/>
      </c>
      <c r="AJ13" s="64"/>
      <c r="AK13" s="20" t="str">
        <f>IF(E13=0,"",ROUNDUP($E7/E13,0))</f>
        <v/>
      </c>
      <c r="AL13" s="20" t="str">
        <f>IF(F13=0,"",ROUNDUP($F7/F13,0))</f>
        <v/>
      </c>
      <c r="AM13" s="20" t="str">
        <f>IF(G13=0,"",ROUNDUP($G7/G13,0))</f>
        <v/>
      </c>
      <c r="AN13" s="20" t="str">
        <f>IF(H13=0,"",ROUNDUP($H7/H13,0))</f>
        <v/>
      </c>
      <c r="AO13" s="20" t="str">
        <f>IF(I13=0,"",ROUNDUP($I7/I13,0))</f>
        <v/>
      </c>
      <c r="AP13" s="20" t="str">
        <f>IF(J13=0,"",ROUNDUP($J7/J13,0))</f>
        <v/>
      </c>
      <c r="AQ13" s="20" t="str">
        <f>IF(K13=0,"",ROUNDUP($K7/K13,0))</f>
        <v/>
      </c>
      <c r="AR13" s="20" t="str">
        <f>IF(L13=0,"",ROUNDUP($L7/L13,0))</f>
        <v/>
      </c>
      <c r="AS13" s="20" t="str">
        <f>IF(M13=0,"",ROUNDUP($M7/M13,0))</f>
        <v/>
      </c>
      <c r="AT13" s="20" t="str">
        <f>IF(N13=0,"",ROUNDUP($N7/N13,0))</f>
        <v/>
      </c>
      <c r="AU13" s="20" t="str">
        <f>IF(O13=0,"",ROUNDUP($O7/O13,0))</f>
        <v/>
      </c>
      <c r="AV13" s="20" t="str">
        <f>IF(P13=0,"",ROUNDUP($P7/P13,0))</f>
        <v/>
      </c>
      <c r="AW13" s="20" t="str">
        <f>IF(Q13=0,"",ROUNDUP($Q7/Q13,0))</f>
        <v/>
      </c>
      <c r="AX13" s="20" t="str">
        <f>IF(R13=0,"",ROUNDUP($R7/R13,0))</f>
        <v/>
      </c>
      <c r="AY13" s="20" t="str">
        <f>IF(S13=0,"",ROUNDUP($S7/S13,0))</f>
        <v/>
      </c>
      <c r="AZ13" s="20" t="str">
        <f t="shared" si="6"/>
        <v/>
      </c>
      <c r="BA13" s="20" t="str">
        <f t="shared" si="6"/>
        <v/>
      </c>
      <c r="BB13" s="20" t="str">
        <f t="shared" si="6"/>
        <v/>
      </c>
      <c r="BC13" s="20" t="str">
        <f t="shared" si="6"/>
        <v/>
      </c>
      <c r="BD13" s="20" t="str">
        <f t="shared" si="6"/>
        <v/>
      </c>
      <c r="BE13" s="20" t="str">
        <f t="shared" si="6"/>
        <v/>
      </c>
      <c r="BF13" s="20" t="str">
        <f t="shared" si="6"/>
        <v/>
      </c>
      <c r="BG13" s="20" t="str">
        <f t="shared" si="6"/>
        <v/>
      </c>
      <c r="BH13" s="20" t="str">
        <f t="shared" si="6"/>
        <v/>
      </c>
      <c r="BI13" s="20" t="str">
        <f t="shared" si="6"/>
        <v/>
      </c>
      <c r="BJ13" s="31"/>
    </row>
    <row r="14" spans="1:62" customFormat="1">
      <c r="A14" s="76"/>
      <c r="B14" s="12"/>
      <c r="C14" s="12"/>
      <c r="D14" s="12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19" t="str">
        <f t="shared" si="4"/>
        <v/>
      </c>
      <c r="AF14" s="28"/>
      <c r="AG14" s="28"/>
      <c r="AH14" s="44"/>
      <c r="AI14" s="18" t="str">
        <f>IF(AD14="","",(AF14+(AG14/36))*AD14)</f>
        <v/>
      </c>
      <c r="AJ14" s="64"/>
      <c r="AK14" s="20" t="str">
        <f>IF(E14=0,"",ROUNDUP($E7/E14,0))</f>
        <v/>
      </c>
      <c r="AL14" s="20" t="str">
        <f>IF(F14=0,"",ROUNDUP($F7/F14,0))</f>
        <v/>
      </c>
      <c r="AM14" s="20" t="str">
        <f>IF(G14=0,"",ROUNDUP($G7/G14,0))</f>
        <v/>
      </c>
      <c r="AN14" s="20" t="str">
        <f>IF(H14=0,"",ROUNDUP($H7/H14,0))</f>
        <v/>
      </c>
      <c r="AO14" s="20" t="str">
        <f>IF(I14=0,"",ROUNDUP($I7/I14,0))</f>
        <v/>
      </c>
      <c r="AP14" s="20" t="str">
        <f>IF(J14=0,"",ROUNDUP($J7/J14,0))</f>
        <v/>
      </c>
      <c r="AQ14" s="20" t="str">
        <f>IF(K14=0,"",ROUNDUP($K7/K14,0))</f>
        <v/>
      </c>
      <c r="AR14" s="20" t="str">
        <f>IF(L14=0,"",ROUNDUP($L7/L14,0))</f>
        <v/>
      </c>
      <c r="AS14" s="20" t="str">
        <f>IF(M14=0,"",ROUNDUP($M7/M14,0))</f>
        <v/>
      </c>
      <c r="AT14" s="20" t="str">
        <f>IF(N14=0,"",ROUNDUP($N7/N14,0))</f>
        <v/>
      </c>
      <c r="AU14" s="20" t="str">
        <f>IF(O14=0,"",ROUNDUP($O7/O14,0))</f>
        <v/>
      </c>
      <c r="AV14" s="20" t="str">
        <f>IF(P14=0,"",ROUNDUP($P7/P14,0))</f>
        <v/>
      </c>
      <c r="AW14" s="20" t="str">
        <f>IF(Q14=0,"",ROUNDUP($Q7/Q14,0))</f>
        <v/>
      </c>
      <c r="AX14" s="20" t="str">
        <f>IF(R14=0,"",ROUNDUP($R7/R14,0))</f>
        <v/>
      </c>
      <c r="AY14" s="20" t="str">
        <f>IF(S14=0,"",ROUNDUP($S7/S14,0))</f>
        <v/>
      </c>
      <c r="AZ14" s="20" t="str">
        <f t="shared" si="6"/>
        <v/>
      </c>
      <c r="BA14" s="20" t="str">
        <f t="shared" si="6"/>
        <v/>
      </c>
      <c r="BB14" s="20" t="str">
        <f t="shared" si="6"/>
        <v/>
      </c>
      <c r="BC14" s="20" t="str">
        <f t="shared" si="6"/>
        <v/>
      </c>
      <c r="BD14" s="20" t="str">
        <f t="shared" si="6"/>
        <v/>
      </c>
      <c r="BE14" s="20" t="str">
        <f t="shared" si="6"/>
        <v/>
      </c>
      <c r="BF14" s="20" t="str">
        <f t="shared" si="6"/>
        <v/>
      </c>
      <c r="BG14" s="20" t="str">
        <f t="shared" si="6"/>
        <v/>
      </c>
      <c r="BH14" s="20" t="str">
        <f t="shared" si="6"/>
        <v/>
      </c>
      <c r="BI14" s="20" t="str">
        <f t="shared" si="6"/>
        <v/>
      </c>
      <c r="BJ14" s="31"/>
    </row>
    <row r="15" spans="1:62" customFormat="1">
      <c r="A15" s="76"/>
      <c r="B15" s="12"/>
      <c r="C15" s="12"/>
      <c r="D15" s="12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19" t="str">
        <f t="shared" si="4"/>
        <v/>
      </c>
      <c r="AF15" s="13"/>
      <c r="AG15" s="13"/>
      <c r="AH15" s="13"/>
      <c r="AI15" s="18" t="str">
        <f t="shared" ref="AI15:AI24" si="7">IF(AD15="","",(AF15+(AG15/36))*AD15)</f>
        <v/>
      </c>
      <c r="AJ15" s="64"/>
      <c r="AK15" s="20" t="str">
        <f>IF(E15=0,"",ROUNDUP($E7/E15,0))</f>
        <v/>
      </c>
      <c r="AL15" s="20" t="str">
        <f>IF(F15=0,"",ROUNDUP($F7/F15,0))</f>
        <v/>
      </c>
      <c r="AM15" s="20" t="str">
        <f>IF(G15=0,"",ROUNDUP($G7/G15,0))</f>
        <v/>
      </c>
      <c r="AN15" s="20" t="str">
        <f>IF(H15=0,"",ROUNDUP($H7/H15,0))</f>
        <v/>
      </c>
      <c r="AO15" s="20" t="str">
        <f>IF(I15=0,"",ROUNDUP($I7/I15,0))</f>
        <v/>
      </c>
      <c r="AP15" s="20" t="str">
        <f>IF(J15=0,"",ROUNDUP($J7/J15,0))</f>
        <v/>
      </c>
      <c r="AQ15" s="20" t="str">
        <f>IF(K15=0,"",ROUNDUP($K7/K15,0))</f>
        <v/>
      </c>
      <c r="AR15" s="20" t="str">
        <f>IF(L15=0,"",ROUNDUP($L7/L15,0))</f>
        <v/>
      </c>
      <c r="AS15" s="20" t="str">
        <f>IF(M15=0,"",ROUNDUP($M7/M15,0))</f>
        <v/>
      </c>
      <c r="AT15" s="20" t="str">
        <f>IF(N15=0,"",ROUNDUP($N7/N15,0))</f>
        <v/>
      </c>
      <c r="AU15" s="20" t="str">
        <f>IF(O15=0,"",ROUNDUP($O7/O15,0))</f>
        <v/>
      </c>
      <c r="AV15" s="20" t="str">
        <f>IF(P15=0,"",ROUNDUP($P7/P15,0))</f>
        <v/>
      </c>
      <c r="AW15" s="20" t="str">
        <f>IF(Q15=0,"",ROUNDUP($Q7/Q15,0))</f>
        <v/>
      </c>
      <c r="AX15" s="20" t="str">
        <f>IF(R15=0,"",ROUNDUP($R7/R15,0))</f>
        <v/>
      </c>
      <c r="AY15" s="20" t="str">
        <f>IF(S15=0,"",ROUNDUP($S7/S15,0))</f>
        <v/>
      </c>
      <c r="AZ15" s="20" t="str">
        <f t="shared" si="6"/>
        <v/>
      </c>
      <c r="BA15" s="20" t="str">
        <f t="shared" si="6"/>
        <v/>
      </c>
      <c r="BB15" s="20" t="str">
        <f t="shared" si="6"/>
        <v/>
      </c>
      <c r="BC15" s="20" t="str">
        <f t="shared" si="6"/>
        <v/>
      </c>
      <c r="BD15" s="20" t="str">
        <f t="shared" si="6"/>
        <v/>
      </c>
      <c r="BE15" s="20" t="str">
        <f t="shared" si="6"/>
        <v/>
      </c>
      <c r="BF15" s="20" t="str">
        <f t="shared" si="6"/>
        <v/>
      </c>
      <c r="BG15" s="20" t="str">
        <f t="shared" si="6"/>
        <v/>
      </c>
      <c r="BH15" s="20" t="str">
        <f t="shared" si="6"/>
        <v/>
      </c>
      <c r="BI15" s="20" t="str">
        <f t="shared" si="6"/>
        <v/>
      </c>
      <c r="BJ15" s="31"/>
    </row>
    <row r="16" spans="1:62" customFormat="1">
      <c r="A16" s="76"/>
      <c r="B16" s="12"/>
      <c r="C16" s="12"/>
      <c r="D16" s="12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19" t="str">
        <f t="shared" si="4"/>
        <v/>
      </c>
      <c r="AF16" s="13"/>
      <c r="AG16" s="13"/>
      <c r="AH16" s="13"/>
      <c r="AI16" s="18" t="str">
        <f t="shared" si="7"/>
        <v/>
      </c>
      <c r="AJ16" s="64"/>
      <c r="AK16" s="20" t="str">
        <f>IF(E16=0,"",ROUNDUP($E7/E16,0))</f>
        <v/>
      </c>
      <c r="AL16" s="20" t="str">
        <f>IF(F16=0,"",ROUNDUP($F7/F16,0))</f>
        <v/>
      </c>
      <c r="AM16" s="20" t="str">
        <f>IF(G16=0,"",ROUNDUP($G7/G16,0))</f>
        <v/>
      </c>
      <c r="AN16" s="20" t="str">
        <f>IF(H16=0,"",ROUNDUP($H7/H16,0))</f>
        <v/>
      </c>
      <c r="AO16" s="20" t="str">
        <f>IF(I16=0,"",ROUNDUP($I7/I16,0))</f>
        <v/>
      </c>
      <c r="AP16" s="20" t="str">
        <f>IF(J16=0,"",ROUNDUP($J7/J16,0))</f>
        <v/>
      </c>
      <c r="AQ16" s="20" t="str">
        <f>IF(K16=0,"",ROUNDUP($K7/K16,0))</f>
        <v/>
      </c>
      <c r="AR16" s="20" t="str">
        <f>IF(L16=0,"",ROUNDUP($L7/L16,0))</f>
        <v/>
      </c>
      <c r="AS16" s="20" t="str">
        <f>IF(M16=0,"",ROUNDUP($M7/M16,0))</f>
        <v/>
      </c>
      <c r="AT16" s="20" t="str">
        <f>IF(N16=0,"",ROUNDUP($N7/N16,0))</f>
        <v/>
      </c>
      <c r="AU16" s="20" t="str">
        <f>IF(O16=0,"",ROUNDUP($O7/O16,0))</f>
        <v/>
      </c>
      <c r="AV16" s="20" t="str">
        <f>IF(P16=0,"",ROUNDUP($P7/P16,0))</f>
        <v/>
      </c>
      <c r="AW16" s="20" t="str">
        <f>IF(Q16=0,"",ROUNDUP($Q7/Q16,0))</f>
        <v/>
      </c>
      <c r="AX16" s="20" t="str">
        <f>IF(R16=0,"",ROUNDUP($R7/R16,0))</f>
        <v/>
      </c>
      <c r="AY16" s="20" t="str">
        <f>IF(S16=0,"",ROUNDUP($S7/S16,0))</f>
        <v/>
      </c>
      <c r="AZ16" s="20" t="str">
        <f t="shared" si="6"/>
        <v/>
      </c>
      <c r="BA16" s="20" t="str">
        <f t="shared" si="6"/>
        <v/>
      </c>
      <c r="BB16" s="20" t="str">
        <f t="shared" si="6"/>
        <v/>
      </c>
      <c r="BC16" s="20" t="str">
        <f t="shared" si="6"/>
        <v/>
      </c>
      <c r="BD16" s="20" t="str">
        <f t="shared" si="6"/>
        <v/>
      </c>
      <c r="BE16" s="20" t="str">
        <f t="shared" si="6"/>
        <v/>
      </c>
      <c r="BF16" s="20" t="str">
        <f t="shared" si="6"/>
        <v/>
      </c>
      <c r="BG16" s="20" t="str">
        <f t="shared" si="6"/>
        <v/>
      </c>
      <c r="BH16" s="20" t="str">
        <f t="shared" si="6"/>
        <v/>
      </c>
      <c r="BI16" s="20" t="str">
        <f t="shared" si="6"/>
        <v/>
      </c>
      <c r="BJ16" s="31"/>
    </row>
    <row r="17" spans="1:62" customFormat="1">
      <c r="A17" s="76"/>
      <c r="B17" s="12"/>
      <c r="C17" s="12"/>
      <c r="D17" s="12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19" t="str">
        <f t="shared" si="4"/>
        <v/>
      </c>
      <c r="AF17" s="13"/>
      <c r="AG17" s="13"/>
      <c r="AH17" s="13"/>
      <c r="AI17" s="18" t="str">
        <f t="shared" si="7"/>
        <v/>
      </c>
      <c r="AJ17" s="64"/>
      <c r="AK17" s="20" t="str">
        <f>IF(E17=0,"",ROUNDUP($E7/E17,0))</f>
        <v/>
      </c>
      <c r="AL17" s="20" t="str">
        <f>IF(F17=0,"",ROUNDUP($F7/F17,0))</f>
        <v/>
      </c>
      <c r="AM17" s="20" t="str">
        <f>IF(G17=0,"",ROUNDUP($G7/G17,0))</f>
        <v/>
      </c>
      <c r="AN17" s="20" t="str">
        <f>IF(H17=0,"",ROUNDUP($H7/H17,0))</f>
        <v/>
      </c>
      <c r="AO17" s="20" t="str">
        <f>IF(I17=0,"",ROUNDUP($I7/I17,0))</f>
        <v/>
      </c>
      <c r="AP17" s="20" t="str">
        <f>IF(J17=0,"",ROUNDUP($J7/J17,0))</f>
        <v/>
      </c>
      <c r="AQ17" s="20" t="str">
        <f>IF(K17=0,"",ROUNDUP($K7/K17,0))</f>
        <v/>
      </c>
      <c r="AR17" s="20" t="str">
        <f>IF(L17=0,"",ROUNDUP($L7/L17,0))</f>
        <v/>
      </c>
      <c r="AS17" s="20" t="str">
        <f>IF(M17=0,"",ROUNDUP($M7/M17,0))</f>
        <v/>
      </c>
      <c r="AT17" s="20" t="str">
        <f>IF(N17=0,"",ROUNDUP($N7/N17,0))</f>
        <v/>
      </c>
      <c r="AU17" s="20" t="str">
        <f>IF(O17=0,"",ROUNDUP($O7/O17,0))</f>
        <v/>
      </c>
      <c r="AV17" s="20" t="str">
        <f>IF(P17=0,"",ROUNDUP($P7/P17,0))</f>
        <v/>
      </c>
      <c r="AW17" s="20" t="str">
        <f>IF(Q17=0,"",ROUNDUP($Q7/Q17,0))</f>
        <v/>
      </c>
      <c r="AX17" s="20" t="str">
        <f>IF(R17=0,"",ROUNDUP($R7/R17,0))</f>
        <v/>
      </c>
      <c r="AY17" s="20" t="str">
        <f>IF(S17=0,"",ROUNDUP($S7/S17,0))</f>
        <v/>
      </c>
      <c r="AZ17" s="20" t="str">
        <f t="shared" si="6"/>
        <v/>
      </c>
      <c r="BA17" s="20" t="str">
        <f t="shared" si="6"/>
        <v/>
      </c>
      <c r="BB17" s="20" t="str">
        <f t="shared" si="6"/>
        <v/>
      </c>
      <c r="BC17" s="20" t="str">
        <f t="shared" si="6"/>
        <v/>
      </c>
      <c r="BD17" s="20" t="str">
        <f t="shared" si="6"/>
        <v/>
      </c>
      <c r="BE17" s="20" t="str">
        <f t="shared" si="6"/>
        <v/>
      </c>
      <c r="BF17" s="20" t="str">
        <f t="shared" si="6"/>
        <v/>
      </c>
      <c r="BG17" s="20" t="str">
        <f t="shared" si="6"/>
        <v/>
      </c>
      <c r="BH17" s="20" t="str">
        <f t="shared" si="6"/>
        <v/>
      </c>
      <c r="BI17" s="20" t="str">
        <f t="shared" si="6"/>
        <v/>
      </c>
      <c r="BJ17" s="31"/>
    </row>
    <row r="18" spans="1:62" customFormat="1">
      <c r="A18" s="76"/>
      <c r="B18" s="12"/>
      <c r="C18" s="12"/>
      <c r="D18" s="12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19" t="str">
        <f t="shared" si="4"/>
        <v/>
      </c>
      <c r="AF18" s="13"/>
      <c r="AG18" s="13"/>
      <c r="AH18" s="13"/>
      <c r="AI18" s="18" t="str">
        <f t="shared" si="7"/>
        <v/>
      </c>
      <c r="AJ18" s="64"/>
      <c r="AK18" s="20" t="str">
        <f>IF(E18=0,"",ROUNDUP($E7/E18,0))</f>
        <v/>
      </c>
      <c r="AL18" s="20" t="str">
        <f>IF(F18=0,"",ROUNDUP($F7/F18,0))</f>
        <v/>
      </c>
      <c r="AM18" s="20" t="str">
        <f>IF(G18=0,"",ROUNDUP($G7/G18,0))</f>
        <v/>
      </c>
      <c r="AN18" s="20" t="str">
        <f>IF(H18=0,"",ROUNDUP($H7/H18,0))</f>
        <v/>
      </c>
      <c r="AO18" s="20" t="str">
        <f>IF(I18=0,"",ROUNDUP($I7/I18,0))</f>
        <v/>
      </c>
      <c r="AP18" s="20" t="str">
        <f>IF(J18=0,"",ROUNDUP($J7/J18,0))</f>
        <v/>
      </c>
      <c r="AQ18" s="20" t="str">
        <f>IF(K18=0,"",ROUNDUP($K7/K18,0))</f>
        <v/>
      </c>
      <c r="AR18" s="20" t="str">
        <f>IF(L18=0,"",ROUNDUP($L7/L18,0))</f>
        <v/>
      </c>
      <c r="AS18" s="20" t="str">
        <f>IF(M18=0,"",ROUNDUP($M7/M18,0))</f>
        <v/>
      </c>
      <c r="AT18" s="20" t="str">
        <f>IF(N18=0,"",ROUNDUP($N7/N18,0))</f>
        <v/>
      </c>
      <c r="AU18" s="20" t="str">
        <f>IF(O18=0,"",ROUNDUP($O7/O18,0))</f>
        <v/>
      </c>
      <c r="AV18" s="20" t="str">
        <f>IF(P18=0,"",ROUNDUP($P7/P18,0))</f>
        <v/>
      </c>
      <c r="AW18" s="20" t="str">
        <f>IF(Q18=0,"",ROUNDUP($Q7/Q18,0))</f>
        <v/>
      </c>
      <c r="AX18" s="20" t="str">
        <f>IF(R18=0,"",ROUNDUP($R7/R18,0))</f>
        <v/>
      </c>
      <c r="AY18" s="20" t="str">
        <f>IF(S18=0,"",ROUNDUP($S7/S18,0))</f>
        <v/>
      </c>
      <c r="AZ18" s="20" t="str">
        <f t="shared" si="6"/>
        <v/>
      </c>
      <c r="BA18" s="20" t="str">
        <f t="shared" si="6"/>
        <v/>
      </c>
      <c r="BB18" s="20" t="str">
        <f t="shared" si="6"/>
        <v/>
      </c>
      <c r="BC18" s="20" t="str">
        <f t="shared" si="6"/>
        <v/>
      </c>
      <c r="BD18" s="20" t="str">
        <f t="shared" si="6"/>
        <v/>
      </c>
      <c r="BE18" s="20" t="str">
        <f t="shared" si="6"/>
        <v/>
      </c>
      <c r="BF18" s="20" t="str">
        <f t="shared" si="6"/>
        <v/>
      </c>
      <c r="BG18" s="20" t="str">
        <f t="shared" si="6"/>
        <v/>
      </c>
      <c r="BH18" s="20" t="str">
        <f t="shared" si="6"/>
        <v/>
      </c>
      <c r="BI18" s="20" t="str">
        <f t="shared" si="6"/>
        <v/>
      </c>
      <c r="BJ18" s="31"/>
    </row>
    <row r="19" spans="1:62" customFormat="1">
      <c r="A19" s="76"/>
      <c r="B19" s="12"/>
      <c r="C19" s="12"/>
      <c r="D19" s="12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19" t="str">
        <f t="shared" si="4"/>
        <v/>
      </c>
      <c r="AF19" s="13"/>
      <c r="AG19" s="13"/>
      <c r="AH19" s="13"/>
      <c r="AI19" s="18" t="str">
        <f t="shared" si="7"/>
        <v/>
      </c>
      <c r="AJ19" s="64"/>
      <c r="AK19" s="20" t="str">
        <f>IF(E19=0,"",ROUNDUP($E7/E19,0))</f>
        <v/>
      </c>
      <c r="AL19" s="20" t="str">
        <f>IF(F19=0,"",ROUNDUP($F7/F19,0))</f>
        <v/>
      </c>
      <c r="AM19" s="20" t="str">
        <f>IF(G19=0,"",ROUNDUP($G7/G19,0))</f>
        <v/>
      </c>
      <c r="AN19" s="20" t="str">
        <f>IF(H19=0,"",ROUNDUP($H7/H19,0))</f>
        <v/>
      </c>
      <c r="AO19" s="20" t="str">
        <f>IF(I19=0,"",ROUNDUP($I7/I19,0))</f>
        <v/>
      </c>
      <c r="AP19" s="20" t="str">
        <f>IF(J19=0,"",ROUNDUP($J7/J19,0))</f>
        <v/>
      </c>
      <c r="AQ19" s="20" t="str">
        <f>IF(K19=0,"",ROUNDUP($K7/K19,0))</f>
        <v/>
      </c>
      <c r="AR19" s="20" t="str">
        <f>IF(L19=0,"",ROUNDUP($L7/L19,0))</f>
        <v/>
      </c>
      <c r="AS19" s="20" t="str">
        <f>IF(M19=0,"",ROUNDUP($M7/M19,0))</f>
        <v/>
      </c>
      <c r="AT19" s="20" t="str">
        <f>IF(N19=0,"",ROUNDUP($N7/N19,0))</f>
        <v/>
      </c>
      <c r="AU19" s="20" t="str">
        <f>IF(O19=0,"",ROUNDUP($O7/O19,0))</f>
        <v/>
      </c>
      <c r="AV19" s="20" t="str">
        <f>IF(P19=0,"",ROUNDUP($P7/P19,0))</f>
        <v/>
      </c>
      <c r="AW19" s="20" t="str">
        <f>IF(Q19=0,"",ROUNDUP($Q7/Q19,0))</f>
        <v/>
      </c>
      <c r="AX19" s="20" t="str">
        <f>IF(R19=0,"",ROUNDUP($R7/R19,0))</f>
        <v/>
      </c>
      <c r="AY19" s="20" t="str">
        <f>IF(S19=0,"",ROUNDUP($S7/S19,0))</f>
        <v/>
      </c>
      <c r="AZ19" s="20" t="str">
        <f t="shared" si="6"/>
        <v/>
      </c>
      <c r="BA19" s="20" t="str">
        <f t="shared" si="6"/>
        <v/>
      </c>
      <c r="BB19" s="20" t="str">
        <f t="shared" si="6"/>
        <v/>
      </c>
      <c r="BC19" s="20" t="str">
        <f t="shared" si="6"/>
        <v/>
      </c>
      <c r="BD19" s="20" t="str">
        <f t="shared" si="6"/>
        <v/>
      </c>
      <c r="BE19" s="20" t="str">
        <f t="shared" si="6"/>
        <v/>
      </c>
      <c r="BF19" s="20" t="str">
        <f t="shared" si="6"/>
        <v/>
      </c>
      <c r="BG19" s="20" t="str">
        <f t="shared" si="6"/>
        <v/>
      </c>
      <c r="BH19" s="20" t="str">
        <f t="shared" si="6"/>
        <v/>
      </c>
      <c r="BI19" s="20" t="str">
        <f t="shared" si="6"/>
        <v/>
      </c>
      <c r="BJ19" s="31"/>
    </row>
    <row r="20" spans="1:62" customFormat="1">
      <c r="A20" s="76"/>
      <c r="B20" s="12"/>
      <c r="C20" s="12"/>
      <c r="D20" s="12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4"/>
      <c r="AB20" s="28"/>
      <c r="AC20" s="28"/>
      <c r="AD20" s="28"/>
      <c r="AE20" s="19" t="str">
        <f t="shared" si="4"/>
        <v/>
      </c>
      <c r="AF20" s="13"/>
      <c r="AG20" s="13"/>
      <c r="AH20" s="13"/>
      <c r="AI20" s="18" t="str">
        <f t="shared" si="7"/>
        <v/>
      </c>
      <c r="AJ20" s="64"/>
      <c r="AK20" s="20" t="str">
        <f>IF(E20=0,"",ROUNDUP($E7/E20,0))</f>
        <v/>
      </c>
      <c r="AL20" s="20" t="str">
        <f>IF(F20=0,"",ROUNDUP($F7/F20,0))</f>
        <v/>
      </c>
      <c r="AM20" s="20" t="str">
        <f>IF(G20=0,"",ROUNDUP($G7/G20,0))</f>
        <v/>
      </c>
      <c r="AN20" s="20" t="str">
        <f>IF(H20=0,"",ROUNDUP($H7/H20,0))</f>
        <v/>
      </c>
      <c r="AO20" s="20" t="str">
        <f>IF(I20=0,"",ROUNDUP($I7/I20,0))</f>
        <v/>
      </c>
      <c r="AP20" s="20" t="str">
        <f>IF(J20=0,"",ROUNDUP($J7/J20,0))</f>
        <v/>
      </c>
      <c r="AQ20" s="20" t="str">
        <f>IF(K20=0,"",ROUNDUP($K7/K20,0))</f>
        <v/>
      </c>
      <c r="AR20" s="20" t="str">
        <f>IF(L20=0,"",ROUNDUP($L7/L20,0))</f>
        <v/>
      </c>
      <c r="AS20" s="20" t="str">
        <f>IF(M20=0,"",ROUNDUP($M7/M20,0))</f>
        <v/>
      </c>
      <c r="AT20" s="20" t="str">
        <f>IF(N20=0,"",ROUNDUP($N7/N20,0))</f>
        <v/>
      </c>
      <c r="AU20" s="20" t="str">
        <f>IF(O20=0,"",ROUNDUP($O7/O20,0))</f>
        <v/>
      </c>
      <c r="AV20" s="20" t="str">
        <f>IF(P20=0,"",ROUNDUP($P7/P20,0))</f>
        <v/>
      </c>
      <c r="AW20" s="20" t="str">
        <f>IF(Q20=0,"",ROUNDUP($Q7/Q20,0))</f>
        <v/>
      </c>
      <c r="AX20" s="20" t="str">
        <f>IF(R20=0,"",ROUNDUP($R7/R20,0))</f>
        <v/>
      </c>
      <c r="AY20" s="20" t="str">
        <f>IF(S20=0,"",ROUNDUP($S7/S20,0))</f>
        <v/>
      </c>
      <c r="AZ20" s="20" t="str">
        <f t="shared" si="6"/>
        <v/>
      </c>
      <c r="BA20" s="20" t="str">
        <f t="shared" si="6"/>
        <v/>
      </c>
      <c r="BB20" s="20" t="str">
        <f t="shared" si="6"/>
        <v/>
      </c>
      <c r="BC20" s="20" t="str">
        <f t="shared" si="6"/>
        <v/>
      </c>
      <c r="BD20" s="20" t="str">
        <f t="shared" si="6"/>
        <v/>
      </c>
      <c r="BE20" s="20" t="str">
        <f t="shared" si="6"/>
        <v/>
      </c>
      <c r="BF20" s="20" t="str">
        <f t="shared" si="6"/>
        <v/>
      </c>
      <c r="BG20" s="20" t="str">
        <f t="shared" si="6"/>
        <v/>
      </c>
      <c r="BH20" s="20" t="str">
        <f t="shared" si="6"/>
        <v/>
      </c>
      <c r="BI20" s="20" t="str">
        <f t="shared" si="6"/>
        <v/>
      </c>
      <c r="BJ20" s="31"/>
    </row>
    <row r="21" spans="1:62" customFormat="1">
      <c r="A21" s="76"/>
      <c r="B21" s="12"/>
      <c r="C21" s="12"/>
      <c r="D21" s="12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19" t="str">
        <f t="shared" si="4"/>
        <v/>
      </c>
      <c r="AF21" s="13"/>
      <c r="AG21" s="13"/>
      <c r="AH21" s="13"/>
      <c r="AI21" s="18" t="str">
        <f t="shared" si="7"/>
        <v/>
      </c>
      <c r="AJ21" s="64"/>
      <c r="AK21" s="20" t="str">
        <f>IF(E21=0,"",ROUNDUP($E7/E21,0))</f>
        <v/>
      </c>
      <c r="AL21" s="20" t="str">
        <f>IF(F21=0,"",ROUNDUP($F7/F21,0))</f>
        <v/>
      </c>
      <c r="AM21" s="20" t="str">
        <f>IF(G21=0,"",ROUNDUP($G7/G21,0))</f>
        <v/>
      </c>
      <c r="AN21" s="20" t="str">
        <f>IF(H21=0,"",ROUNDUP($H7/H21,0))</f>
        <v/>
      </c>
      <c r="AO21" s="20" t="str">
        <f>IF(I21=0,"",ROUNDUP($I7/I21,0))</f>
        <v/>
      </c>
      <c r="AP21" s="20" t="str">
        <f>IF(J21=0,"",ROUNDUP($J7/J21,0))</f>
        <v/>
      </c>
      <c r="AQ21" s="20" t="str">
        <f>IF(K21=0,"",ROUNDUP($K7/K21,0))</f>
        <v/>
      </c>
      <c r="AR21" s="20" t="str">
        <f>IF(L21=0,"",ROUNDUP($L7/L21,0))</f>
        <v/>
      </c>
      <c r="AS21" s="20" t="str">
        <f>IF(M21=0,"",ROUNDUP($M7/M21,0))</f>
        <v/>
      </c>
      <c r="AT21" s="20" t="str">
        <f>IF(N21=0,"",ROUNDUP($N7/N21,0))</f>
        <v/>
      </c>
      <c r="AU21" s="20" t="str">
        <f>IF(O21=0,"",ROUNDUP($O7/O21,0))</f>
        <v/>
      </c>
      <c r="AV21" s="20" t="str">
        <f>IF(P21=0,"",ROUNDUP($P7/P21,0))</f>
        <v/>
      </c>
      <c r="AW21" s="20" t="str">
        <f>IF(Q21=0,"",ROUNDUP($Q7/Q21,0))</f>
        <v/>
      </c>
      <c r="AX21" s="20" t="str">
        <f>IF(R21=0,"",ROUNDUP($R7/R21,0))</f>
        <v/>
      </c>
      <c r="AY21" s="20" t="str">
        <f>IF(S21=0,"",ROUNDUP($S7/S21,0))</f>
        <v/>
      </c>
      <c r="AZ21" s="20" t="str">
        <f t="shared" si="6"/>
        <v/>
      </c>
      <c r="BA21" s="20" t="str">
        <f t="shared" si="6"/>
        <v/>
      </c>
      <c r="BB21" s="20" t="str">
        <f t="shared" si="6"/>
        <v/>
      </c>
      <c r="BC21" s="20" t="str">
        <f t="shared" si="6"/>
        <v/>
      </c>
      <c r="BD21" s="20" t="str">
        <f t="shared" si="6"/>
        <v/>
      </c>
      <c r="BE21" s="20" t="str">
        <f t="shared" si="6"/>
        <v/>
      </c>
      <c r="BF21" s="20" t="str">
        <f t="shared" si="6"/>
        <v/>
      </c>
      <c r="BG21" s="20" t="str">
        <f t="shared" si="6"/>
        <v/>
      </c>
      <c r="BH21" s="20" t="str">
        <f t="shared" si="6"/>
        <v/>
      </c>
      <c r="BI21" s="20" t="str">
        <f t="shared" si="6"/>
        <v/>
      </c>
      <c r="BJ21" s="31"/>
    </row>
    <row r="22" spans="1:62" customFormat="1">
      <c r="A22" s="76"/>
      <c r="B22" s="12"/>
      <c r="C22" s="12"/>
      <c r="D22" s="12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19" t="str">
        <f t="shared" si="4"/>
        <v/>
      </c>
      <c r="AF22" s="13"/>
      <c r="AG22" s="13"/>
      <c r="AH22" s="13"/>
      <c r="AI22" s="18" t="str">
        <f t="shared" si="7"/>
        <v/>
      </c>
      <c r="AJ22" s="64"/>
      <c r="AK22" s="20" t="str">
        <f>IF(E22=0,"",ROUNDUP($E7/E22,0))</f>
        <v/>
      </c>
      <c r="AL22" s="20" t="str">
        <f>IF(F22=0,"",ROUNDUP($F7/F22,0))</f>
        <v/>
      </c>
      <c r="AM22" s="20" t="str">
        <f>IF(G22=0,"",ROUNDUP($G7/G22,0))</f>
        <v/>
      </c>
      <c r="AN22" s="20" t="str">
        <f>IF(H22=0,"",ROUNDUP($H7/H22,0))</f>
        <v/>
      </c>
      <c r="AO22" s="20" t="str">
        <f>IF(I22=0,"",ROUNDUP($I7/I22,0))</f>
        <v/>
      </c>
      <c r="AP22" s="20" t="str">
        <f>IF(J22=0,"",ROUNDUP($J7/J22,0))</f>
        <v/>
      </c>
      <c r="AQ22" s="20" t="str">
        <f>IF(K22=0,"",ROUNDUP($K7/K22,0))</f>
        <v/>
      </c>
      <c r="AR22" s="20" t="str">
        <f>IF(L22=0,"",ROUNDUP($L7/L22,0))</f>
        <v/>
      </c>
      <c r="AS22" s="20" t="str">
        <f>IF(M22=0,"",ROUNDUP($M7/M22,0))</f>
        <v/>
      </c>
      <c r="AT22" s="20" t="str">
        <f>IF(N22=0,"",ROUNDUP($N7/N22,0))</f>
        <v/>
      </c>
      <c r="AU22" s="20" t="str">
        <f>IF(O22=0,"",ROUNDUP($O7/O22,0))</f>
        <v/>
      </c>
      <c r="AV22" s="20" t="str">
        <f>IF(P22=0,"",ROUNDUP($P7/P22,0))</f>
        <v/>
      </c>
      <c r="AW22" s="20" t="str">
        <f>IF(Q22=0,"",ROUNDUP($Q7/Q22,0))</f>
        <v/>
      </c>
      <c r="AX22" s="20" t="str">
        <f>IF(R22=0,"",ROUNDUP($R7/R22,0))</f>
        <v/>
      </c>
      <c r="AY22" s="20" t="str">
        <f>IF(S22=0,"",ROUNDUP($S7/S22,0))</f>
        <v/>
      </c>
      <c r="AZ22" s="20" t="str">
        <f t="shared" si="6"/>
        <v/>
      </c>
      <c r="BA22" s="20" t="str">
        <f t="shared" si="6"/>
        <v/>
      </c>
      <c r="BB22" s="20" t="str">
        <f t="shared" si="6"/>
        <v/>
      </c>
      <c r="BC22" s="20" t="str">
        <f t="shared" si="6"/>
        <v/>
      </c>
      <c r="BD22" s="20" t="str">
        <f t="shared" si="6"/>
        <v/>
      </c>
      <c r="BE22" s="20" t="str">
        <f t="shared" si="6"/>
        <v/>
      </c>
      <c r="BF22" s="20" t="str">
        <f t="shared" si="6"/>
        <v/>
      </c>
      <c r="BG22" s="20" t="str">
        <f t="shared" si="6"/>
        <v/>
      </c>
      <c r="BH22" s="20" t="str">
        <f t="shared" si="6"/>
        <v/>
      </c>
      <c r="BI22" s="20" t="str">
        <f t="shared" si="6"/>
        <v/>
      </c>
      <c r="BJ22" s="31"/>
    </row>
    <row r="23" spans="1:62" customFormat="1">
      <c r="A23" s="76"/>
      <c r="B23" s="12"/>
      <c r="C23" s="12"/>
      <c r="D23" s="12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19" t="str">
        <f t="shared" si="4"/>
        <v/>
      </c>
      <c r="AF23" s="13"/>
      <c r="AG23" s="13"/>
      <c r="AH23" s="13"/>
      <c r="AI23" s="18" t="str">
        <f t="shared" si="7"/>
        <v/>
      </c>
      <c r="AJ23" s="64"/>
      <c r="AK23" s="20" t="str">
        <f>IF(E23=0,"",ROUNDUP($E7/E23,0))</f>
        <v/>
      </c>
      <c r="AL23" s="20" t="str">
        <f>IF(F23=0,"",ROUNDUP($F7/F23,0))</f>
        <v/>
      </c>
      <c r="AM23" s="20" t="str">
        <f>IF(G23=0,"",ROUNDUP($G7/G23,0))</f>
        <v/>
      </c>
      <c r="AN23" s="20" t="str">
        <f>IF(H23=0,"",ROUNDUP($H7/H23,0))</f>
        <v/>
      </c>
      <c r="AO23" s="20" t="str">
        <f>IF(I23=0,"",ROUNDUP($I7/I23,0))</f>
        <v/>
      </c>
      <c r="AP23" s="20" t="str">
        <f>IF(J23=0,"",ROUNDUP($J7/J23,0))</f>
        <v/>
      </c>
      <c r="AQ23" s="20" t="str">
        <f>IF(K23=0,"",ROUNDUP($K7/K23,0))</f>
        <v/>
      </c>
      <c r="AR23" s="20" t="str">
        <f>IF(L23=0,"",ROUNDUP($L7/L23,0))</f>
        <v/>
      </c>
      <c r="AS23" s="20" t="str">
        <f>IF(M23=0,"",ROUNDUP($M7/M23,0))</f>
        <v/>
      </c>
      <c r="AT23" s="20" t="str">
        <f>IF(N23=0,"",ROUNDUP($N7/N23,0))</f>
        <v/>
      </c>
      <c r="AU23" s="20" t="str">
        <f>IF(O23=0,"",ROUNDUP($O7/O23,0))</f>
        <v/>
      </c>
      <c r="AV23" s="20" t="str">
        <f>IF(P23=0,"",ROUNDUP($P7/P23,0))</f>
        <v/>
      </c>
      <c r="AW23" s="20" t="str">
        <f>IF(Q23=0,"",ROUNDUP($Q7/Q23,0))</f>
        <v/>
      </c>
      <c r="AX23" s="20" t="str">
        <f>IF(R23=0,"",ROUNDUP($R7/R23,0))</f>
        <v/>
      </c>
      <c r="AY23" s="20" t="str">
        <f>IF(S23=0,"",ROUNDUP($S7/S23,0))</f>
        <v/>
      </c>
      <c r="AZ23" s="20" t="str">
        <f t="shared" si="6"/>
        <v/>
      </c>
      <c r="BA23" s="20" t="str">
        <f t="shared" si="6"/>
        <v/>
      </c>
      <c r="BB23" s="20" t="str">
        <f t="shared" si="6"/>
        <v/>
      </c>
      <c r="BC23" s="20" t="str">
        <f t="shared" si="6"/>
        <v/>
      </c>
      <c r="BD23" s="20" t="str">
        <f t="shared" si="6"/>
        <v/>
      </c>
      <c r="BE23" s="20" t="str">
        <f t="shared" si="6"/>
        <v/>
      </c>
      <c r="BF23" s="20" t="str">
        <f t="shared" si="6"/>
        <v/>
      </c>
      <c r="BG23" s="20" t="str">
        <f t="shared" si="6"/>
        <v/>
      </c>
      <c r="BH23" s="20" t="str">
        <f t="shared" si="6"/>
        <v/>
      </c>
      <c r="BI23" s="20" t="str">
        <f t="shared" si="6"/>
        <v/>
      </c>
      <c r="BJ23" s="31"/>
    </row>
    <row r="24" spans="1:62" customFormat="1">
      <c r="A24" s="77"/>
      <c r="B24" s="12"/>
      <c r="C24" s="12"/>
      <c r="D24" s="12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19" t="str">
        <f t="shared" si="4"/>
        <v/>
      </c>
      <c r="AF24" s="13"/>
      <c r="AG24" s="13"/>
      <c r="AH24" s="13"/>
      <c r="AI24" s="18" t="str">
        <f t="shared" si="7"/>
        <v/>
      </c>
      <c r="AJ24" s="65"/>
      <c r="AK24" s="20" t="str">
        <f>IF(E24=0,"",ROUNDUP($E7/E24,0))</f>
        <v/>
      </c>
      <c r="AL24" s="20" t="str">
        <f>IF(F24=0,"",ROUNDUP($F7/F24,0))</f>
        <v/>
      </c>
      <c r="AM24" s="20" t="str">
        <f>IF(G24=0,"",ROUNDUP($G7/G24,0))</f>
        <v/>
      </c>
      <c r="AN24" s="20" t="str">
        <f>IF(H24=0,"",ROUNDUP($H7/H24,0))</f>
        <v/>
      </c>
      <c r="AO24" s="20" t="str">
        <f>IF(I24=0,"",ROUNDUP($I7/I24,0))</f>
        <v/>
      </c>
      <c r="AP24" s="20" t="str">
        <f>IF(J24=0,"",ROUNDUP($J7/J24,0))</f>
        <v/>
      </c>
      <c r="AQ24" s="20" t="str">
        <f>IF(K24=0,"",ROUNDUP($K7/K24,0))</f>
        <v/>
      </c>
      <c r="AR24" s="20" t="str">
        <f>IF(L24=0,"",ROUNDUP($L7/L24,0))</f>
        <v/>
      </c>
      <c r="AS24" s="20" t="str">
        <f>IF(M24=0,"",ROUNDUP($M7/M24,0))</f>
        <v/>
      </c>
      <c r="AT24" s="20" t="str">
        <f>IF(N24=0,"",ROUNDUP($N7/N24,0))</f>
        <v/>
      </c>
      <c r="AU24" s="20" t="str">
        <f>IF(O24=0,"",ROUNDUP($O7/O24,0))</f>
        <v/>
      </c>
      <c r="AV24" s="20" t="str">
        <f>IF(P24=0,"",ROUNDUP($P7/P24,0))</f>
        <v/>
      </c>
      <c r="AW24" s="20" t="str">
        <f>IF(Q24=0,"",ROUNDUP($Q7/Q24,0))</f>
        <v/>
      </c>
      <c r="AX24" s="20" t="str">
        <f>IF(R24=0,"",ROUNDUP($R7/R24,0))</f>
        <v/>
      </c>
      <c r="AY24" s="20" t="str">
        <f>IF(S24=0,"",ROUNDUP($S7/S24,0))</f>
        <v/>
      </c>
      <c r="AZ24" s="20" t="str">
        <f t="shared" si="6"/>
        <v/>
      </c>
      <c r="BA24" s="20" t="str">
        <f t="shared" si="6"/>
        <v/>
      </c>
      <c r="BB24" s="20" t="str">
        <f t="shared" si="6"/>
        <v/>
      </c>
      <c r="BC24" s="20" t="str">
        <f t="shared" si="6"/>
        <v/>
      </c>
      <c r="BD24" s="20" t="str">
        <f t="shared" si="6"/>
        <v/>
      </c>
      <c r="BE24" s="20" t="str">
        <f t="shared" si="6"/>
        <v/>
      </c>
      <c r="BF24" s="20" t="str">
        <f t="shared" si="6"/>
        <v/>
      </c>
      <c r="BG24" s="20" t="str">
        <f t="shared" si="6"/>
        <v/>
      </c>
      <c r="BH24" s="20" t="str">
        <f t="shared" si="6"/>
        <v/>
      </c>
      <c r="BI24" s="20" t="str">
        <f t="shared" si="6"/>
        <v/>
      </c>
      <c r="BJ24" s="31"/>
    </row>
    <row r="25" spans="1:62" s="36" customFormat="1" ht="15.75" thickBot="1">
      <c r="A25" s="21"/>
      <c r="B25" s="21"/>
      <c r="C25" s="21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70" t="s">
        <v>586</v>
      </c>
      <c r="AD25" s="70"/>
      <c r="AE25" s="22">
        <f>SUM(AE10:AE24)</f>
        <v>0</v>
      </c>
      <c r="AF25" s="46" t="s">
        <v>592</v>
      </c>
      <c r="AG25" s="47"/>
      <c r="AH25" s="48"/>
      <c r="AI25" s="22">
        <f>SUM(AI10:AI24)</f>
        <v>0</v>
      </c>
      <c r="AJ25" s="23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W25" s="16"/>
      <c r="AX25" s="16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32"/>
      <c r="BJ25" s="35"/>
    </row>
  </sheetData>
  <sheetProtection formatCells="0" formatColumns="0" formatRows="0" insertColumns="0" insertRows="0" insertHyperlinks="0" deleteColumns="0" deleteRows="0" sort="0" autoFilter="0" pivotTables="0"/>
  <protectedRanges>
    <protectedRange password="CE2A" sqref="E10:AD24 A10:A24 AF10:AH24 E5:AC6 AG4:AI4 D2:G2 I2:L2 W2:AC2 D3:D5 AK1:AN1 O2:R2" name="範圍1"/>
    <protectedRange password="CE2A" sqref="M3:N3" name="範圍1_1"/>
  </protectedRanges>
  <mergeCells count="44">
    <mergeCell ref="Q3:S3"/>
    <mergeCell ref="AH8:AH9"/>
    <mergeCell ref="C8:C9"/>
    <mergeCell ref="B8:B9"/>
    <mergeCell ref="A2:C2"/>
    <mergeCell ref="A3:C3"/>
    <mergeCell ref="A4:C4"/>
    <mergeCell ref="A5:C5"/>
    <mergeCell ref="E3:G3"/>
    <mergeCell ref="H3:J3"/>
    <mergeCell ref="K3:L3"/>
    <mergeCell ref="M3:N3"/>
    <mergeCell ref="AG5:AI5"/>
    <mergeCell ref="AC25:AD25"/>
    <mergeCell ref="A6:D6"/>
    <mergeCell ref="AE6:AF6"/>
    <mergeCell ref="AG6:AI6"/>
    <mergeCell ref="A7:D7"/>
    <mergeCell ref="AE7:AF7"/>
    <mergeCell ref="AG7:AI7"/>
    <mergeCell ref="A8:A9"/>
    <mergeCell ref="D8:D9"/>
    <mergeCell ref="E8:AC9"/>
    <mergeCell ref="AE8:AE9"/>
    <mergeCell ref="AF8:AG8"/>
    <mergeCell ref="AI8:AI9"/>
    <mergeCell ref="A10:A24"/>
    <mergeCell ref="AD8:AD9"/>
    <mergeCell ref="AF25:AH25"/>
    <mergeCell ref="A1:AI1"/>
    <mergeCell ref="AK1:AN1"/>
    <mergeCell ref="D2:G2"/>
    <mergeCell ref="I2:L2"/>
    <mergeCell ref="M2:N2"/>
    <mergeCell ref="AK6:BI9"/>
    <mergeCell ref="O3:P3"/>
    <mergeCell ref="AD3:AX3"/>
    <mergeCell ref="E4:AC4"/>
    <mergeCell ref="AD4:AD5"/>
    <mergeCell ref="AE4:AF4"/>
    <mergeCell ref="AG4:AI4"/>
    <mergeCell ref="AJ4:AJ24"/>
    <mergeCell ref="AK4:BI4"/>
    <mergeCell ref="AE5:AF5"/>
  </mergeCells>
  <phoneticPr fontId="15" type="noConversion"/>
  <conditionalFormatting sqref="AG6:AI6 AE7">
    <cfRule type="cellIs" dxfId="30" priority="15" operator="lessThanOrEqual">
      <formula>0</formula>
    </cfRule>
  </conditionalFormatting>
  <conditionalFormatting sqref="AI10:AI25 AE10:AE25 AD6 AG5:AI5 E7:AD7 AK5:BI5 D10:D24 AK10:BI24">
    <cfRule type="notContainsBlanks" dxfId="29" priority="16">
      <formula>LEN(TRIM(D5))&gt;0</formula>
    </cfRule>
  </conditionalFormatting>
  <conditionalFormatting sqref="AG6:AI6">
    <cfRule type="cellIs" dxfId="28" priority="13" operator="greaterThanOrEqual">
      <formula>20</formula>
    </cfRule>
    <cfRule type="cellIs" dxfId="27" priority="14" operator="greaterThanOrEqual">
      <formula>1</formula>
    </cfRule>
  </conditionalFormatting>
  <conditionalFormatting sqref="AG7:AH7 AK1 A10 AF10:AH24 E5:AC6 E10:AD24 D2:D5 I2 AG4:AH4">
    <cfRule type="containsBlanks" dxfId="26" priority="17">
      <formula>LEN(TRIM(A1))=0</formula>
    </cfRule>
    <cfRule type="notContainsBlanks" dxfId="25" priority="18">
      <formula>LEN(TRIM(A1))&gt;0</formula>
    </cfRule>
  </conditionalFormatting>
  <conditionalFormatting sqref="H3">
    <cfRule type="containsBlanks" dxfId="24" priority="9">
      <formula>LEN(TRIM(H3))=0</formula>
    </cfRule>
    <cfRule type="notContainsBlanks" dxfId="23" priority="10">
      <formula>LEN(TRIM(H3))&gt;0</formula>
    </cfRule>
  </conditionalFormatting>
  <conditionalFormatting sqref="M3">
    <cfRule type="containsBlanks" dxfId="22" priority="7">
      <formula>LEN(TRIM(M3))=0</formula>
    </cfRule>
    <cfRule type="notContainsBlanks" dxfId="21" priority="8">
      <formula>LEN(TRIM(M3))&gt;0</formula>
    </cfRule>
  </conditionalFormatting>
  <conditionalFormatting sqref="O2">
    <cfRule type="notContainsBlanks" dxfId="20" priority="5">
      <formula>LEN(TRIM(O2))&gt;0</formula>
    </cfRule>
  </conditionalFormatting>
  <conditionalFormatting sqref="Q3">
    <cfRule type="containsBlanks" dxfId="19" priority="3">
      <formula>LEN(TRIM(Q3))=0</formula>
    </cfRule>
    <cfRule type="notContainsBlanks" dxfId="18" priority="4">
      <formula>LEN(TRIM(Q3))&gt;0</formula>
    </cfRule>
  </conditionalFormatting>
  <conditionalFormatting sqref="C10:C24">
    <cfRule type="notContainsBlanks" dxfId="17" priority="2">
      <formula>LEN(TRIM(C10))&gt;0</formula>
    </cfRule>
  </conditionalFormatting>
  <conditionalFormatting sqref="B10:B24">
    <cfRule type="notContainsBlanks" dxfId="16" priority="1">
      <formula>LEN(TRIM(B10))&gt;0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BJ23"/>
  <sheetViews>
    <sheetView showGridLines="0" zoomScale="85" zoomScaleNormal="85" workbookViewId="0">
      <selection sqref="A1:C1"/>
    </sheetView>
  </sheetViews>
  <sheetFormatPr defaultColWidth="8.75" defaultRowHeight="14.25"/>
  <cols>
    <col min="1" max="1" width="15" style="37" customWidth="1"/>
    <col min="2" max="3" width="10.625" style="37" customWidth="1"/>
    <col min="4" max="4" width="9.625" style="37" bestFit="1" customWidth="1"/>
    <col min="5" max="19" width="6.75" style="37" customWidth="1"/>
    <col min="20" max="29" width="6.75" style="37" hidden="1" customWidth="1"/>
    <col min="30" max="30" width="9.5" style="37" customWidth="1"/>
    <col min="31" max="31" width="10.25" style="37" customWidth="1"/>
    <col min="32" max="33" width="8.75" style="37"/>
    <col min="34" max="34" width="15" style="37" bestFit="1" customWidth="1"/>
    <col min="35" max="36" width="8.75" style="37"/>
    <col min="37" max="51" width="6.75" style="37" customWidth="1"/>
    <col min="52" max="61" width="6.75" style="37" hidden="1" customWidth="1"/>
    <col min="62" max="16384" width="8.75" style="37"/>
  </cols>
  <sheetData>
    <row r="1" spans="1:62" customFormat="1" ht="15">
      <c r="A1" s="96" t="s">
        <v>578</v>
      </c>
      <c r="B1" s="97"/>
      <c r="C1" s="98"/>
      <c r="D1" s="11"/>
      <c r="E1" s="54" t="s">
        <v>595</v>
      </c>
      <c r="F1" s="91"/>
      <c r="G1" s="55"/>
      <c r="H1" s="92"/>
      <c r="I1" s="93"/>
      <c r="J1" s="94"/>
      <c r="K1" s="54" t="s">
        <v>594</v>
      </c>
      <c r="L1" s="55"/>
      <c r="M1" s="78"/>
      <c r="N1" s="95"/>
      <c r="O1" s="54" t="s">
        <v>600</v>
      </c>
      <c r="P1" s="55"/>
      <c r="Q1" s="78"/>
      <c r="R1" s="79"/>
      <c r="S1" s="80"/>
      <c r="T1" s="42"/>
      <c r="U1" s="42"/>
      <c r="V1" s="42"/>
      <c r="W1" s="42"/>
      <c r="X1" s="42"/>
      <c r="Y1" s="42"/>
      <c r="Z1" s="42"/>
      <c r="AA1" s="42"/>
      <c r="AB1" s="42"/>
      <c r="AC1" s="43"/>
      <c r="AD1" s="56"/>
      <c r="AE1" s="56"/>
      <c r="AF1" s="56"/>
      <c r="AG1" s="56"/>
      <c r="AH1" s="56"/>
      <c r="AI1" s="56"/>
      <c r="AJ1" s="56"/>
      <c r="AK1" s="57"/>
      <c r="AL1" s="57"/>
      <c r="AM1" s="57"/>
      <c r="AN1" s="57"/>
      <c r="AO1" s="57"/>
      <c r="AP1" s="57"/>
      <c r="AQ1" s="57"/>
      <c r="AR1" s="57"/>
      <c r="AS1" s="57"/>
      <c r="AT1" s="57"/>
      <c r="AU1" s="57"/>
      <c r="AV1" s="57"/>
      <c r="AW1" s="57"/>
      <c r="AX1" s="58"/>
      <c r="AY1" s="9"/>
      <c r="AZ1" s="9"/>
      <c r="BA1" s="9"/>
      <c r="BB1" s="9"/>
      <c r="BC1" s="9"/>
      <c r="BD1" s="9"/>
      <c r="BE1" s="9"/>
      <c r="BF1" s="9"/>
      <c r="BG1" s="9"/>
      <c r="BH1" s="9"/>
      <c r="BI1" s="34"/>
      <c r="BJ1" s="31"/>
    </row>
    <row r="2" spans="1:62" customFormat="1" ht="15">
      <c r="A2" s="66" t="s">
        <v>589</v>
      </c>
      <c r="B2" s="86"/>
      <c r="C2" s="87"/>
      <c r="D2" s="12"/>
      <c r="E2" s="59" t="s">
        <v>577</v>
      </c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60" t="s">
        <v>590</v>
      </c>
      <c r="AE2" s="59" t="s">
        <v>579</v>
      </c>
      <c r="AF2" s="59"/>
      <c r="AG2" s="61"/>
      <c r="AH2" s="61"/>
      <c r="AI2" s="62"/>
      <c r="AJ2" s="63"/>
      <c r="AK2" s="66" t="s">
        <v>577</v>
      </c>
      <c r="AL2" s="67"/>
      <c r="AM2" s="67"/>
      <c r="AN2" s="67"/>
      <c r="AO2" s="67"/>
      <c r="AP2" s="67"/>
      <c r="AQ2" s="67"/>
      <c r="AR2" s="67"/>
      <c r="AS2" s="67"/>
      <c r="AT2" s="67"/>
      <c r="AU2" s="67"/>
      <c r="AV2" s="67"/>
      <c r="AW2" s="67"/>
      <c r="AX2" s="67"/>
      <c r="AY2" s="67"/>
      <c r="AZ2" s="67"/>
      <c r="BA2" s="67"/>
      <c r="BB2" s="67"/>
      <c r="BC2" s="67"/>
      <c r="BD2" s="67"/>
      <c r="BE2" s="67"/>
      <c r="BF2" s="67"/>
      <c r="BG2" s="67"/>
      <c r="BH2" s="67"/>
      <c r="BI2" s="68"/>
      <c r="BJ2" s="31"/>
    </row>
    <row r="3" spans="1:62" customFormat="1" ht="15">
      <c r="A3" s="88" t="s">
        <v>7</v>
      </c>
      <c r="B3" s="89"/>
      <c r="C3" s="90"/>
      <c r="D3" s="12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60"/>
      <c r="AE3" s="59" t="s">
        <v>580</v>
      </c>
      <c r="AF3" s="59"/>
      <c r="AG3" s="69">
        <f>SUM(AI8:AI22)</f>
        <v>0</v>
      </c>
      <c r="AH3" s="69"/>
      <c r="AI3" s="69"/>
      <c r="AJ3" s="64"/>
      <c r="AK3" s="40" t="str">
        <f t="shared" ref="AK3:AX3" si="0">IF(E3="", "", E3)</f>
        <v/>
      </c>
      <c r="AL3" s="40" t="str">
        <f t="shared" si="0"/>
        <v/>
      </c>
      <c r="AM3" s="40" t="str">
        <f t="shared" si="0"/>
        <v/>
      </c>
      <c r="AN3" s="40" t="str">
        <f t="shared" si="0"/>
        <v/>
      </c>
      <c r="AO3" s="40" t="str">
        <f t="shared" si="0"/>
        <v/>
      </c>
      <c r="AP3" s="40" t="str">
        <f t="shared" si="0"/>
        <v/>
      </c>
      <c r="AQ3" s="40" t="str">
        <f t="shared" si="0"/>
        <v/>
      </c>
      <c r="AR3" s="40" t="str">
        <f t="shared" si="0"/>
        <v/>
      </c>
      <c r="AS3" s="40" t="str">
        <f t="shared" si="0"/>
        <v/>
      </c>
      <c r="AT3" s="40" t="str">
        <f t="shared" si="0"/>
        <v/>
      </c>
      <c r="AU3" s="40" t="str">
        <f t="shared" si="0"/>
        <v/>
      </c>
      <c r="AV3" s="40" t="str">
        <f t="shared" si="0"/>
        <v/>
      </c>
      <c r="AW3" s="40" t="str">
        <f t="shared" si="0"/>
        <v/>
      </c>
      <c r="AX3" s="40" t="str">
        <f t="shared" si="0"/>
        <v/>
      </c>
      <c r="AY3" s="40" t="str">
        <f>IF(S3="", "", S3)</f>
        <v/>
      </c>
      <c r="AZ3" s="40" t="str">
        <f t="shared" ref="AZ3:BI3" si="1">IF(T3="", "", T3)</f>
        <v/>
      </c>
      <c r="BA3" s="40" t="str">
        <f t="shared" si="1"/>
        <v/>
      </c>
      <c r="BB3" s="40" t="str">
        <f t="shared" si="1"/>
        <v/>
      </c>
      <c r="BC3" s="40" t="str">
        <f t="shared" si="1"/>
        <v/>
      </c>
      <c r="BD3" s="40" t="str">
        <f t="shared" si="1"/>
        <v/>
      </c>
      <c r="BE3" s="40" t="str">
        <f t="shared" si="1"/>
        <v/>
      </c>
      <c r="BF3" s="40" t="str">
        <f t="shared" si="1"/>
        <v/>
      </c>
      <c r="BG3" s="40" t="str">
        <f t="shared" si="1"/>
        <v/>
      </c>
      <c r="BH3" s="40" t="str">
        <f t="shared" si="1"/>
        <v/>
      </c>
      <c r="BI3" s="40" t="str">
        <f t="shared" si="1"/>
        <v/>
      </c>
      <c r="BJ3" s="31"/>
    </row>
    <row r="4" spans="1:62" customFormat="1" ht="15">
      <c r="A4" s="71" t="s">
        <v>581</v>
      </c>
      <c r="B4" s="71"/>
      <c r="C4" s="71"/>
      <c r="D4" s="71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18">
        <f>SUM(E4:AC4)</f>
        <v>0</v>
      </c>
      <c r="AE4" s="72" t="str">
        <f>IF(AG4&lt;5,"NO ",IF(AG4=5,"OK",IF(AG4&gt;5,"OK")))</f>
        <v xml:space="preserve">NO </v>
      </c>
      <c r="AF4" s="72"/>
      <c r="AG4" s="69">
        <f>AG2-AG3-AG5</f>
        <v>0</v>
      </c>
      <c r="AH4" s="69"/>
      <c r="AI4" s="69"/>
      <c r="AJ4" s="64"/>
      <c r="AK4" s="53" t="s">
        <v>593</v>
      </c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53"/>
      <c r="BH4" s="53"/>
      <c r="BI4" s="53"/>
      <c r="BJ4" s="31"/>
    </row>
    <row r="5" spans="1:62" customFormat="1" ht="15">
      <c r="A5" s="71" t="s">
        <v>588</v>
      </c>
      <c r="B5" s="71"/>
      <c r="C5" s="71"/>
      <c r="D5" s="71"/>
      <c r="E5" s="41" t="str">
        <f t="shared" ref="E5:AC5" si="2">IF(E3="","",E4-E8*$AD8-E9*$AD9-E10*$AD10-E11*$AD11-E12*$AD12-E13*$AD13-E14*$AD14-E15*$AD15-E16*$AD16-E17*$AD17-E18*$AD18-E19*$AD19-E20*$AD20-E21*$AD21-E22*$AD22)</f>
        <v/>
      </c>
      <c r="F5" s="41" t="str">
        <f t="shared" si="2"/>
        <v/>
      </c>
      <c r="G5" s="41" t="str">
        <f t="shared" si="2"/>
        <v/>
      </c>
      <c r="H5" s="41" t="str">
        <f t="shared" si="2"/>
        <v/>
      </c>
      <c r="I5" s="41" t="str">
        <f t="shared" si="2"/>
        <v/>
      </c>
      <c r="J5" s="41" t="str">
        <f t="shared" si="2"/>
        <v/>
      </c>
      <c r="K5" s="41" t="str">
        <f t="shared" si="2"/>
        <v/>
      </c>
      <c r="L5" s="41" t="str">
        <f t="shared" si="2"/>
        <v/>
      </c>
      <c r="M5" s="41" t="str">
        <f t="shared" si="2"/>
        <v/>
      </c>
      <c r="N5" s="41" t="str">
        <f t="shared" si="2"/>
        <v/>
      </c>
      <c r="O5" s="41" t="str">
        <f t="shared" si="2"/>
        <v/>
      </c>
      <c r="P5" s="41" t="str">
        <f t="shared" si="2"/>
        <v/>
      </c>
      <c r="Q5" s="41" t="str">
        <f t="shared" si="2"/>
        <v/>
      </c>
      <c r="R5" s="41" t="str">
        <f t="shared" si="2"/>
        <v/>
      </c>
      <c r="S5" s="41" t="str">
        <f t="shared" si="2"/>
        <v/>
      </c>
      <c r="T5" s="41" t="str">
        <f t="shared" si="2"/>
        <v/>
      </c>
      <c r="U5" s="41" t="str">
        <f t="shared" si="2"/>
        <v/>
      </c>
      <c r="V5" s="41" t="str">
        <f t="shared" si="2"/>
        <v/>
      </c>
      <c r="W5" s="41" t="str">
        <f t="shared" si="2"/>
        <v/>
      </c>
      <c r="X5" s="41" t="str">
        <f t="shared" si="2"/>
        <v/>
      </c>
      <c r="Y5" s="41" t="str">
        <f t="shared" si="2"/>
        <v/>
      </c>
      <c r="Z5" s="41" t="str">
        <f t="shared" si="2"/>
        <v/>
      </c>
      <c r="AA5" s="41" t="str">
        <f t="shared" si="2"/>
        <v/>
      </c>
      <c r="AB5" s="41" t="str">
        <f t="shared" si="2"/>
        <v/>
      </c>
      <c r="AC5" s="41" t="str">
        <f t="shared" si="2"/>
        <v/>
      </c>
      <c r="AD5" s="41">
        <f>SUM(E5:AC5)</f>
        <v>0</v>
      </c>
      <c r="AE5" s="59" t="s">
        <v>587</v>
      </c>
      <c r="AF5" s="59"/>
      <c r="AG5" s="62"/>
      <c r="AH5" s="62"/>
      <c r="AI5" s="62"/>
      <c r="AJ5" s="64"/>
      <c r="AK5" s="53"/>
      <c r="AL5" s="53"/>
      <c r="AM5" s="53"/>
      <c r="AN5" s="53"/>
      <c r="AO5" s="53"/>
      <c r="AP5" s="53"/>
      <c r="AQ5" s="53"/>
      <c r="AR5" s="53"/>
      <c r="AS5" s="53"/>
      <c r="AT5" s="53"/>
      <c r="AU5" s="53"/>
      <c r="AV5" s="53"/>
      <c r="AW5" s="53"/>
      <c r="AX5" s="53"/>
      <c r="AY5" s="53"/>
      <c r="AZ5" s="53"/>
      <c r="BA5" s="53"/>
      <c r="BB5" s="53"/>
      <c r="BC5" s="53"/>
      <c r="BD5" s="53"/>
      <c r="BE5" s="53"/>
      <c r="BF5" s="53"/>
      <c r="BG5" s="53"/>
      <c r="BH5" s="53"/>
      <c r="BI5" s="53"/>
      <c r="BJ5" s="31"/>
    </row>
    <row r="6" spans="1:62" customFormat="1" ht="15">
      <c r="A6" s="73" t="s">
        <v>591</v>
      </c>
      <c r="B6" s="73" t="s">
        <v>596</v>
      </c>
      <c r="C6" s="59" t="s">
        <v>597</v>
      </c>
      <c r="D6" s="59" t="s">
        <v>10</v>
      </c>
      <c r="E6" s="59" t="s">
        <v>0</v>
      </c>
      <c r="F6" s="59"/>
      <c r="G6" s="59"/>
      <c r="H6" s="59"/>
      <c r="I6" s="59"/>
      <c r="J6" s="59"/>
      <c r="K6" s="59"/>
      <c r="L6" s="59"/>
      <c r="M6" s="59"/>
      <c r="N6" s="59"/>
      <c r="O6" s="59"/>
      <c r="P6" s="59"/>
      <c r="Q6" s="59"/>
      <c r="R6" s="59"/>
      <c r="S6" s="59"/>
      <c r="T6" s="59"/>
      <c r="U6" s="59"/>
      <c r="V6" s="59"/>
      <c r="W6" s="59"/>
      <c r="X6" s="59"/>
      <c r="Y6" s="59"/>
      <c r="Z6" s="59"/>
      <c r="AA6" s="59"/>
      <c r="AB6" s="59"/>
      <c r="AC6" s="59"/>
      <c r="AD6" s="59" t="s">
        <v>8</v>
      </c>
      <c r="AE6" s="73" t="s">
        <v>581</v>
      </c>
      <c r="AF6" s="73" t="s">
        <v>582</v>
      </c>
      <c r="AG6" s="73"/>
      <c r="AH6" s="81" t="s">
        <v>602</v>
      </c>
      <c r="AI6" s="74" t="s">
        <v>583</v>
      </c>
      <c r="AJ6" s="64"/>
      <c r="AK6" s="53"/>
      <c r="AL6" s="53"/>
      <c r="AM6" s="53"/>
      <c r="AN6" s="53"/>
      <c r="AO6" s="53"/>
      <c r="AP6" s="53"/>
      <c r="AQ6" s="53"/>
      <c r="AR6" s="53"/>
      <c r="AS6" s="53"/>
      <c r="AT6" s="53"/>
      <c r="AU6" s="53"/>
      <c r="AV6" s="53"/>
      <c r="AW6" s="53"/>
      <c r="AX6" s="53"/>
      <c r="AY6" s="53"/>
      <c r="AZ6" s="53"/>
      <c r="BA6" s="53"/>
      <c r="BB6" s="53"/>
      <c r="BC6" s="53"/>
      <c r="BD6" s="53"/>
      <c r="BE6" s="53"/>
      <c r="BF6" s="53"/>
      <c r="BG6" s="53"/>
      <c r="BH6" s="53"/>
      <c r="BI6" s="53"/>
      <c r="BJ6" s="31"/>
    </row>
    <row r="7" spans="1:62" customFormat="1" ht="15">
      <c r="A7" s="59"/>
      <c r="B7" s="59"/>
      <c r="C7" s="59"/>
      <c r="D7" s="59"/>
      <c r="E7" s="59"/>
      <c r="F7" s="59"/>
      <c r="G7" s="59"/>
      <c r="H7" s="59"/>
      <c r="I7" s="59"/>
      <c r="J7" s="59"/>
      <c r="K7" s="59"/>
      <c r="L7" s="59"/>
      <c r="M7" s="59"/>
      <c r="N7" s="59"/>
      <c r="O7" s="59"/>
      <c r="P7" s="59"/>
      <c r="Q7" s="59"/>
      <c r="R7" s="59"/>
      <c r="S7" s="59"/>
      <c r="T7" s="59"/>
      <c r="U7" s="59"/>
      <c r="V7" s="59"/>
      <c r="W7" s="59"/>
      <c r="X7" s="59"/>
      <c r="Y7" s="59"/>
      <c r="Z7" s="59"/>
      <c r="AA7" s="59"/>
      <c r="AB7" s="59"/>
      <c r="AC7" s="59"/>
      <c r="AD7" s="59"/>
      <c r="AE7" s="73"/>
      <c r="AF7" s="39" t="s">
        <v>584</v>
      </c>
      <c r="AG7" s="39" t="s">
        <v>585</v>
      </c>
      <c r="AH7" s="82"/>
      <c r="AI7" s="74"/>
      <c r="AJ7" s="64"/>
      <c r="AK7" s="53"/>
      <c r="AL7" s="53"/>
      <c r="AM7" s="53"/>
      <c r="AN7" s="53"/>
      <c r="AO7" s="53"/>
      <c r="AP7" s="53"/>
      <c r="AQ7" s="53"/>
      <c r="AR7" s="53"/>
      <c r="AS7" s="53"/>
      <c r="AT7" s="53"/>
      <c r="AU7" s="53"/>
      <c r="AV7" s="53"/>
      <c r="AW7" s="53"/>
      <c r="AX7" s="53"/>
      <c r="AY7" s="53"/>
      <c r="AZ7" s="53"/>
      <c r="BA7" s="53"/>
      <c r="BB7" s="53"/>
      <c r="BC7" s="53"/>
      <c r="BD7" s="53"/>
      <c r="BE7" s="53"/>
      <c r="BF7" s="53"/>
      <c r="BG7" s="53"/>
      <c r="BH7" s="53"/>
      <c r="BI7" s="53"/>
      <c r="BJ7" s="31"/>
    </row>
    <row r="8" spans="1:62" customFormat="1">
      <c r="A8" s="75"/>
      <c r="B8" s="12"/>
      <c r="C8" s="12"/>
      <c r="D8" s="12"/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38"/>
      <c r="V8" s="38"/>
      <c r="W8" s="38"/>
      <c r="X8" s="38"/>
      <c r="Y8" s="38"/>
      <c r="Z8" s="38"/>
      <c r="AA8" s="38"/>
      <c r="AB8" s="38"/>
      <c r="AC8" s="38"/>
      <c r="AD8" s="38"/>
      <c r="AE8" s="19" t="str">
        <f t="shared" ref="AE8:AE22" si="3">IF(AD8="","",SUM(E8:AC8)*AD8)</f>
        <v/>
      </c>
      <c r="AF8" s="38"/>
      <c r="AG8" s="38"/>
      <c r="AH8" s="44"/>
      <c r="AI8" s="18" t="str">
        <f>IF(AD8="","",(AF8+(AG8/36))*AD8)</f>
        <v/>
      </c>
      <c r="AJ8" s="64"/>
      <c r="AK8" s="20" t="str">
        <f>IF(E8=0,"",ROUNDUP($E5/E8,0))</f>
        <v/>
      </c>
      <c r="AL8" s="20" t="str">
        <f>IF(F8=0,"",ROUNDUP($F5/F8,0))</f>
        <v/>
      </c>
      <c r="AM8" s="20" t="str">
        <f>IF(G8=0,"",ROUNDUP($G5/G8,0))</f>
        <v/>
      </c>
      <c r="AN8" s="20" t="str">
        <f>IF(H8=0,"",ROUNDUP($H5/H8,0))</f>
        <v/>
      </c>
      <c r="AO8" s="20" t="str">
        <f>IF(I8=0,"",ROUNDUP($I5/I8,0))</f>
        <v/>
      </c>
      <c r="AP8" s="20" t="str">
        <f>IF(J8=0,"",ROUNDUP($J5/J8,0))</f>
        <v/>
      </c>
      <c r="AQ8" s="20" t="str">
        <f>IF(K8=0,"",ROUNDUP($K5/K8,0))</f>
        <v/>
      </c>
      <c r="AR8" s="20" t="str">
        <f>IF(L8=0,"",ROUNDUP($L5/L8,0))</f>
        <v/>
      </c>
      <c r="AS8" s="20" t="str">
        <f>IF(M8=0,"",ROUNDUP($M5/M8,0))</f>
        <v/>
      </c>
      <c r="AT8" s="20" t="str">
        <f>IF(N8=0,"",ROUNDUP($N5/N8,0))</f>
        <v/>
      </c>
      <c r="AU8" s="20" t="str">
        <f>IF(O8=0,"",ROUNDUP($O5/O8,0))</f>
        <v/>
      </c>
      <c r="AV8" s="20" t="str">
        <f>IF(P8=0,"",ROUNDUP($P5/P8,0))</f>
        <v/>
      </c>
      <c r="AW8" s="20" t="str">
        <f>IF(Q8=0,"",ROUNDUP($Q5/Q8,0))</f>
        <v/>
      </c>
      <c r="AX8" s="20" t="str">
        <f>IF(R8=0,"",ROUNDUP($R5/R8,0))</f>
        <v/>
      </c>
      <c r="AY8" s="20" t="str">
        <f>IF(S8=0,"",ROUNDUP($S5/S8,0))</f>
        <v/>
      </c>
      <c r="AZ8" s="20" t="str">
        <f t="shared" ref="AZ8" si="4">IF(T8=0,"",ROUNDUP(T$5/T8,0))</f>
        <v/>
      </c>
      <c r="BA8" s="20" t="str">
        <f t="shared" ref="AZ8:BI22" si="5">IF(U8=0,"",ROUNDUP(U$5/U8,0))</f>
        <v/>
      </c>
      <c r="BB8" s="20" t="str">
        <f t="shared" si="5"/>
        <v/>
      </c>
      <c r="BC8" s="20" t="str">
        <f t="shared" si="5"/>
        <v/>
      </c>
      <c r="BD8" s="20" t="str">
        <f t="shared" si="5"/>
        <v/>
      </c>
      <c r="BE8" s="20" t="str">
        <f t="shared" si="5"/>
        <v/>
      </c>
      <c r="BF8" s="20" t="str">
        <f t="shared" si="5"/>
        <v/>
      </c>
      <c r="BG8" s="20" t="str">
        <f t="shared" si="5"/>
        <v/>
      </c>
      <c r="BH8" s="20" t="str">
        <f t="shared" si="5"/>
        <v/>
      </c>
      <c r="BI8" s="20" t="str">
        <f t="shared" si="5"/>
        <v/>
      </c>
      <c r="BJ8" s="31"/>
    </row>
    <row r="9" spans="1:62" customFormat="1">
      <c r="A9" s="76"/>
      <c r="B9" s="12"/>
      <c r="C9" s="12"/>
      <c r="D9" s="12"/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19" t="str">
        <f t="shared" si="3"/>
        <v/>
      </c>
      <c r="AF9" s="38"/>
      <c r="AG9" s="38"/>
      <c r="AH9" s="44"/>
      <c r="AI9" s="18" t="str">
        <f>IF(AD9="","",(AF9+(AG9/36))*AD9)</f>
        <v/>
      </c>
      <c r="AJ9" s="64"/>
      <c r="AK9" s="20" t="str">
        <f>IF(E9=0,"",ROUNDUP($E5/E9,0))</f>
        <v/>
      </c>
      <c r="AL9" s="20" t="str">
        <f>IF(F9=0,"",ROUNDUP($F5/F9,0))</f>
        <v/>
      </c>
      <c r="AM9" s="20" t="str">
        <f>IF(G9=0,"",ROUNDUP($G5/G9,0))</f>
        <v/>
      </c>
      <c r="AN9" s="20" t="str">
        <f>IF(H9=0,"",ROUNDUP($H5/H9,0))</f>
        <v/>
      </c>
      <c r="AO9" s="20" t="str">
        <f>IF(I9=0,"",ROUNDUP($I5/I9,0))</f>
        <v/>
      </c>
      <c r="AP9" s="20" t="str">
        <f>IF(J9=0,"",ROUNDUP($J5/J9,0))</f>
        <v/>
      </c>
      <c r="AQ9" s="20" t="str">
        <f>IF(K9=0,"",ROUNDUP($K5/K9,0))</f>
        <v/>
      </c>
      <c r="AR9" s="20" t="str">
        <f>IF(L9=0,"",ROUNDUP($L5/L9,0))</f>
        <v/>
      </c>
      <c r="AS9" s="20" t="str">
        <f>IF(M9=0,"",ROUNDUP($M5/M9,0))</f>
        <v/>
      </c>
      <c r="AT9" s="20" t="str">
        <f>IF(N9=0,"",ROUNDUP($N5/N9,0))</f>
        <v/>
      </c>
      <c r="AU9" s="20" t="str">
        <f>IF(O9=0,"",ROUNDUP($O5/O9,0))</f>
        <v/>
      </c>
      <c r="AV9" s="20" t="str">
        <f>IF(P9=0,"",ROUNDUP($P5/P9,0))</f>
        <v/>
      </c>
      <c r="AW9" s="20" t="str">
        <f>IF(Q9=0,"",ROUNDUP($Q5/Q9,0))</f>
        <v/>
      </c>
      <c r="AX9" s="20" t="str">
        <f>IF(R9=0,"",ROUNDUP($R5/R9,0))</f>
        <v/>
      </c>
      <c r="AY9" s="20" t="str">
        <f>IF(S9=0,"",ROUNDUP($S5/S9,0))</f>
        <v/>
      </c>
      <c r="AZ9" s="20" t="str">
        <f t="shared" si="5"/>
        <v/>
      </c>
      <c r="BA9" s="20" t="str">
        <f t="shared" si="5"/>
        <v/>
      </c>
      <c r="BB9" s="20" t="str">
        <f t="shared" si="5"/>
        <v/>
      </c>
      <c r="BC9" s="20" t="str">
        <f t="shared" si="5"/>
        <v/>
      </c>
      <c r="BD9" s="20" t="str">
        <f t="shared" si="5"/>
        <v/>
      </c>
      <c r="BE9" s="20" t="str">
        <f t="shared" si="5"/>
        <v/>
      </c>
      <c r="BF9" s="20" t="str">
        <f t="shared" si="5"/>
        <v/>
      </c>
      <c r="BG9" s="20" t="str">
        <f t="shared" si="5"/>
        <v/>
      </c>
      <c r="BH9" s="20" t="str">
        <f t="shared" si="5"/>
        <v/>
      </c>
      <c r="BI9" s="20" t="str">
        <f t="shared" si="5"/>
        <v/>
      </c>
      <c r="BJ9" s="31"/>
    </row>
    <row r="10" spans="1:62" customFormat="1">
      <c r="A10" s="76"/>
      <c r="B10" s="12"/>
      <c r="C10" s="12"/>
      <c r="D10" s="12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19" t="str">
        <f t="shared" si="3"/>
        <v/>
      </c>
      <c r="AF10" s="38"/>
      <c r="AG10" s="38"/>
      <c r="AH10" s="44"/>
      <c r="AI10" s="18" t="str">
        <f>IF(AD10="","",(AF10+(AG10/36))*AD10)</f>
        <v/>
      </c>
      <c r="AJ10" s="64"/>
      <c r="AK10" s="20" t="str">
        <f>IF(E10=0,"",ROUNDUP($E5/E10,0))</f>
        <v/>
      </c>
      <c r="AL10" s="20" t="str">
        <f>IF(F10=0,"",ROUNDUP($F5/F10,0))</f>
        <v/>
      </c>
      <c r="AM10" s="20" t="str">
        <f>IF(G10=0,"",ROUNDUP($G5/G10,0))</f>
        <v/>
      </c>
      <c r="AN10" s="20" t="str">
        <f>IF(H10=0,"",ROUNDUP($H5/H10,0))</f>
        <v/>
      </c>
      <c r="AO10" s="20" t="str">
        <f>IF(I10=0,"",ROUNDUP($I5/I10,0))</f>
        <v/>
      </c>
      <c r="AP10" s="20" t="str">
        <f>IF(J10=0,"",ROUNDUP($J5/J10,0))</f>
        <v/>
      </c>
      <c r="AQ10" s="20" t="str">
        <f>IF(K10=0,"",ROUNDUP($K5/K10,0))</f>
        <v/>
      </c>
      <c r="AR10" s="20" t="str">
        <f>IF(L10=0,"",ROUNDUP($L5/L10,0))</f>
        <v/>
      </c>
      <c r="AS10" s="20" t="str">
        <f>IF(M10=0,"",ROUNDUP($M5/M10,0))</f>
        <v/>
      </c>
      <c r="AT10" s="20" t="str">
        <f>IF(N10=0,"",ROUNDUP($N5/N10,0))</f>
        <v/>
      </c>
      <c r="AU10" s="20" t="str">
        <f>IF(O10=0,"",ROUNDUP($O5/O10,0))</f>
        <v/>
      </c>
      <c r="AV10" s="20" t="str">
        <f>IF(P10=0,"",ROUNDUP($P5/P10,0))</f>
        <v/>
      </c>
      <c r="AW10" s="20" t="str">
        <f>IF(Q10=0,"",ROUNDUP($Q5/Q10,0))</f>
        <v/>
      </c>
      <c r="AX10" s="20" t="str">
        <f>IF(R10=0,"",ROUNDUP($R5/R10,0))</f>
        <v/>
      </c>
      <c r="AY10" s="20" t="str">
        <f>IF(S10=0,"",ROUNDUP($S5/S10,0))</f>
        <v/>
      </c>
      <c r="AZ10" s="20" t="str">
        <f t="shared" si="5"/>
        <v/>
      </c>
      <c r="BA10" s="20" t="str">
        <f t="shared" si="5"/>
        <v/>
      </c>
      <c r="BB10" s="20" t="str">
        <f t="shared" si="5"/>
        <v/>
      </c>
      <c r="BC10" s="20" t="str">
        <f t="shared" si="5"/>
        <v/>
      </c>
      <c r="BD10" s="20" t="str">
        <f t="shared" si="5"/>
        <v/>
      </c>
      <c r="BE10" s="20" t="str">
        <f t="shared" si="5"/>
        <v/>
      </c>
      <c r="BF10" s="20" t="str">
        <f t="shared" si="5"/>
        <v/>
      </c>
      <c r="BG10" s="20" t="str">
        <f t="shared" si="5"/>
        <v/>
      </c>
      <c r="BH10" s="20" t="str">
        <f t="shared" si="5"/>
        <v/>
      </c>
      <c r="BI10" s="20" t="str">
        <f t="shared" si="5"/>
        <v/>
      </c>
      <c r="BJ10" s="31"/>
    </row>
    <row r="11" spans="1:62" customFormat="1">
      <c r="A11" s="76"/>
      <c r="B11" s="12"/>
      <c r="C11" s="12"/>
      <c r="D11" s="12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  <c r="AA11" s="38"/>
      <c r="AB11" s="38"/>
      <c r="AC11" s="38"/>
      <c r="AD11" s="38"/>
      <c r="AE11" s="19" t="str">
        <f t="shared" si="3"/>
        <v/>
      </c>
      <c r="AF11" s="38"/>
      <c r="AG11" s="38"/>
      <c r="AH11" s="44"/>
      <c r="AI11" s="18" t="str">
        <f>IF(AD11="","",(AF11+(AG11/36))*AD11)</f>
        <v/>
      </c>
      <c r="AJ11" s="64"/>
      <c r="AK11" s="20" t="str">
        <f>IF(E11=0,"",ROUNDUP($E5/E11,0))</f>
        <v/>
      </c>
      <c r="AL11" s="20" t="str">
        <f>IF(F11=0,"",ROUNDUP($F5/F11,0))</f>
        <v/>
      </c>
      <c r="AM11" s="20" t="str">
        <f>IF(G11=0,"",ROUNDUP($G5/G11,0))</f>
        <v/>
      </c>
      <c r="AN11" s="20" t="str">
        <f>IF(H11=0,"",ROUNDUP($H5/H11,0))</f>
        <v/>
      </c>
      <c r="AO11" s="20" t="str">
        <f>IF(I11=0,"",ROUNDUP($I5/I11,0))</f>
        <v/>
      </c>
      <c r="AP11" s="20" t="str">
        <f>IF(J11=0,"",ROUNDUP($J5/J11,0))</f>
        <v/>
      </c>
      <c r="AQ11" s="20" t="str">
        <f>IF(K11=0,"",ROUNDUP($K5/K11,0))</f>
        <v/>
      </c>
      <c r="AR11" s="20" t="str">
        <f>IF(L11=0,"",ROUNDUP($L5/L11,0))</f>
        <v/>
      </c>
      <c r="AS11" s="20" t="str">
        <f>IF(M11=0,"",ROUNDUP($M5/M11,0))</f>
        <v/>
      </c>
      <c r="AT11" s="20" t="str">
        <f>IF(N11=0,"",ROUNDUP($N5/N11,0))</f>
        <v/>
      </c>
      <c r="AU11" s="20" t="str">
        <f>IF(O11=0,"",ROUNDUP($O5/O11,0))</f>
        <v/>
      </c>
      <c r="AV11" s="20" t="str">
        <f>IF(P11=0,"",ROUNDUP($P5/P11,0))</f>
        <v/>
      </c>
      <c r="AW11" s="20" t="str">
        <f>IF(Q11=0,"",ROUNDUP($Q5/Q11,0))</f>
        <v/>
      </c>
      <c r="AX11" s="20" t="str">
        <f>IF(R11=0,"",ROUNDUP($R5/R11,0))</f>
        <v/>
      </c>
      <c r="AY11" s="20" t="str">
        <f>IF(S11=0,"",ROUNDUP($S5/S11,0))</f>
        <v/>
      </c>
      <c r="AZ11" s="20" t="str">
        <f t="shared" si="5"/>
        <v/>
      </c>
      <c r="BA11" s="20" t="str">
        <f t="shared" si="5"/>
        <v/>
      </c>
      <c r="BB11" s="20" t="str">
        <f t="shared" si="5"/>
        <v/>
      </c>
      <c r="BC11" s="20" t="str">
        <f t="shared" si="5"/>
        <v/>
      </c>
      <c r="BD11" s="20" t="str">
        <f t="shared" si="5"/>
        <v/>
      </c>
      <c r="BE11" s="20" t="str">
        <f t="shared" si="5"/>
        <v/>
      </c>
      <c r="BF11" s="20" t="str">
        <f t="shared" si="5"/>
        <v/>
      </c>
      <c r="BG11" s="20" t="str">
        <f t="shared" si="5"/>
        <v/>
      </c>
      <c r="BH11" s="20" t="str">
        <f t="shared" si="5"/>
        <v/>
      </c>
      <c r="BI11" s="20" t="str">
        <f t="shared" si="5"/>
        <v/>
      </c>
      <c r="BJ11" s="31"/>
    </row>
    <row r="12" spans="1:62" customFormat="1">
      <c r="A12" s="76"/>
      <c r="B12" s="12"/>
      <c r="C12" s="12"/>
      <c r="D12" s="12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8"/>
      <c r="AA12" s="38"/>
      <c r="AB12" s="38"/>
      <c r="AC12" s="38"/>
      <c r="AD12" s="38"/>
      <c r="AE12" s="19" t="str">
        <f t="shared" si="3"/>
        <v/>
      </c>
      <c r="AF12" s="38"/>
      <c r="AG12" s="38"/>
      <c r="AH12" s="44"/>
      <c r="AI12" s="18" t="str">
        <f>IF(AD12="","",(AF12+(AG12/36))*AD12)</f>
        <v/>
      </c>
      <c r="AJ12" s="64"/>
      <c r="AK12" s="20" t="str">
        <f>IF(E12=0,"",ROUNDUP($E5/E12,0))</f>
        <v/>
      </c>
      <c r="AL12" s="20" t="str">
        <f>IF(F12=0,"",ROUNDUP($F5/F12,0))</f>
        <v/>
      </c>
      <c r="AM12" s="20" t="str">
        <f>IF(G12=0,"",ROUNDUP($G5/G12,0))</f>
        <v/>
      </c>
      <c r="AN12" s="20" t="str">
        <f>IF(H12=0,"",ROUNDUP($H5/H12,0))</f>
        <v/>
      </c>
      <c r="AO12" s="20" t="str">
        <f>IF(I12=0,"",ROUNDUP($I5/I12,0))</f>
        <v/>
      </c>
      <c r="AP12" s="20" t="str">
        <f>IF(J12=0,"",ROUNDUP($J5/J12,0))</f>
        <v/>
      </c>
      <c r="AQ12" s="20" t="str">
        <f>IF(K12=0,"",ROUNDUP($K5/K12,0))</f>
        <v/>
      </c>
      <c r="AR12" s="20" t="str">
        <f>IF(L12=0,"",ROUNDUP($L5/L12,0))</f>
        <v/>
      </c>
      <c r="AS12" s="20" t="str">
        <f>IF(M12=0,"",ROUNDUP($M5/M12,0))</f>
        <v/>
      </c>
      <c r="AT12" s="20" t="str">
        <f>IF(N12=0,"",ROUNDUP($N5/N12,0))</f>
        <v/>
      </c>
      <c r="AU12" s="20" t="str">
        <f>IF(O12=0,"",ROUNDUP($O5/O12,0))</f>
        <v/>
      </c>
      <c r="AV12" s="20" t="str">
        <f>IF(P12=0,"",ROUNDUP($P5/P12,0))</f>
        <v/>
      </c>
      <c r="AW12" s="20" t="str">
        <f>IF(Q12=0,"",ROUNDUP($Q5/Q12,0))</f>
        <v/>
      </c>
      <c r="AX12" s="20" t="str">
        <f>IF(R12=0,"",ROUNDUP($R5/R12,0))</f>
        <v/>
      </c>
      <c r="AY12" s="20" t="str">
        <f>IF(S12=0,"",ROUNDUP($S5/S12,0))</f>
        <v/>
      </c>
      <c r="AZ12" s="20" t="str">
        <f t="shared" si="5"/>
        <v/>
      </c>
      <c r="BA12" s="20" t="str">
        <f t="shared" si="5"/>
        <v/>
      </c>
      <c r="BB12" s="20" t="str">
        <f t="shared" si="5"/>
        <v/>
      </c>
      <c r="BC12" s="20" t="str">
        <f t="shared" si="5"/>
        <v/>
      </c>
      <c r="BD12" s="20" t="str">
        <f t="shared" si="5"/>
        <v/>
      </c>
      <c r="BE12" s="20" t="str">
        <f t="shared" si="5"/>
        <v/>
      </c>
      <c r="BF12" s="20" t="str">
        <f t="shared" si="5"/>
        <v/>
      </c>
      <c r="BG12" s="20" t="str">
        <f t="shared" si="5"/>
        <v/>
      </c>
      <c r="BH12" s="20" t="str">
        <f t="shared" si="5"/>
        <v/>
      </c>
      <c r="BI12" s="20" t="str">
        <f t="shared" si="5"/>
        <v/>
      </c>
      <c r="BJ12" s="31"/>
    </row>
    <row r="13" spans="1:62" customFormat="1">
      <c r="A13" s="76"/>
      <c r="B13" s="12"/>
      <c r="C13" s="12"/>
      <c r="D13" s="12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19" t="str">
        <f t="shared" si="3"/>
        <v/>
      </c>
      <c r="AF13" s="13"/>
      <c r="AG13" s="13"/>
      <c r="AH13" s="13"/>
      <c r="AI13" s="18" t="str">
        <f t="shared" ref="AI13:AI22" si="6">IF(AD13="","",(AF13+(AG13/36))*AD13)</f>
        <v/>
      </c>
      <c r="AJ13" s="64"/>
      <c r="AK13" s="20" t="str">
        <f>IF(E13=0,"",ROUNDUP($E5/E13,0))</f>
        <v/>
      </c>
      <c r="AL13" s="20" t="str">
        <f>IF(F13=0,"",ROUNDUP($F5/F13,0))</f>
        <v/>
      </c>
      <c r="AM13" s="20" t="str">
        <f>IF(G13=0,"",ROUNDUP($G5/G13,0))</f>
        <v/>
      </c>
      <c r="AN13" s="20" t="str">
        <f>IF(H13=0,"",ROUNDUP($H5/H13,0))</f>
        <v/>
      </c>
      <c r="AO13" s="20" t="str">
        <f>IF(I13=0,"",ROUNDUP($I5/I13,0))</f>
        <v/>
      </c>
      <c r="AP13" s="20" t="str">
        <f>IF(J13=0,"",ROUNDUP($J5/J13,0))</f>
        <v/>
      </c>
      <c r="AQ13" s="20" t="str">
        <f>IF(K13=0,"",ROUNDUP($K5/K13,0))</f>
        <v/>
      </c>
      <c r="AR13" s="20" t="str">
        <f>IF(L13=0,"",ROUNDUP($L5/L13,0))</f>
        <v/>
      </c>
      <c r="AS13" s="20" t="str">
        <f>IF(M13=0,"",ROUNDUP($M5/M13,0))</f>
        <v/>
      </c>
      <c r="AT13" s="20" t="str">
        <f>IF(N13=0,"",ROUNDUP($N5/N13,0))</f>
        <v/>
      </c>
      <c r="AU13" s="20" t="str">
        <f>IF(O13=0,"",ROUNDUP($O5/O13,0))</f>
        <v/>
      </c>
      <c r="AV13" s="20" t="str">
        <f>IF(P13=0,"",ROUNDUP($P5/P13,0))</f>
        <v/>
      </c>
      <c r="AW13" s="20" t="str">
        <f>IF(Q13=0,"",ROUNDUP($Q5/Q13,0))</f>
        <v/>
      </c>
      <c r="AX13" s="20" t="str">
        <f>IF(R13=0,"",ROUNDUP($R5/R13,0))</f>
        <v/>
      </c>
      <c r="AY13" s="20" t="str">
        <f>IF(S13=0,"",ROUNDUP($S5/S13,0))</f>
        <v/>
      </c>
      <c r="AZ13" s="20" t="str">
        <f t="shared" si="5"/>
        <v/>
      </c>
      <c r="BA13" s="20" t="str">
        <f t="shared" si="5"/>
        <v/>
      </c>
      <c r="BB13" s="20" t="str">
        <f t="shared" si="5"/>
        <v/>
      </c>
      <c r="BC13" s="20" t="str">
        <f t="shared" si="5"/>
        <v/>
      </c>
      <c r="BD13" s="20" t="str">
        <f t="shared" si="5"/>
        <v/>
      </c>
      <c r="BE13" s="20" t="str">
        <f t="shared" si="5"/>
        <v/>
      </c>
      <c r="BF13" s="20" t="str">
        <f t="shared" si="5"/>
        <v/>
      </c>
      <c r="BG13" s="20" t="str">
        <f t="shared" si="5"/>
        <v/>
      </c>
      <c r="BH13" s="20" t="str">
        <f t="shared" si="5"/>
        <v/>
      </c>
      <c r="BI13" s="20" t="str">
        <f t="shared" si="5"/>
        <v/>
      </c>
      <c r="BJ13" s="31"/>
    </row>
    <row r="14" spans="1:62" customFormat="1">
      <c r="A14" s="76"/>
      <c r="B14" s="12"/>
      <c r="C14" s="12"/>
      <c r="D14" s="12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38"/>
      <c r="W14" s="38"/>
      <c r="X14" s="38"/>
      <c r="Y14" s="38"/>
      <c r="Z14" s="38"/>
      <c r="AA14" s="38"/>
      <c r="AB14" s="38"/>
      <c r="AC14" s="38"/>
      <c r="AD14" s="38"/>
      <c r="AE14" s="19" t="str">
        <f t="shared" si="3"/>
        <v/>
      </c>
      <c r="AF14" s="13"/>
      <c r="AG14" s="13"/>
      <c r="AH14" s="13"/>
      <c r="AI14" s="18" t="str">
        <f t="shared" si="6"/>
        <v/>
      </c>
      <c r="AJ14" s="64"/>
      <c r="AK14" s="20" t="str">
        <f>IF(E14=0,"",ROUNDUP($E5/E14,0))</f>
        <v/>
      </c>
      <c r="AL14" s="20" t="str">
        <f>IF(F14=0,"",ROUNDUP($F5/F14,0))</f>
        <v/>
      </c>
      <c r="AM14" s="20" t="str">
        <f>IF(G14=0,"",ROUNDUP($G5/G14,0))</f>
        <v/>
      </c>
      <c r="AN14" s="20" t="str">
        <f>IF(H14=0,"",ROUNDUP($H5/H14,0))</f>
        <v/>
      </c>
      <c r="AO14" s="20" t="str">
        <f>IF(I14=0,"",ROUNDUP($I5/I14,0))</f>
        <v/>
      </c>
      <c r="AP14" s="20" t="str">
        <f>IF(J14=0,"",ROUNDUP($J5/J14,0))</f>
        <v/>
      </c>
      <c r="AQ14" s="20" t="str">
        <f>IF(K14=0,"",ROUNDUP($K5/K14,0))</f>
        <v/>
      </c>
      <c r="AR14" s="20" t="str">
        <f>IF(L14=0,"",ROUNDUP($L5/L14,0))</f>
        <v/>
      </c>
      <c r="AS14" s="20" t="str">
        <f>IF(M14=0,"",ROUNDUP($M5/M14,0))</f>
        <v/>
      </c>
      <c r="AT14" s="20" t="str">
        <f>IF(N14=0,"",ROUNDUP($N5/N14,0))</f>
        <v/>
      </c>
      <c r="AU14" s="20" t="str">
        <f>IF(O14=0,"",ROUNDUP($O5/O14,0))</f>
        <v/>
      </c>
      <c r="AV14" s="20" t="str">
        <f>IF(P14=0,"",ROUNDUP($P5/P14,0))</f>
        <v/>
      </c>
      <c r="AW14" s="20" t="str">
        <f>IF(Q14=0,"",ROUNDUP($Q5/Q14,0))</f>
        <v/>
      </c>
      <c r="AX14" s="20" t="str">
        <f>IF(R14=0,"",ROUNDUP($R5/R14,0))</f>
        <v/>
      </c>
      <c r="AY14" s="20" t="str">
        <f>IF(S14=0,"",ROUNDUP($S5/S14,0))</f>
        <v/>
      </c>
      <c r="AZ14" s="20" t="str">
        <f t="shared" si="5"/>
        <v/>
      </c>
      <c r="BA14" s="20" t="str">
        <f t="shared" si="5"/>
        <v/>
      </c>
      <c r="BB14" s="20" t="str">
        <f t="shared" si="5"/>
        <v/>
      </c>
      <c r="BC14" s="20" t="str">
        <f t="shared" si="5"/>
        <v/>
      </c>
      <c r="BD14" s="20" t="str">
        <f t="shared" si="5"/>
        <v/>
      </c>
      <c r="BE14" s="20" t="str">
        <f t="shared" si="5"/>
        <v/>
      </c>
      <c r="BF14" s="20" t="str">
        <f t="shared" si="5"/>
        <v/>
      </c>
      <c r="BG14" s="20" t="str">
        <f t="shared" si="5"/>
        <v/>
      </c>
      <c r="BH14" s="20" t="str">
        <f t="shared" si="5"/>
        <v/>
      </c>
      <c r="BI14" s="20" t="str">
        <f t="shared" si="5"/>
        <v/>
      </c>
      <c r="BJ14" s="31"/>
    </row>
    <row r="15" spans="1:62" customFormat="1">
      <c r="A15" s="76"/>
      <c r="B15" s="12"/>
      <c r="C15" s="12"/>
      <c r="D15" s="12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38"/>
      <c r="W15" s="38"/>
      <c r="X15" s="38"/>
      <c r="Y15" s="38"/>
      <c r="Z15" s="38"/>
      <c r="AA15" s="38"/>
      <c r="AB15" s="38"/>
      <c r="AC15" s="38"/>
      <c r="AD15" s="38"/>
      <c r="AE15" s="19" t="str">
        <f t="shared" si="3"/>
        <v/>
      </c>
      <c r="AF15" s="13"/>
      <c r="AG15" s="13"/>
      <c r="AH15" s="13"/>
      <c r="AI15" s="18" t="str">
        <f t="shared" si="6"/>
        <v/>
      </c>
      <c r="AJ15" s="64"/>
      <c r="AK15" s="20" t="str">
        <f>IF(E15=0,"",ROUNDUP($E5/E15,0))</f>
        <v/>
      </c>
      <c r="AL15" s="20" t="str">
        <f>IF(F15=0,"",ROUNDUP($F5/F15,0))</f>
        <v/>
      </c>
      <c r="AM15" s="20" t="str">
        <f>IF(G15=0,"",ROUNDUP($G5/G15,0))</f>
        <v/>
      </c>
      <c r="AN15" s="20" t="str">
        <f>IF(H15=0,"",ROUNDUP($H5/H15,0))</f>
        <v/>
      </c>
      <c r="AO15" s="20" t="str">
        <f>IF(I15=0,"",ROUNDUP($I5/I15,0))</f>
        <v/>
      </c>
      <c r="AP15" s="20" t="str">
        <f>IF(J15=0,"",ROUNDUP($J5/J15,0))</f>
        <v/>
      </c>
      <c r="AQ15" s="20" t="str">
        <f>IF(K15=0,"",ROUNDUP($K5/K15,0))</f>
        <v/>
      </c>
      <c r="AR15" s="20" t="str">
        <f>IF(L15=0,"",ROUNDUP($L5/L15,0))</f>
        <v/>
      </c>
      <c r="AS15" s="20" t="str">
        <f>IF(M15=0,"",ROUNDUP($M5/M15,0))</f>
        <v/>
      </c>
      <c r="AT15" s="20" t="str">
        <f>IF(N15=0,"",ROUNDUP($N5/N15,0))</f>
        <v/>
      </c>
      <c r="AU15" s="20" t="str">
        <f>IF(O15=0,"",ROUNDUP($O5/O15,0))</f>
        <v/>
      </c>
      <c r="AV15" s="20" t="str">
        <f>IF(P15=0,"",ROUNDUP($P5/P15,0))</f>
        <v/>
      </c>
      <c r="AW15" s="20" t="str">
        <f>IF(Q15=0,"",ROUNDUP($Q5/Q15,0))</f>
        <v/>
      </c>
      <c r="AX15" s="20" t="str">
        <f>IF(R15=0,"",ROUNDUP($R5/R15,0))</f>
        <v/>
      </c>
      <c r="AY15" s="20" t="str">
        <f>IF(S15=0,"",ROUNDUP($S5/S15,0))</f>
        <v/>
      </c>
      <c r="AZ15" s="20" t="str">
        <f t="shared" si="5"/>
        <v/>
      </c>
      <c r="BA15" s="20" t="str">
        <f t="shared" si="5"/>
        <v/>
      </c>
      <c r="BB15" s="20" t="str">
        <f t="shared" si="5"/>
        <v/>
      </c>
      <c r="BC15" s="20" t="str">
        <f t="shared" si="5"/>
        <v/>
      </c>
      <c r="BD15" s="20" t="str">
        <f t="shared" si="5"/>
        <v/>
      </c>
      <c r="BE15" s="20" t="str">
        <f t="shared" si="5"/>
        <v/>
      </c>
      <c r="BF15" s="20" t="str">
        <f t="shared" si="5"/>
        <v/>
      </c>
      <c r="BG15" s="20" t="str">
        <f t="shared" si="5"/>
        <v/>
      </c>
      <c r="BH15" s="20" t="str">
        <f t="shared" si="5"/>
        <v/>
      </c>
      <c r="BI15" s="20" t="str">
        <f t="shared" si="5"/>
        <v/>
      </c>
      <c r="BJ15" s="31"/>
    </row>
    <row r="16" spans="1:62" customFormat="1">
      <c r="A16" s="76"/>
      <c r="B16" s="12"/>
      <c r="C16" s="12"/>
      <c r="D16" s="12"/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38"/>
      <c r="W16" s="38"/>
      <c r="X16" s="38"/>
      <c r="Y16" s="38"/>
      <c r="Z16" s="38"/>
      <c r="AA16" s="38"/>
      <c r="AB16" s="38"/>
      <c r="AC16" s="38"/>
      <c r="AD16" s="38"/>
      <c r="AE16" s="19" t="str">
        <f t="shared" si="3"/>
        <v/>
      </c>
      <c r="AF16" s="13"/>
      <c r="AG16" s="13"/>
      <c r="AH16" s="13"/>
      <c r="AI16" s="18" t="str">
        <f t="shared" si="6"/>
        <v/>
      </c>
      <c r="AJ16" s="64"/>
      <c r="AK16" s="20" t="str">
        <f>IF(E16=0,"",ROUNDUP($E5/E16,0))</f>
        <v/>
      </c>
      <c r="AL16" s="20" t="str">
        <f>IF(F16=0,"",ROUNDUP($F5/F16,0))</f>
        <v/>
      </c>
      <c r="AM16" s="20" t="str">
        <f>IF(G16=0,"",ROUNDUP($G5/G16,0))</f>
        <v/>
      </c>
      <c r="AN16" s="20" t="str">
        <f>IF(H16=0,"",ROUNDUP($H5/H16,0))</f>
        <v/>
      </c>
      <c r="AO16" s="20" t="str">
        <f>IF(I16=0,"",ROUNDUP($I5/I16,0))</f>
        <v/>
      </c>
      <c r="AP16" s="20" t="str">
        <f>IF(J16=0,"",ROUNDUP($J5/J16,0))</f>
        <v/>
      </c>
      <c r="AQ16" s="20" t="str">
        <f>IF(K16=0,"",ROUNDUP($K5/K16,0))</f>
        <v/>
      </c>
      <c r="AR16" s="20" t="str">
        <f>IF(L16=0,"",ROUNDUP($L5/L16,0))</f>
        <v/>
      </c>
      <c r="AS16" s="20" t="str">
        <f>IF(M16=0,"",ROUNDUP($M5/M16,0))</f>
        <v/>
      </c>
      <c r="AT16" s="20" t="str">
        <f>IF(N16=0,"",ROUNDUP($N5/N16,0))</f>
        <v/>
      </c>
      <c r="AU16" s="20" t="str">
        <f>IF(O16=0,"",ROUNDUP($O5/O16,0))</f>
        <v/>
      </c>
      <c r="AV16" s="20" t="str">
        <f>IF(P16=0,"",ROUNDUP($P5/P16,0))</f>
        <v/>
      </c>
      <c r="AW16" s="20" t="str">
        <f>IF(Q16=0,"",ROUNDUP($Q5/Q16,0))</f>
        <v/>
      </c>
      <c r="AX16" s="20" t="str">
        <f>IF(R16=0,"",ROUNDUP($R5/R16,0))</f>
        <v/>
      </c>
      <c r="AY16" s="20" t="str">
        <f>IF(S16=0,"",ROUNDUP($S5/S16,0))</f>
        <v/>
      </c>
      <c r="AZ16" s="20" t="str">
        <f t="shared" si="5"/>
        <v/>
      </c>
      <c r="BA16" s="20" t="str">
        <f t="shared" si="5"/>
        <v/>
      </c>
      <c r="BB16" s="20" t="str">
        <f t="shared" si="5"/>
        <v/>
      </c>
      <c r="BC16" s="20" t="str">
        <f t="shared" si="5"/>
        <v/>
      </c>
      <c r="BD16" s="20" t="str">
        <f t="shared" si="5"/>
        <v/>
      </c>
      <c r="BE16" s="20" t="str">
        <f t="shared" si="5"/>
        <v/>
      </c>
      <c r="BF16" s="20" t="str">
        <f t="shared" si="5"/>
        <v/>
      </c>
      <c r="BG16" s="20" t="str">
        <f t="shared" si="5"/>
        <v/>
      </c>
      <c r="BH16" s="20" t="str">
        <f t="shared" si="5"/>
        <v/>
      </c>
      <c r="BI16" s="20" t="str">
        <f t="shared" si="5"/>
        <v/>
      </c>
      <c r="BJ16" s="31"/>
    </row>
    <row r="17" spans="1:62" customFormat="1">
      <c r="A17" s="76"/>
      <c r="B17" s="12"/>
      <c r="C17" s="12"/>
      <c r="D17" s="12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38"/>
      <c r="P17" s="38"/>
      <c r="Q17" s="38"/>
      <c r="R17" s="38"/>
      <c r="S17" s="38"/>
      <c r="T17" s="38"/>
      <c r="U17" s="38"/>
      <c r="V17" s="38"/>
      <c r="W17" s="38"/>
      <c r="X17" s="38"/>
      <c r="Y17" s="38"/>
      <c r="Z17" s="38"/>
      <c r="AA17" s="38"/>
      <c r="AB17" s="38"/>
      <c r="AC17" s="38"/>
      <c r="AD17" s="38"/>
      <c r="AE17" s="19" t="str">
        <f t="shared" si="3"/>
        <v/>
      </c>
      <c r="AF17" s="13"/>
      <c r="AG17" s="13"/>
      <c r="AH17" s="13"/>
      <c r="AI17" s="18" t="str">
        <f t="shared" si="6"/>
        <v/>
      </c>
      <c r="AJ17" s="64"/>
      <c r="AK17" s="20" t="str">
        <f>IF(E17=0,"",ROUNDUP($E5/E17,0))</f>
        <v/>
      </c>
      <c r="AL17" s="20" t="str">
        <f>IF(F17=0,"",ROUNDUP($F5/F17,0))</f>
        <v/>
      </c>
      <c r="AM17" s="20" t="str">
        <f>IF(G17=0,"",ROUNDUP($G5/G17,0))</f>
        <v/>
      </c>
      <c r="AN17" s="20" t="str">
        <f>IF(H17=0,"",ROUNDUP($H5/H17,0))</f>
        <v/>
      </c>
      <c r="AO17" s="20" t="str">
        <f>IF(I17=0,"",ROUNDUP($I5/I17,0))</f>
        <v/>
      </c>
      <c r="AP17" s="20" t="str">
        <f>IF(J17=0,"",ROUNDUP($J5/J17,0))</f>
        <v/>
      </c>
      <c r="AQ17" s="20" t="str">
        <f>IF(K17=0,"",ROUNDUP($K5/K17,0))</f>
        <v/>
      </c>
      <c r="AR17" s="20" t="str">
        <f>IF(L17=0,"",ROUNDUP($L5/L17,0))</f>
        <v/>
      </c>
      <c r="AS17" s="20" t="str">
        <f>IF(M17=0,"",ROUNDUP($M5/M17,0))</f>
        <v/>
      </c>
      <c r="AT17" s="20" t="str">
        <f>IF(N17=0,"",ROUNDUP($N5/N17,0))</f>
        <v/>
      </c>
      <c r="AU17" s="20" t="str">
        <f>IF(O17=0,"",ROUNDUP($O5/O17,0))</f>
        <v/>
      </c>
      <c r="AV17" s="20" t="str">
        <f>IF(P17=0,"",ROUNDUP($P5/P17,0))</f>
        <v/>
      </c>
      <c r="AW17" s="20" t="str">
        <f>IF(Q17=0,"",ROUNDUP($Q5/Q17,0))</f>
        <v/>
      </c>
      <c r="AX17" s="20" t="str">
        <f>IF(R17=0,"",ROUNDUP($R5/R17,0))</f>
        <v/>
      </c>
      <c r="AY17" s="20" t="str">
        <f>IF(S17=0,"",ROUNDUP($S5/S17,0))</f>
        <v/>
      </c>
      <c r="AZ17" s="20" t="str">
        <f t="shared" si="5"/>
        <v/>
      </c>
      <c r="BA17" s="20" t="str">
        <f t="shared" si="5"/>
        <v/>
      </c>
      <c r="BB17" s="20" t="str">
        <f t="shared" si="5"/>
        <v/>
      </c>
      <c r="BC17" s="20" t="str">
        <f t="shared" si="5"/>
        <v/>
      </c>
      <c r="BD17" s="20" t="str">
        <f t="shared" si="5"/>
        <v/>
      </c>
      <c r="BE17" s="20" t="str">
        <f t="shared" si="5"/>
        <v/>
      </c>
      <c r="BF17" s="20" t="str">
        <f t="shared" si="5"/>
        <v/>
      </c>
      <c r="BG17" s="20" t="str">
        <f t="shared" si="5"/>
        <v/>
      </c>
      <c r="BH17" s="20" t="str">
        <f t="shared" si="5"/>
        <v/>
      </c>
      <c r="BI17" s="20" t="str">
        <f t="shared" si="5"/>
        <v/>
      </c>
      <c r="BJ17" s="31"/>
    </row>
    <row r="18" spans="1:62" customFormat="1">
      <c r="A18" s="76"/>
      <c r="B18" s="12"/>
      <c r="C18" s="12"/>
      <c r="D18" s="12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8"/>
      <c r="Q18" s="38"/>
      <c r="R18" s="38"/>
      <c r="S18" s="38"/>
      <c r="T18" s="38"/>
      <c r="U18" s="38"/>
      <c r="V18" s="38"/>
      <c r="W18" s="38"/>
      <c r="X18" s="38"/>
      <c r="Y18" s="38"/>
      <c r="Z18" s="38"/>
      <c r="AA18" s="24"/>
      <c r="AB18" s="38"/>
      <c r="AC18" s="38"/>
      <c r="AD18" s="38"/>
      <c r="AE18" s="19" t="str">
        <f t="shared" si="3"/>
        <v/>
      </c>
      <c r="AF18" s="13"/>
      <c r="AG18" s="13"/>
      <c r="AH18" s="13"/>
      <c r="AI18" s="18" t="str">
        <f t="shared" si="6"/>
        <v/>
      </c>
      <c r="AJ18" s="64"/>
      <c r="AK18" s="20" t="str">
        <f>IF(E18=0,"",ROUNDUP($E5/E18,0))</f>
        <v/>
      </c>
      <c r="AL18" s="20" t="str">
        <f>IF(F18=0,"",ROUNDUP($F5/F18,0))</f>
        <v/>
      </c>
      <c r="AM18" s="20" t="str">
        <f>IF(G18=0,"",ROUNDUP($G5/G18,0))</f>
        <v/>
      </c>
      <c r="AN18" s="20" t="str">
        <f>IF(H18=0,"",ROUNDUP($H5/H18,0))</f>
        <v/>
      </c>
      <c r="AO18" s="20" t="str">
        <f>IF(I18=0,"",ROUNDUP($I5/I18,0))</f>
        <v/>
      </c>
      <c r="AP18" s="20" t="str">
        <f>IF(J18=0,"",ROUNDUP($J5/J18,0))</f>
        <v/>
      </c>
      <c r="AQ18" s="20" t="str">
        <f>IF(K18=0,"",ROUNDUP($K5/K18,0))</f>
        <v/>
      </c>
      <c r="AR18" s="20" t="str">
        <f>IF(L18=0,"",ROUNDUP($L5/L18,0))</f>
        <v/>
      </c>
      <c r="AS18" s="20" t="str">
        <f>IF(M18=0,"",ROUNDUP($M5/M18,0))</f>
        <v/>
      </c>
      <c r="AT18" s="20" t="str">
        <f>IF(N18=0,"",ROUNDUP($N5/N18,0))</f>
        <v/>
      </c>
      <c r="AU18" s="20" t="str">
        <f>IF(O18=0,"",ROUNDUP($O5/O18,0))</f>
        <v/>
      </c>
      <c r="AV18" s="20" t="str">
        <f>IF(P18=0,"",ROUNDUP($P5/P18,0))</f>
        <v/>
      </c>
      <c r="AW18" s="20" t="str">
        <f>IF(Q18=0,"",ROUNDUP($Q5/Q18,0))</f>
        <v/>
      </c>
      <c r="AX18" s="20" t="str">
        <f>IF(R18=0,"",ROUNDUP($R5/R18,0))</f>
        <v/>
      </c>
      <c r="AY18" s="20" t="str">
        <f>IF(S18=0,"",ROUNDUP($S5/S18,0))</f>
        <v/>
      </c>
      <c r="AZ18" s="20" t="str">
        <f t="shared" si="5"/>
        <v/>
      </c>
      <c r="BA18" s="20" t="str">
        <f t="shared" si="5"/>
        <v/>
      </c>
      <c r="BB18" s="20" t="str">
        <f t="shared" si="5"/>
        <v/>
      </c>
      <c r="BC18" s="20" t="str">
        <f t="shared" si="5"/>
        <v/>
      </c>
      <c r="BD18" s="20" t="str">
        <f t="shared" si="5"/>
        <v/>
      </c>
      <c r="BE18" s="20" t="str">
        <f t="shared" si="5"/>
        <v/>
      </c>
      <c r="BF18" s="20" t="str">
        <f t="shared" si="5"/>
        <v/>
      </c>
      <c r="BG18" s="20" t="str">
        <f t="shared" si="5"/>
        <v/>
      </c>
      <c r="BH18" s="20" t="str">
        <f t="shared" si="5"/>
        <v/>
      </c>
      <c r="BI18" s="20" t="str">
        <f t="shared" si="5"/>
        <v/>
      </c>
      <c r="BJ18" s="31"/>
    </row>
    <row r="19" spans="1:62" customFormat="1">
      <c r="A19" s="76"/>
      <c r="B19" s="12"/>
      <c r="C19" s="12"/>
      <c r="D19" s="12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  <c r="AA19" s="38"/>
      <c r="AB19" s="38"/>
      <c r="AC19" s="38"/>
      <c r="AD19" s="38"/>
      <c r="AE19" s="19" t="str">
        <f t="shared" si="3"/>
        <v/>
      </c>
      <c r="AF19" s="13"/>
      <c r="AG19" s="13"/>
      <c r="AH19" s="13"/>
      <c r="AI19" s="18" t="str">
        <f t="shared" si="6"/>
        <v/>
      </c>
      <c r="AJ19" s="64"/>
      <c r="AK19" s="20" t="str">
        <f>IF(E19=0,"",ROUNDUP($E5/E19,0))</f>
        <v/>
      </c>
      <c r="AL19" s="20" t="str">
        <f>IF(F19=0,"",ROUNDUP($F5/F19,0))</f>
        <v/>
      </c>
      <c r="AM19" s="20" t="str">
        <f>IF(G19=0,"",ROUNDUP($G5/G19,0))</f>
        <v/>
      </c>
      <c r="AN19" s="20" t="str">
        <f>IF(H19=0,"",ROUNDUP($H5/H19,0))</f>
        <v/>
      </c>
      <c r="AO19" s="20" t="str">
        <f>IF(I19=0,"",ROUNDUP($I5/I19,0))</f>
        <v/>
      </c>
      <c r="AP19" s="20" t="str">
        <f>IF(J19=0,"",ROUNDUP($J5/J19,0))</f>
        <v/>
      </c>
      <c r="AQ19" s="20" t="str">
        <f>IF(K19=0,"",ROUNDUP($K5/K19,0))</f>
        <v/>
      </c>
      <c r="AR19" s="20" t="str">
        <f>IF(L19=0,"",ROUNDUP($L5/L19,0))</f>
        <v/>
      </c>
      <c r="AS19" s="20" t="str">
        <f>IF(M19=0,"",ROUNDUP($M5/M19,0))</f>
        <v/>
      </c>
      <c r="AT19" s="20" t="str">
        <f>IF(N19=0,"",ROUNDUP($N5/N19,0))</f>
        <v/>
      </c>
      <c r="AU19" s="20" t="str">
        <f>IF(O19=0,"",ROUNDUP($O5/O19,0))</f>
        <v/>
      </c>
      <c r="AV19" s="20" t="str">
        <f>IF(P19=0,"",ROUNDUP($P5/P19,0))</f>
        <v/>
      </c>
      <c r="AW19" s="20" t="str">
        <f>IF(Q19=0,"",ROUNDUP($Q5/Q19,0))</f>
        <v/>
      </c>
      <c r="AX19" s="20" t="str">
        <f>IF(R19=0,"",ROUNDUP($R5/R19,0))</f>
        <v/>
      </c>
      <c r="AY19" s="20" t="str">
        <f>IF(S19=0,"",ROUNDUP($S5/S19,0))</f>
        <v/>
      </c>
      <c r="AZ19" s="20" t="str">
        <f t="shared" si="5"/>
        <v/>
      </c>
      <c r="BA19" s="20" t="str">
        <f t="shared" si="5"/>
        <v/>
      </c>
      <c r="BB19" s="20" t="str">
        <f t="shared" si="5"/>
        <v/>
      </c>
      <c r="BC19" s="20" t="str">
        <f t="shared" si="5"/>
        <v/>
      </c>
      <c r="BD19" s="20" t="str">
        <f t="shared" si="5"/>
        <v/>
      </c>
      <c r="BE19" s="20" t="str">
        <f t="shared" si="5"/>
        <v/>
      </c>
      <c r="BF19" s="20" t="str">
        <f t="shared" si="5"/>
        <v/>
      </c>
      <c r="BG19" s="20" t="str">
        <f t="shared" si="5"/>
        <v/>
      </c>
      <c r="BH19" s="20" t="str">
        <f t="shared" si="5"/>
        <v/>
      </c>
      <c r="BI19" s="20" t="str">
        <f t="shared" si="5"/>
        <v/>
      </c>
      <c r="BJ19" s="31"/>
    </row>
    <row r="20" spans="1:62" customFormat="1">
      <c r="A20" s="76"/>
      <c r="B20" s="12"/>
      <c r="C20" s="12"/>
      <c r="D20" s="12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19" t="str">
        <f t="shared" si="3"/>
        <v/>
      </c>
      <c r="AF20" s="13"/>
      <c r="AG20" s="13"/>
      <c r="AH20" s="13"/>
      <c r="AI20" s="18" t="str">
        <f t="shared" si="6"/>
        <v/>
      </c>
      <c r="AJ20" s="64"/>
      <c r="AK20" s="20" t="str">
        <f>IF(E20=0,"",ROUNDUP($E5/E20,0))</f>
        <v/>
      </c>
      <c r="AL20" s="20" t="str">
        <f>IF(F20=0,"",ROUNDUP($F5/F20,0))</f>
        <v/>
      </c>
      <c r="AM20" s="20" t="str">
        <f>IF(G20=0,"",ROUNDUP($G5/G20,0))</f>
        <v/>
      </c>
      <c r="AN20" s="20" t="str">
        <f>IF(H20=0,"",ROUNDUP($H5/H20,0))</f>
        <v/>
      </c>
      <c r="AO20" s="20" t="str">
        <f>IF(I20=0,"",ROUNDUP($I5/I20,0))</f>
        <v/>
      </c>
      <c r="AP20" s="20" t="str">
        <f>IF(J20=0,"",ROUNDUP($J5/J20,0))</f>
        <v/>
      </c>
      <c r="AQ20" s="20" t="str">
        <f>IF(K20=0,"",ROUNDUP($K5/K20,0))</f>
        <v/>
      </c>
      <c r="AR20" s="20" t="str">
        <f>IF(L20=0,"",ROUNDUP($L5/L20,0))</f>
        <v/>
      </c>
      <c r="AS20" s="20" t="str">
        <f>IF(M20=0,"",ROUNDUP($M5/M20,0))</f>
        <v/>
      </c>
      <c r="AT20" s="20" t="str">
        <f>IF(N20=0,"",ROUNDUP($N5/N20,0))</f>
        <v/>
      </c>
      <c r="AU20" s="20" t="str">
        <f>IF(O20=0,"",ROUNDUP($O5/O20,0))</f>
        <v/>
      </c>
      <c r="AV20" s="20" t="str">
        <f>IF(P20=0,"",ROUNDUP($P5/P20,0))</f>
        <v/>
      </c>
      <c r="AW20" s="20" t="str">
        <f>IF(Q20=0,"",ROUNDUP($Q5/Q20,0))</f>
        <v/>
      </c>
      <c r="AX20" s="20" t="str">
        <f>IF(R20=0,"",ROUNDUP($R5/R20,0))</f>
        <v/>
      </c>
      <c r="AY20" s="20" t="str">
        <f>IF(S20=0,"",ROUNDUP($S5/S20,0))</f>
        <v/>
      </c>
      <c r="AZ20" s="20" t="str">
        <f t="shared" si="5"/>
        <v/>
      </c>
      <c r="BA20" s="20" t="str">
        <f t="shared" si="5"/>
        <v/>
      </c>
      <c r="BB20" s="20" t="str">
        <f t="shared" si="5"/>
        <v/>
      </c>
      <c r="BC20" s="20" t="str">
        <f t="shared" si="5"/>
        <v/>
      </c>
      <c r="BD20" s="20" t="str">
        <f t="shared" si="5"/>
        <v/>
      </c>
      <c r="BE20" s="20" t="str">
        <f t="shared" si="5"/>
        <v/>
      </c>
      <c r="BF20" s="20" t="str">
        <f t="shared" si="5"/>
        <v/>
      </c>
      <c r="BG20" s="20" t="str">
        <f t="shared" si="5"/>
        <v/>
      </c>
      <c r="BH20" s="20" t="str">
        <f t="shared" si="5"/>
        <v/>
      </c>
      <c r="BI20" s="20" t="str">
        <f t="shared" si="5"/>
        <v/>
      </c>
      <c r="BJ20" s="31"/>
    </row>
    <row r="21" spans="1:62" customFormat="1">
      <c r="A21" s="76"/>
      <c r="B21" s="12"/>
      <c r="C21" s="12"/>
      <c r="D21" s="12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19" t="str">
        <f t="shared" si="3"/>
        <v/>
      </c>
      <c r="AF21" s="13"/>
      <c r="AG21" s="13"/>
      <c r="AH21" s="13"/>
      <c r="AI21" s="18" t="str">
        <f t="shared" si="6"/>
        <v/>
      </c>
      <c r="AJ21" s="64"/>
      <c r="AK21" s="20" t="str">
        <f>IF(E21=0,"",ROUNDUP($E5/E21,0))</f>
        <v/>
      </c>
      <c r="AL21" s="20" t="str">
        <f>IF(F21=0,"",ROUNDUP($F5/F21,0))</f>
        <v/>
      </c>
      <c r="AM21" s="20" t="str">
        <f>IF(G21=0,"",ROUNDUP($G5/G21,0))</f>
        <v/>
      </c>
      <c r="AN21" s="20" t="str">
        <f>IF(H21=0,"",ROUNDUP($H5/H21,0))</f>
        <v/>
      </c>
      <c r="AO21" s="20" t="str">
        <f>IF(I21=0,"",ROUNDUP($I5/I21,0))</f>
        <v/>
      </c>
      <c r="AP21" s="20" t="str">
        <f>IF(J21=0,"",ROUNDUP($J5/J21,0))</f>
        <v/>
      </c>
      <c r="AQ21" s="20" t="str">
        <f>IF(K21=0,"",ROUNDUP($K5/K21,0))</f>
        <v/>
      </c>
      <c r="AR21" s="20" t="str">
        <f>IF(L21=0,"",ROUNDUP($L5/L21,0))</f>
        <v/>
      </c>
      <c r="AS21" s="20" t="str">
        <f>IF(M21=0,"",ROUNDUP($M5/M21,0))</f>
        <v/>
      </c>
      <c r="AT21" s="20" t="str">
        <f>IF(N21=0,"",ROUNDUP($N5/N21,0))</f>
        <v/>
      </c>
      <c r="AU21" s="20" t="str">
        <f>IF(O21=0,"",ROUNDUP($O5/O21,0))</f>
        <v/>
      </c>
      <c r="AV21" s="20" t="str">
        <f>IF(P21=0,"",ROUNDUP($P5/P21,0))</f>
        <v/>
      </c>
      <c r="AW21" s="20" t="str">
        <f>IF(Q21=0,"",ROUNDUP($Q5/Q21,0))</f>
        <v/>
      </c>
      <c r="AX21" s="20" t="str">
        <f>IF(R21=0,"",ROUNDUP($R5/R21,0))</f>
        <v/>
      </c>
      <c r="AY21" s="20" t="str">
        <f>IF(S21=0,"",ROUNDUP($S5/S21,0))</f>
        <v/>
      </c>
      <c r="AZ21" s="20" t="str">
        <f t="shared" si="5"/>
        <v/>
      </c>
      <c r="BA21" s="20" t="str">
        <f t="shared" si="5"/>
        <v/>
      </c>
      <c r="BB21" s="20" t="str">
        <f t="shared" si="5"/>
        <v/>
      </c>
      <c r="BC21" s="20" t="str">
        <f t="shared" si="5"/>
        <v/>
      </c>
      <c r="BD21" s="20" t="str">
        <f t="shared" si="5"/>
        <v/>
      </c>
      <c r="BE21" s="20" t="str">
        <f t="shared" si="5"/>
        <v/>
      </c>
      <c r="BF21" s="20" t="str">
        <f t="shared" si="5"/>
        <v/>
      </c>
      <c r="BG21" s="20" t="str">
        <f t="shared" si="5"/>
        <v/>
      </c>
      <c r="BH21" s="20" t="str">
        <f t="shared" si="5"/>
        <v/>
      </c>
      <c r="BI21" s="20" t="str">
        <f t="shared" si="5"/>
        <v/>
      </c>
      <c r="BJ21" s="31"/>
    </row>
    <row r="22" spans="1:62" customFormat="1">
      <c r="A22" s="77"/>
      <c r="B22" s="12"/>
      <c r="C22" s="12"/>
      <c r="D22" s="12"/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19" t="str">
        <f t="shared" si="3"/>
        <v/>
      </c>
      <c r="AF22" s="13"/>
      <c r="AG22" s="13"/>
      <c r="AH22" s="13"/>
      <c r="AI22" s="18" t="str">
        <f t="shared" si="6"/>
        <v/>
      </c>
      <c r="AJ22" s="65"/>
      <c r="AK22" s="20" t="str">
        <f>IF(E22=0,"",ROUNDUP($E5/E22,0))</f>
        <v/>
      </c>
      <c r="AL22" s="20" t="str">
        <f>IF(F22=0,"",ROUNDUP($F5/F22,0))</f>
        <v/>
      </c>
      <c r="AM22" s="20" t="str">
        <f>IF(G22=0,"",ROUNDUP($G5/G22,0))</f>
        <v/>
      </c>
      <c r="AN22" s="20" t="str">
        <f>IF(H22=0,"",ROUNDUP($H5/H22,0))</f>
        <v/>
      </c>
      <c r="AO22" s="20" t="str">
        <f>IF(I22=0,"",ROUNDUP($I5/I22,0))</f>
        <v/>
      </c>
      <c r="AP22" s="20" t="str">
        <f>IF(J22=0,"",ROUNDUP($J5/J22,0))</f>
        <v/>
      </c>
      <c r="AQ22" s="20" t="str">
        <f>IF(K22=0,"",ROUNDUP($K5/K22,0))</f>
        <v/>
      </c>
      <c r="AR22" s="20" t="str">
        <f>IF(L22=0,"",ROUNDUP($L5/L22,0))</f>
        <v/>
      </c>
      <c r="AS22" s="20" t="str">
        <f>IF(M22=0,"",ROUNDUP($M5/M22,0))</f>
        <v/>
      </c>
      <c r="AT22" s="20" t="str">
        <f>IF(N22=0,"",ROUNDUP($N5/N22,0))</f>
        <v/>
      </c>
      <c r="AU22" s="20" t="str">
        <f>IF(O22=0,"",ROUNDUP($O5/O22,0))</f>
        <v/>
      </c>
      <c r="AV22" s="20" t="str">
        <f>IF(P22=0,"",ROUNDUP($P5/P22,0))</f>
        <v/>
      </c>
      <c r="AW22" s="20" t="str">
        <f>IF(Q22=0,"",ROUNDUP($Q5/Q22,0))</f>
        <v/>
      </c>
      <c r="AX22" s="20" t="str">
        <f>IF(R22=0,"",ROUNDUP($R5/R22,0))</f>
        <v/>
      </c>
      <c r="AY22" s="20" t="str">
        <f>IF(S22=0,"",ROUNDUP($S5/S22,0))</f>
        <v/>
      </c>
      <c r="AZ22" s="20" t="str">
        <f t="shared" si="5"/>
        <v/>
      </c>
      <c r="BA22" s="20" t="str">
        <f t="shared" si="5"/>
        <v/>
      </c>
      <c r="BB22" s="20" t="str">
        <f t="shared" si="5"/>
        <v/>
      </c>
      <c r="BC22" s="20" t="str">
        <f t="shared" si="5"/>
        <v/>
      </c>
      <c r="BD22" s="20" t="str">
        <f t="shared" si="5"/>
        <v/>
      </c>
      <c r="BE22" s="20" t="str">
        <f t="shared" si="5"/>
        <v/>
      </c>
      <c r="BF22" s="20" t="str">
        <f t="shared" si="5"/>
        <v/>
      </c>
      <c r="BG22" s="20" t="str">
        <f t="shared" si="5"/>
        <v/>
      </c>
      <c r="BH22" s="20" t="str">
        <f t="shared" si="5"/>
        <v/>
      </c>
      <c r="BI22" s="20" t="str">
        <f t="shared" si="5"/>
        <v/>
      </c>
      <c r="BJ22" s="31"/>
    </row>
    <row r="23" spans="1:62" s="36" customFormat="1" ht="15.75" thickBot="1">
      <c r="A23" s="21"/>
      <c r="B23" s="21"/>
      <c r="C23" s="21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70" t="s">
        <v>586</v>
      </c>
      <c r="AD23" s="70"/>
      <c r="AE23" s="22">
        <f>SUM(AE8:AE22)</f>
        <v>0</v>
      </c>
      <c r="AF23" s="46" t="s">
        <v>592</v>
      </c>
      <c r="AG23" s="47"/>
      <c r="AH23" s="48"/>
      <c r="AI23" s="22">
        <f>SUM(AI8:AI22)</f>
        <v>0</v>
      </c>
      <c r="AJ23" s="23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32"/>
      <c r="BJ23" s="35"/>
    </row>
  </sheetData>
  <sheetProtection formatCells="0" formatColumns="0" formatRows="0" insertColumns="0" insertRows="0" insertHyperlinks="0" deleteColumns="0" deleteRows="0" sort="0" autoFilter="0" pivotTables="0"/>
  <protectedRanges>
    <protectedRange password="CE2A" sqref="E8:AD22 A8:A22 AF8:AH22 E3:AC4 AG2:AI2 D1:D3" name="範圍1"/>
    <protectedRange password="CE2A" sqref="M1:N1" name="範圍1_1"/>
  </protectedRanges>
  <mergeCells count="38">
    <mergeCell ref="A1:C1"/>
    <mergeCell ref="A2:C2"/>
    <mergeCell ref="A3:C3"/>
    <mergeCell ref="A5:D5"/>
    <mergeCell ref="AE5:AF5"/>
    <mergeCell ref="O1:P1"/>
    <mergeCell ref="A4:D4"/>
    <mergeCell ref="AE4:AF4"/>
    <mergeCell ref="AG4:AI4"/>
    <mergeCell ref="AD1:AX1"/>
    <mergeCell ref="E2:AC2"/>
    <mergeCell ref="AD2:AD3"/>
    <mergeCell ref="AE2:AF2"/>
    <mergeCell ref="AG2:AI2"/>
    <mergeCell ref="E1:G1"/>
    <mergeCell ref="H1:J1"/>
    <mergeCell ref="K1:L1"/>
    <mergeCell ref="M1:N1"/>
    <mergeCell ref="AK4:BI7"/>
    <mergeCell ref="Q1:S1"/>
    <mergeCell ref="AH6:AH7"/>
    <mergeCell ref="AJ2:AJ22"/>
    <mergeCell ref="AK2:BI2"/>
    <mergeCell ref="AE3:AF3"/>
    <mergeCell ref="AG3:AI3"/>
    <mergeCell ref="AD6:AD7"/>
    <mergeCell ref="AG5:AI5"/>
    <mergeCell ref="A8:A22"/>
    <mergeCell ref="AE6:AE7"/>
    <mergeCell ref="AF6:AG6"/>
    <mergeCell ref="AI6:AI7"/>
    <mergeCell ref="AF23:AH23"/>
    <mergeCell ref="AC23:AD23"/>
    <mergeCell ref="B6:B7"/>
    <mergeCell ref="C6:C7"/>
    <mergeCell ref="A6:A7"/>
    <mergeCell ref="D6:D7"/>
    <mergeCell ref="E6:AC7"/>
  </mergeCells>
  <phoneticPr fontId="15" type="noConversion"/>
  <conditionalFormatting sqref="AG4:AI4 AE5">
    <cfRule type="cellIs" dxfId="15" priority="17" operator="lessThanOrEqual">
      <formula>0</formula>
    </cfRule>
  </conditionalFormatting>
  <conditionalFormatting sqref="AI8:AI23 AE8:AE23 AD4 AG3:AI3 E5:AD5 AZ8:BI22 AK3:BI3">
    <cfRule type="notContainsBlanks" dxfId="14" priority="18">
      <formula>LEN(TRIM(E3))&gt;0</formula>
    </cfRule>
  </conditionalFormatting>
  <conditionalFormatting sqref="AG4:AI4">
    <cfRule type="cellIs" dxfId="13" priority="15" operator="greaterThanOrEqual">
      <formula>20</formula>
    </cfRule>
    <cfRule type="cellIs" dxfId="12" priority="16" operator="greaterThanOrEqual">
      <formula>1</formula>
    </cfRule>
  </conditionalFormatting>
  <conditionalFormatting sqref="AG5:AH5 A8 AF8:AH22 E3:AC4 E8:AD22 AG2:AH2 D1:D3">
    <cfRule type="containsBlanks" dxfId="11" priority="19">
      <formula>LEN(TRIM(A1))=0</formula>
    </cfRule>
    <cfRule type="notContainsBlanks" dxfId="10" priority="20">
      <formula>LEN(TRIM(A1))&gt;0</formula>
    </cfRule>
  </conditionalFormatting>
  <conditionalFormatting sqref="H1">
    <cfRule type="containsBlanks" dxfId="9" priority="13">
      <formula>LEN(TRIM(H1))=0</formula>
    </cfRule>
    <cfRule type="notContainsBlanks" dxfId="8" priority="14">
      <formula>LEN(TRIM(H1))&gt;0</formula>
    </cfRule>
  </conditionalFormatting>
  <conditionalFormatting sqref="M1">
    <cfRule type="containsBlanks" dxfId="7" priority="11">
      <formula>LEN(TRIM(M1))=0</formula>
    </cfRule>
    <cfRule type="notContainsBlanks" dxfId="6" priority="12">
      <formula>LEN(TRIM(M1))&gt;0</formula>
    </cfRule>
  </conditionalFormatting>
  <conditionalFormatting sqref="AK8:AY22">
    <cfRule type="notContainsBlanks" dxfId="5" priority="6">
      <formula>LEN(TRIM(AK8))&gt;0</formula>
    </cfRule>
  </conditionalFormatting>
  <conditionalFormatting sqref="D8:D22">
    <cfRule type="notContainsBlanks" dxfId="4" priority="5">
      <formula>LEN(TRIM(D8))&gt;0</formula>
    </cfRule>
  </conditionalFormatting>
  <conditionalFormatting sqref="C8:C22">
    <cfRule type="notContainsBlanks" dxfId="3" priority="4">
      <formula>LEN(TRIM(C8))&gt;0</formula>
    </cfRule>
  </conditionalFormatting>
  <conditionalFormatting sqref="B8:B22">
    <cfRule type="notContainsBlanks" dxfId="2" priority="3">
      <formula>LEN(TRIM(B8))&gt;0</formula>
    </cfRule>
  </conditionalFormatting>
  <conditionalFormatting sqref="Q1">
    <cfRule type="containsBlanks" dxfId="1" priority="1">
      <formula>LEN(TRIM(Q1))=0</formula>
    </cfRule>
    <cfRule type="notContainsBlanks" dxfId="0" priority="2">
      <formula>LEN(TRIM(Q1))&gt;0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70C0"/>
  </sheetPr>
  <dimension ref="A1:N563"/>
  <sheetViews>
    <sheetView workbookViewId="0">
      <selection activeCell="I1" sqref="I1"/>
    </sheetView>
  </sheetViews>
  <sheetFormatPr defaultColWidth="8.75" defaultRowHeight="15.75"/>
  <cols>
    <col min="1" max="7" width="8.75" style="3"/>
    <col min="8" max="8" width="11.875" style="3" bestFit="1" customWidth="1"/>
    <col min="9" max="9" width="8.75" style="3"/>
    <col min="10" max="11" width="8.75" style="8"/>
    <col min="12" max="16384" width="8.75" style="3"/>
  </cols>
  <sheetData>
    <row r="1" spans="1:11">
      <c r="A1" s="1" t="s">
        <v>2</v>
      </c>
      <c r="B1" s="2" t="s">
        <v>3</v>
      </c>
      <c r="C1" s="2" t="s">
        <v>4</v>
      </c>
      <c r="D1" s="2" t="s">
        <v>5</v>
      </c>
      <c r="E1" s="1"/>
      <c r="H1" s="3" t="s">
        <v>11</v>
      </c>
      <c r="I1" s="4">
        <v>0</v>
      </c>
      <c r="J1" s="6" t="s">
        <v>574</v>
      </c>
      <c r="K1" s="6" t="s">
        <v>575</v>
      </c>
    </row>
    <row r="2" spans="1:11">
      <c r="A2" s="5">
        <v>1</v>
      </c>
      <c r="B2" s="2">
        <f>A2*36</f>
        <v>36</v>
      </c>
      <c r="C2" s="2">
        <f>B2*2.54/100</f>
        <v>0.91439999999999999</v>
      </c>
      <c r="D2" s="2">
        <f>C2*100</f>
        <v>91.44</v>
      </c>
      <c r="E2" s="1"/>
      <c r="J2" s="7">
        <v>1</v>
      </c>
      <c r="K2" s="7" t="s">
        <v>12</v>
      </c>
    </row>
    <row r="3" spans="1:11">
      <c r="A3" s="1"/>
      <c r="B3" s="2"/>
      <c r="C3" s="2"/>
      <c r="D3" s="2"/>
      <c r="E3" s="1"/>
      <c r="J3" s="7">
        <v>2</v>
      </c>
      <c r="K3" s="7" t="s">
        <v>13</v>
      </c>
    </row>
    <row r="4" spans="1:11">
      <c r="A4" s="1" t="s">
        <v>3</v>
      </c>
      <c r="B4" s="2" t="s">
        <v>4</v>
      </c>
      <c r="C4" s="2" t="s">
        <v>5</v>
      </c>
      <c r="D4" s="2" t="s">
        <v>2</v>
      </c>
      <c r="E4" s="1"/>
      <c r="J4" s="7">
        <v>3</v>
      </c>
      <c r="K4" s="7" t="s">
        <v>14</v>
      </c>
    </row>
    <row r="5" spans="1:11">
      <c r="A5" s="5">
        <v>1</v>
      </c>
      <c r="B5" s="2">
        <f>A5*2.54/100</f>
        <v>2.5399999999999999E-2</v>
      </c>
      <c r="C5" s="2">
        <f>B5*100</f>
        <v>2.54</v>
      </c>
      <c r="D5" s="2">
        <f>A5/36</f>
        <v>2.7777777777777776E-2</v>
      </c>
      <c r="E5" s="1"/>
      <c r="J5" s="7">
        <v>4</v>
      </c>
      <c r="K5" s="7" t="s">
        <v>15</v>
      </c>
    </row>
    <row r="6" spans="1:11">
      <c r="A6" s="1"/>
      <c r="B6" s="2"/>
      <c r="C6" s="2"/>
      <c r="D6" s="2"/>
      <c r="E6" s="1"/>
      <c r="J6" s="7">
        <v>5</v>
      </c>
      <c r="K6" s="7" t="s">
        <v>16</v>
      </c>
    </row>
    <row r="7" spans="1:11">
      <c r="A7" s="1" t="s">
        <v>4</v>
      </c>
      <c r="B7" s="2" t="s">
        <v>5</v>
      </c>
      <c r="C7" s="2" t="s">
        <v>2</v>
      </c>
      <c r="D7" s="2" t="s">
        <v>3</v>
      </c>
      <c r="E7" s="1"/>
      <c r="J7" s="7">
        <v>6</v>
      </c>
      <c r="K7" s="7" t="s">
        <v>17</v>
      </c>
    </row>
    <row r="8" spans="1:11">
      <c r="A8" s="5">
        <v>1</v>
      </c>
      <c r="B8" s="2">
        <f>A8*100</f>
        <v>100</v>
      </c>
      <c r="C8" s="2">
        <f>B8/2.54/36</f>
        <v>1.0936132983377078</v>
      </c>
      <c r="D8" s="2">
        <f>C8*36</f>
        <v>39.370078740157481</v>
      </c>
      <c r="E8" s="1"/>
      <c r="J8" s="7">
        <v>7</v>
      </c>
      <c r="K8" s="7" t="s">
        <v>18</v>
      </c>
    </row>
    <row r="9" spans="1:11">
      <c r="A9" s="1"/>
      <c r="B9" s="1"/>
      <c r="C9" s="1"/>
      <c r="D9" s="1"/>
      <c r="E9" s="1"/>
      <c r="J9" s="7">
        <v>8</v>
      </c>
      <c r="K9" s="7" t="s">
        <v>19</v>
      </c>
    </row>
    <row r="10" spans="1:11">
      <c r="J10" s="7">
        <v>9</v>
      </c>
      <c r="K10" s="7" t="s">
        <v>20</v>
      </c>
    </row>
    <row r="11" spans="1:11">
      <c r="J11" s="7">
        <v>10</v>
      </c>
      <c r="K11" s="7" t="s">
        <v>21</v>
      </c>
    </row>
    <row r="12" spans="1:11">
      <c r="J12" s="7">
        <v>11</v>
      </c>
      <c r="K12" s="7" t="s">
        <v>22</v>
      </c>
    </row>
    <row r="13" spans="1:11">
      <c r="J13" s="7">
        <v>12</v>
      </c>
      <c r="K13" s="7" t="s">
        <v>23</v>
      </c>
    </row>
    <row r="14" spans="1:11">
      <c r="J14" s="7">
        <v>13</v>
      </c>
      <c r="K14" s="7" t="s">
        <v>24</v>
      </c>
    </row>
    <row r="15" spans="1:11">
      <c r="J15" s="7">
        <v>14</v>
      </c>
      <c r="K15" s="7" t="s">
        <v>25</v>
      </c>
    </row>
    <row r="16" spans="1:11">
      <c r="J16" s="7">
        <v>15</v>
      </c>
      <c r="K16" s="7" t="s">
        <v>26</v>
      </c>
    </row>
    <row r="17" spans="10:11">
      <c r="J17" s="7">
        <v>16</v>
      </c>
      <c r="K17" s="7" t="s">
        <v>27</v>
      </c>
    </row>
    <row r="18" spans="10:11">
      <c r="J18" s="7">
        <v>17</v>
      </c>
      <c r="K18" s="7" t="s">
        <v>28</v>
      </c>
    </row>
    <row r="19" spans="10:11">
      <c r="J19" s="7">
        <v>18</v>
      </c>
      <c r="K19" s="7" t="s">
        <v>29</v>
      </c>
    </row>
    <row r="20" spans="10:11">
      <c r="J20" s="7">
        <v>19</v>
      </c>
      <c r="K20" s="7" t="s">
        <v>30</v>
      </c>
    </row>
    <row r="21" spans="10:11">
      <c r="J21" s="7">
        <v>20</v>
      </c>
      <c r="K21" s="7" t="s">
        <v>31</v>
      </c>
    </row>
    <row r="22" spans="10:11">
      <c r="J22" s="7">
        <v>21</v>
      </c>
      <c r="K22" s="7" t="s">
        <v>32</v>
      </c>
    </row>
    <row r="23" spans="10:11">
      <c r="J23" s="7">
        <v>22</v>
      </c>
      <c r="K23" s="7" t="s">
        <v>33</v>
      </c>
    </row>
    <row r="24" spans="10:11">
      <c r="J24" s="7">
        <v>23</v>
      </c>
      <c r="K24" s="7" t="s">
        <v>34</v>
      </c>
    </row>
    <row r="25" spans="10:11">
      <c r="J25" s="7">
        <v>24</v>
      </c>
      <c r="K25" s="7" t="s">
        <v>35</v>
      </c>
    </row>
    <row r="26" spans="10:11">
      <c r="J26" s="7">
        <v>25</v>
      </c>
      <c r="K26" s="7" t="s">
        <v>36</v>
      </c>
    </row>
    <row r="27" spans="10:11">
      <c r="J27" s="7">
        <v>26</v>
      </c>
      <c r="K27" s="7" t="s">
        <v>37</v>
      </c>
    </row>
    <row r="28" spans="10:11">
      <c r="J28" s="7">
        <v>27</v>
      </c>
      <c r="K28" s="7" t="s">
        <v>38</v>
      </c>
    </row>
    <row r="29" spans="10:11">
      <c r="J29" s="7">
        <v>28</v>
      </c>
      <c r="K29" s="7" t="s">
        <v>39</v>
      </c>
    </row>
    <row r="30" spans="10:11">
      <c r="J30" s="7">
        <v>29</v>
      </c>
      <c r="K30" s="7" t="s">
        <v>40</v>
      </c>
    </row>
    <row r="31" spans="10:11">
      <c r="J31" s="7">
        <v>30</v>
      </c>
      <c r="K31" s="7" t="s">
        <v>41</v>
      </c>
    </row>
    <row r="32" spans="10:11">
      <c r="J32" s="7">
        <v>31</v>
      </c>
      <c r="K32" s="7" t="s">
        <v>42</v>
      </c>
    </row>
    <row r="33" spans="10:11">
      <c r="J33" s="7">
        <v>32</v>
      </c>
      <c r="K33" s="7" t="s">
        <v>43</v>
      </c>
    </row>
    <row r="34" spans="10:11">
      <c r="J34" s="7">
        <v>33</v>
      </c>
      <c r="K34" s="7" t="s">
        <v>44</v>
      </c>
    </row>
    <row r="35" spans="10:11">
      <c r="J35" s="7">
        <v>34</v>
      </c>
      <c r="K35" s="7" t="s">
        <v>45</v>
      </c>
    </row>
    <row r="36" spans="10:11">
      <c r="J36" s="7">
        <v>35</v>
      </c>
      <c r="K36" s="7" t="s">
        <v>46</v>
      </c>
    </row>
    <row r="37" spans="10:11">
      <c r="J37" s="7">
        <v>36</v>
      </c>
      <c r="K37" s="7" t="s">
        <v>47</v>
      </c>
    </row>
    <row r="38" spans="10:11">
      <c r="J38" s="7">
        <v>37</v>
      </c>
      <c r="K38" s="7" t="s">
        <v>48</v>
      </c>
    </row>
    <row r="39" spans="10:11">
      <c r="J39" s="7">
        <v>38</v>
      </c>
      <c r="K39" s="7" t="s">
        <v>49</v>
      </c>
    </row>
    <row r="40" spans="10:11">
      <c r="J40" s="7">
        <v>39</v>
      </c>
      <c r="K40" s="7" t="s">
        <v>50</v>
      </c>
    </row>
    <row r="41" spans="10:11">
      <c r="J41" s="7">
        <v>40</v>
      </c>
      <c r="K41" s="7" t="s">
        <v>51</v>
      </c>
    </row>
    <row r="42" spans="10:11">
      <c r="J42" s="7">
        <v>41</v>
      </c>
      <c r="K42" s="7" t="s">
        <v>52</v>
      </c>
    </row>
    <row r="43" spans="10:11">
      <c r="J43" s="7">
        <v>42</v>
      </c>
      <c r="K43" s="7" t="s">
        <v>53</v>
      </c>
    </row>
    <row r="44" spans="10:11">
      <c r="J44" s="7">
        <v>43</v>
      </c>
      <c r="K44" s="7" t="s">
        <v>54</v>
      </c>
    </row>
    <row r="45" spans="10:11">
      <c r="J45" s="7">
        <v>44</v>
      </c>
      <c r="K45" s="7" t="s">
        <v>55</v>
      </c>
    </row>
    <row r="46" spans="10:11">
      <c r="J46" s="7">
        <v>45</v>
      </c>
      <c r="K46" s="7" t="s">
        <v>56</v>
      </c>
    </row>
    <row r="47" spans="10:11">
      <c r="J47" s="7">
        <v>46</v>
      </c>
      <c r="K47" s="7" t="s">
        <v>57</v>
      </c>
    </row>
    <row r="48" spans="10:11">
      <c r="J48" s="7">
        <v>47</v>
      </c>
      <c r="K48" s="7" t="s">
        <v>58</v>
      </c>
    </row>
    <row r="49" spans="10:11">
      <c r="J49" s="7">
        <v>48</v>
      </c>
      <c r="K49" s="7" t="s">
        <v>59</v>
      </c>
    </row>
    <row r="50" spans="10:11">
      <c r="J50" s="7">
        <v>49</v>
      </c>
      <c r="K50" s="7" t="s">
        <v>60</v>
      </c>
    </row>
    <row r="51" spans="10:11">
      <c r="J51" s="7">
        <v>50</v>
      </c>
      <c r="K51" s="7" t="s">
        <v>61</v>
      </c>
    </row>
    <row r="52" spans="10:11">
      <c r="J52" s="7">
        <v>51</v>
      </c>
      <c r="K52" s="7" t="s">
        <v>62</v>
      </c>
    </row>
    <row r="53" spans="10:11">
      <c r="J53" s="7">
        <v>52</v>
      </c>
      <c r="K53" s="7" t="s">
        <v>63</v>
      </c>
    </row>
    <row r="54" spans="10:11">
      <c r="J54" s="7">
        <v>53</v>
      </c>
      <c r="K54" s="7" t="s">
        <v>64</v>
      </c>
    </row>
    <row r="55" spans="10:11">
      <c r="J55" s="7">
        <v>54</v>
      </c>
      <c r="K55" s="7" t="s">
        <v>65</v>
      </c>
    </row>
    <row r="56" spans="10:11">
      <c r="J56" s="7">
        <v>55</v>
      </c>
      <c r="K56" s="7" t="s">
        <v>66</v>
      </c>
    </row>
    <row r="57" spans="10:11">
      <c r="J57" s="7">
        <v>56</v>
      </c>
      <c r="K57" s="7" t="s">
        <v>67</v>
      </c>
    </row>
    <row r="58" spans="10:11">
      <c r="J58" s="7">
        <v>57</v>
      </c>
      <c r="K58" s="7" t="s">
        <v>68</v>
      </c>
    </row>
    <row r="59" spans="10:11">
      <c r="J59" s="7">
        <v>58</v>
      </c>
      <c r="K59" s="7" t="s">
        <v>69</v>
      </c>
    </row>
    <row r="60" spans="10:11">
      <c r="J60" s="7">
        <v>59</v>
      </c>
      <c r="K60" s="7" t="s">
        <v>70</v>
      </c>
    </row>
    <row r="61" spans="10:11">
      <c r="J61" s="7">
        <v>60</v>
      </c>
      <c r="K61" s="7" t="s">
        <v>71</v>
      </c>
    </row>
    <row r="62" spans="10:11">
      <c r="J62" s="7">
        <v>61</v>
      </c>
      <c r="K62" s="7" t="s">
        <v>72</v>
      </c>
    </row>
    <row r="63" spans="10:11">
      <c r="J63" s="7">
        <v>62</v>
      </c>
      <c r="K63" s="7" t="s">
        <v>73</v>
      </c>
    </row>
    <row r="64" spans="10:11">
      <c r="J64" s="7">
        <v>63</v>
      </c>
      <c r="K64" s="7" t="s">
        <v>74</v>
      </c>
    </row>
    <row r="65" spans="10:11">
      <c r="J65" s="7">
        <v>64</v>
      </c>
      <c r="K65" s="7" t="s">
        <v>75</v>
      </c>
    </row>
    <row r="66" spans="10:11">
      <c r="J66" s="7">
        <v>65</v>
      </c>
      <c r="K66" s="7" t="s">
        <v>76</v>
      </c>
    </row>
    <row r="67" spans="10:11">
      <c r="J67" s="7">
        <v>66</v>
      </c>
      <c r="K67" s="7" t="s">
        <v>77</v>
      </c>
    </row>
    <row r="68" spans="10:11">
      <c r="J68" s="7">
        <v>67</v>
      </c>
      <c r="K68" s="7" t="s">
        <v>78</v>
      </c>
    </row>
    <row r="69" spans="10:11">
      <c r="J69" s="7">
        <v>68</v>
      </c>
      <c r="K69" s="7" t="s">
        <v>79</v>
      </c>
    </row>
    <row r="70" spans="10:11">
      <c r="J70" s="7">
        <v>69</v>
      </c>
      <c r="K70" s="7" t="s">
        <v>80</v>
      </c>
    </row>
    <row r="71" spans="10:11">
      <c r="J71" s="7">
        <v>70</v>
      </c>
      <c r="K71" s="7" t="s">
        <v>81</v>
      </c>
    </row>
    <row r="72" spans="10:11">
      <c r="J72" s="7">
        <v>71</v>
      </c>
      <c r="K72" s="7" t="s">
        <v>82</v>
      </c>
    </row>
    <row r="73" spans="10:11">
      <c r="J73" s="7">
        <v>72</v>
      </c>
      <c r="K73" s="7" t="s">
        <v>83</v>
      </c>
    </row>
    <row r="74" spans="10:11">
      <c r="J74" s="7">
        <v>73</v>
      </c>
      <c r="K74" s="7" t="s">
        <v>84</v>
      </c>
    </row>
    <row r="75" spans="10:11">
      <c r="J75" s="7">
        <v>74</v>
      </c>
      <c r="K75" s="7" t="s">
        <v>85</v>
      </c>
    </row>
    <row r="76" spans="10:11">
      <c r="J76" s="7">
        <v>75</v>
      </c>
      <c r="K76" s="7" t="s">
        <v>86</v>
      </c>
    </row>
    <row r="77" spans="10:11">
      <c r="J77" s="7">
        <v>76</v>
      </c>
      <c r="K77" s="7" t="s">
        <v>87</v>
      </c>
    </row>
    <row r="78" spans="10:11">
      <c r="J78" s="7">
        <v>77</v>
      </c>
      <c r="K78" s="7" t="s">
        <v>88</v>
      </c>
    </row>
    <row r="79" spans="10:11">
      <c r="J79" s="7">
        <v>78</v>
      </c>
      <c r="K79" s="7" t="s">
        <v>89</v>
      </c>
    </row>
    <row r="80" spans="10:11">
      <c r="J80" s="7">
        <v>79</v>
      </c>
      <c r="K80" s="7" t="s">
        <v>90</v>
      </c>
    </row>
    <row r="81" spans="10:14">
      <c r="J81" s="7">
        <v>80</v>
      </c>
      <c r="K81" s="7" t="s">
        <v>91</v>
      </c>
    </row>
    <row r="82" spans="10:14">
      <c r="J82" s="7">
        <v>81</v>
      </c>
      <c r="K82" s="7" t="s">
        <v>92</v>
      </c>
    </row>
    <row r="83" spans="10:14">
      <c r="J83" s="7">
        <v>82</v>
      </c>
      <c r="K83" s="7" t="s">
        <v>93</v>
      </c>
    </row>
    <row r="84" spans="10:14">
      <c r="J84" s="7">
        <v>83</v>
      </c>
      <c r="K84" s="7" t="s">
        <v>94</v>
      </c>
      <c r="N84" s="3">
        <f>15*26</f>
        <v>390</v>
      </c>
    </row>
    <row r="85" spans="10:14">
      <c r="J85" s="7">
        <v>84</v>
      </c>
      <c r="K85" s="7" t="s">
        <v>95</v>
      </c>
    </row>
    <row r="86" spans="10:14">
      <c r="J86" s="7">
        <v>85</v>
      </c>
      <c r="K86" s="7" t="s">
        <v>96</v>
      </c>
    </row>
    <row r="87" spans="10:14">
      <c r="J87" s="7">
        <v>86</v>
      </c>
      <c r="K87" s="7" t="s">
        <v>97</v>
      </c>
    </row>
    <row r="88" spans="10:14">
      <c r="J88" s="7">
        <v>87</v>
      </c>
      <c r="K88" s="7" t="s">
        <v>98</v>
      </c>
    </row>
    <row r="89" spans="10:14">
      <c r="J89" s="7">
        <v>88</v>
      </c>
      <c r="K89" s="7" t="s">
        <v>99</v>
      </c>
    </row>
    <row r="90" spans="10:14">
      <c r="J90" s="7">
        <v>89</v>
      </c>
      <c r="K90" s="7" t="s">
        <v>100</v>
      </c>
    </row>
    <row r="91" spans="10:14">
      <c r="J91" s="7">
        <v>90</v>
      </c>
      <c r="K91" s="7" t="s">
        <v>101</v>
      </c>
    </row>
    <row r="92" spans="10:14">
      <c r="J92" s="7">
        <v>91</v>
      </c>
      <c r="K92" s="7" t="s">
        <v>102</v>
      </c>
    </row>
    <row r="93" spans="10:14">
      <c r="J93" s="7">
        <v>92</v>
      </c>
      <c r="K93" s="7" t="s">
        <v>103</v>
      </c>
    </row>
    <row r="94" spans="10:14">
      <c r="J94" s="7">
        <v>93</v>
      </c>
      <c r="K94" s="7" t="s">
        <v>104</v>
      </c>
    </row>
    <row r="95" spans="10:14">
      <c r="J95" s="7">
        <v>94</v>
      </c>
      <c r="K95" s="7" t="s">
        <v>105</v>
      </c>
    </row>
    <row r="96" spans="10:14">
      <c r="J96" s="7">
        <v>95</v>
      </c>
      <c r="K96" s="7" t="s">
        <v>106</v>
      </c>
    </row>
    <row r="97" spans="10:11">
      <c r="J97" s="7">
        <v>96</v>
      </c>
      <c r="K97" s="7" t="s">
        <v>107</v>
      </c>
    </row>
    <row r="98" spans="10:11">
      <c r="J98" s="7">
        <v>97</v>
      </c>
      <c r="K98" s="7" t="s">
        <v>108</v>
      </c>
    </row>
    <row r="99" spans="10:11">
      <c r="J99" s="7">
        <v>98</v>
      </c>
      <c r="K99" s="7" t="s">
        <v>109</v>
      </c>
    </row>
    <row r="100" spans="10:11">
      <c r="J100" s="7">
        <v>99</v>
      </c>
      <c r="K100" s="7" t="s">
        <v>110</v>
      </c>
    </row>
    <row r="101" spans="10:11">
      <c r="J101" s="7">
        <v>100</v>
      </c>
      <c r="K101" s="7" t="s">
        <v>111</v>
      </c>
    </row>
    <row r="102" spans="10:11">
      <c r="J102" s="7">
        <v>101</v>
      </c>
      <c r="K102" s="7" t="s">
        <v>112</v>
      </c>
    </row>
    <row r="103" spans="10:11">
      <c r="J103" s="7">
        <v>102</v>
      </c>
      <c r="K103" s="7" t="s">
        <v>113</v>
      </c>
    </row>
    <row r="104" spans="10:11">
      <c r="J104" s="7">
        <v>103</v>
      </c>
      <c r="K104" s="7" t="s">
        <v>114</v>
      </c>
    </row>
    <row r="105" spans="10:11">
      <c r="J105" s="7">
        <v>104</v>
      </c>
      <c r="K105" s="7" t="s">
        <v>115</v>
      </c>
    </row>
    <row r="106" spans="10:11">
      <c r="J106" s="7">
        <v>105</v>
      </c>
      <c r="K106" s="7" t="s">
        <v>116</v>
      </c>
    </row>
    <row r="107" spans="10:11">
      <c r="J107" s="7">
        <v>106</v>
      </c>
      <c r="K107" s="7" t="s">
        <v>117</v>
      </c>
    </row>
    <row r="108" spans="10:11">
      <c r="J108" s="7">
        <v>107</v>
      </c>
      <c r="K108" s="7" t="s">
        <v>118</v>
      </c>
    </row>
    <row r="109" spans="10:11">
      <c r="J109" s="7">
        <v>108</v>
      </c>
      <c r="K109" s="7" t="s">
        <v>119</v>
      </c>
    </row>
    <row r="110" spans="10:11">
      <c r="J110" s="7">
        <v>109</v>
      </c>
      <c r="K110" s="7" t="s">
        <v>120</v>
      </c>
    </row>
    <row r="111" spans="10:11">
      <c r="J111" s="7">
        <v>110</v>
      </c>
      <c r="K111" s="7" t="s">
        <v>121</v>
      </c>
    </row>
    <row r="112" spans="10:11">
      <c r="J112" s="7">
        <v>111</v>
      </c>
      <c r="K112" s="7" t="s">
        <v>122</v>
      </c>
    </row>
    <row r="113" spans="10:11">
      <c r="J113" s="7">
        <v>112</v>
      </c>
      <c r="K113" s="7" t="s">
        <v>123</v>
      </c>
    </row>
    <row r="114" spans="10:11">
      <c r="J114" s="7">
        <v>113</v>
      </c>
      <c r="K114" s="7" t="s">
        <v>124</v>
      </c>
    </row>
    <row r="115" spans="10:11">
      <c r="J115" s="7">
        <v>114</v>
      </c>
      <c r="K115" s="7" t="s">
        <v>125</v>
      </c>
    </row>
    <row r="116" spans="10:11">
      <c r="J116" s="7">
        <v>115</v>
      </c>
      <c r="K116" s="7" t="s">
        <v>126</v>
      </c>
    </row>
    <row r="117" spans="10:11">
      <c r="J117" s="7">
        <v>116</v>
      </c>
      <c r="K117" s="7" t="s">
        <v>127</v>
      </c>
    </row>
    <row r="118" spans="10:11">
      <c r="J118" s="7">
        <v>117</v>
      </c>
      <c r="K118" s="7" t="s">
        <v>128</v>
      </c>
    </row>
    <row r="119" spans="10:11">
      <c r="J119" s="7">
        <v>118</v>
      </c>
      <c r="K119" s="7" t="s">
        <v>129</v>
      </c>
    </row>
    <row r="120" spans="10:11">
      <c r="J120" s="7">
        <v>119</v>
      </c>
      <c r="K120" s="7" t="s">
        <v>130</v>
      </c>
    </row>
    <row r="121" spans="10:11">
      <c r="J121" s="7">
        <v>120</v>
      </c>
      <c r="K121" s="7" t="s">
        <v>131</v>
      </c>
    </row>
    <row r="122" spans="10:11">
      <c r="J122" s="7">
        <v>121</v>
      </c>
      <c r="K122" s="7" t="s">
        <v>132</v>
      </c>
    </row>
    <row r="123" spans="10:11">
      <c r="J123" s="7">
        <v>122</v>
      </c>
      <c r="K123" s="7" t="s">
        <v>133</v>
      </c>
    </row>
    <row r="124" spans="10:11">
      <c r="J124" s="7">
        <v>123</v>
      </c>
      <c r="K124" s="7" t="s">
        <v>134</v>
      </c>
    </row>
    <row r="125" spans="10:11">
      <c r="J125" s="7">
        <v>124</v>
      </c>
      <c r="K125" s="7" t="s">
        <v>135</v>
      </c>
    </row>
    <row r="126" spans="10:11">
      <c r="J126" s="7">
        <v>125</v>
      </c>
      <c r="K126" s="7" t="s">
        <v>136</v>
      </c>
    </row>
    <row r="127" spans="10:11">
      <c r="J127" s="7">
        <v>126</v>
      </c>
      <c r="K127" s="7" t="s">
        <v>137</v>
      </c>
    </row>
    <row r="128" spans="10:11">
      <c r="J128" s="7">
        <v>127</v>
      </c>
      <c r="K128" s="7" t="s">
        <v>138</v>
      </c>
    </row>
    <row r="129" spans="10:11">
      <c r="J129" s="7">
        <v>128</v>
      </c>
      <c r="K129" s="7" t="s">
        <v>139</v>
      </c>
    </row>
    <row r="130" spans="10:11">
      <c r="J130" s="7">
        <v>129</v>
      </c>
      <c r="K130" s="7" t="s">
        <v>140</v>
      </c>
    </row>
    <row r="131" spans="10:11">
      <c r="J131" s="7">
        <v>130</v>
      </c>
      <c r="K131" s="7" t="s">
        <v>141</v>
      </c>
    </row>
    <row r="132" spans="10:11">
      <c r="J132" s="7">
        <v>131</v>
      </c>
      <c r="K132" s="7" t="s">
        <v>142</v>
      </c>
    </row>
    <row r="133" spans="10:11">
      <c r="J133" s="7">
        <v>132</v>
      </c>
      <c r="K133" s="7" t="s">
        <v>143</v>
      </c>
    </row>
    <row r="134" spans="10:11">
      <c r="J134" s="7">
        <v>133</v>
      </c>
      <c r="K134" s="7" t="s">
        <v>144</v>
      </c>
    </row>
    <row r="135" spans="10:11">
      <c r="J135" s="7">
        <v>134</v>
      </c>
      <c r="K135" s="7" t="s">
        <v>145</v>
      </c>
    </row>
    <row r="136" spans="10:11">
      <c r="J136" s="7">
        <v>135</v>
      </c>
      <c r="K136" s="7" t="s">
        <v>146</v>
      </c>
    </row>
    <row r="137" spans="10:11">
      <c r="J137" s="7">
        <v>136</v>
      </c>
      <c r="K137" s="7" t="s">
        <v>147</v>
      </c>
    </row>
    <row r="138" spans="10:11">
      <c r="J138" s="7">
        <v>137</v>
      </c>
      <c r="K138" s="7" t="s">
        <v>148</v>
      </c>
    </row>
    <row r="139" spans="10:11">
      <c r="J139" s="7">
        <v>138</v>
      </c>
      <c r="K139" s="7" t="s">
        <v>149</v>
      </c>
    </row>
    <row r="140" spans="10:11">
      <c r="J140" s="7">
        <v>139</v>
      </c>
      <c r="K140" s="7" t="s">
        <v>150</v>
      </c>
    </row>
    <row r="141" spans="10:11">
      <c r="J141" s="7">
        <v>140</v>
      </c>
      <c r="K141" s="7" t="s">
        <v>151</v>
      </c>
    </row>
    <row r="142" spans="10:11">
      <c r="J142" s="7">
        <v>141</v>
      </c>
      <c r="K142" s="7" t="s">
        <v>152</v>
      </c>
    </row>
    <row r="143" spans="10:11">
      <c r="J143" s="7">
        <v>142</v>
      </c>
      <c r="K143" s="7" t="s">
        <v>153</v>
      </c>
    </row>
    <row r="144" spans="10:11">
      <c r="J144" s="7">
        <v>143</v>
      </c>
      <c r="K144" s="7" t="s">
        <v>154</v>
      </c>
    </row>
    <row r="145" spans="10:11">
      <c r="J145" s="7">
        <v>144</v>
      </c>
      <c r="K145" s="7" t="s">
        <v>155</v>
      </c>
    </row>
    <row r="146" spans="10:11">
      <c r="J146" s="7">
        <v>145</v>
      </c>
      <c r="K146" s="7" t="s">
        <v>156</v>
      </c>
    </row>
    <row r="147" spans="10:11">
      <c r="J147" s="7">
        <v>146</v>
      </c>
      <c r="K147" s="7" t="s">
        <v>157</v>
      </c>
    </row>
    <row r="148" spans="10:11">
      <c r="J148" s="7">
        <v>147</v>
      </c>
      <c r="K148" s="7" t="s">
        <v>158</v>
      </c>
    </row>
    <row r="149" spans="10:11">
      <c r="J149" s="7">
        <v>148</v>
      </c>
      <c r="K149" s="7" t="s">
        <v>159</v>
      </c>
    </row>
    <row r="150" spans="10:11">
      <c r="J150" s="7">
        <v>149</v>
      </c>
      <c r="K150" s="7" t="s">
        <v>160</v>
      </c>
    </row>
    <row r="151" spans="10:11">
      <c r="J151" s="7">
        <v>150</v>
      </c>
      <c r="K151" s="7" t="s">
        <v>161</v>
      </c>
    </row>
    <row r="152" spans="10:11">
      <c r="J152" s="7">
        <v>151</v>
      </c>
      <c r="K152" s="7" t="s">
        <v>162</v>
      </c>
    </row>
    <row r="153" spans="10:11">
      <c r="J153" s="7">
        <v>152</v>
      </c>
      <c r="K153" s="7" t="s">
        <v>163</v>
      </c>
    </row>
    <row r="154" spans="10:11">
      <c r="J154" s="7">
        <v>153</v>
      </c>
      <c r="K154" s="7" t="s">
        <v>164</v>
      </c>
    </row>
    <row r="155" spans="10:11">
      <c r="J155" s="7">
        <v>154</v>
      </c>
      <c r="K155" s="7" t="s">
        <v>165</v>
      </c>
    </row>
    <row r="156" spans="10:11">
      <c r="J156" s="7">
        <v>155</v>
      </c>
      <c r="K156" s="7" t="s">
        <v>166</v>
      </c>
    </row>
    <row r="157" spans="10:11">
      <c r="J157" s="7">
        <v>156</v>
      </c>
      <c r="K157" s="7" t="s">
        <v>167</v>
      </c>
    </row>
    <row r="158" spans="10:11">
      <c r="J158" s="7">
        <v>157</v>
      </c>
      <c r="K158" s="7" t="s">
        <v>168</v>
      </c>
    </row>
    <row r="159" spans="10:11">
      <c r="J159" s="7">
        <v>158</v>
      </c>
      <c r="K159" s="7" t="s">
        <v>169</v>
      </c>
    </row>
    <row r="160" spans="10:11">
      <c r="J160" s="7">
        <v>159</v>
      </c>
      <c r="K160" s="7" t="s">
        <v>170</v>
      </c>
    </row>
    <row r="161" spans="10:11">
      <c r="J161" s="7">
        <v>160</v>
      </c>
      <c r="K161" s="7" t="s">
        <v>171</v>
      </c>
    </row>
    <row r="162" spans="10:11">
      <c r="J162" s="7">
        <v>161</v>
      </c>
      <c r="K162" s="7" t="s">
        <v>172</v>
      </c>
    </row>
    <row r="163" spans="10:11">
      <c r="J163" s="7">
        <v>162</v>
      </c>
      <c r="K163" s="7" t="s">
        <v>173</v>
      </c>
    </row>
    <row r="164" spans="10:11">
      <c r="J164" s="7">
        <v>163</v>
      </c>
      <c r="K164" s="7" t="s">
        <v>174</v>
      </c>
    </row>
    <row r="165" spans="10:11">
      <c r="J165" s="7">
        <v>164</v>
      </c>
      <c r="K165" s="7" t="s">
        <v>175</v>
      </c>
    </row>
    <row r="166" spans="10:11">
      <c r="J166" s="7">
        <v>165</v>
      </c>
      <c r="K166" s="7" t="s">
        <v>176</v>
      </c>
    </row>
    <row r="167" spans="10:11">
      <c r="J167" s="7">
        <v>166</v>
      </c>
      <c r="K167" s="7" t="s">
        <v>177</v>
      </c>
    </row>
    <row r="168" spans="10:11">
      <c r="J168" s="7">
        <v>167</v>
      </c>
      <c r="K168" s="7" t="s">
        <v>178</v>
      </c>
    </row>
    <row r="169" spans="10:11">
      <c r="J169" s="7">
        <v>168</v>
      </c>
      <c r="K169" s="7" t="s">
        <v>179</v>
      </c>
    </row>
    <row r="170" spans="10:11">
      <c r="J170" s="7">
        <v>169</v>
      </c>
      <c r="K170" s="7" t="s">
        <v>180</v>
      </c>
    </row>
    <row r="171" spans="10:11">
      <c r="J171" s="7">
        <v>170</v>
      </c>
      <c r="K171" s="7" t="s">
        <v>181</v>
      </c>
    </row>
    <row r="172" spans="10:11">
      <c r="J172" s="7">
        <v>171</v>
      </c>
      <c r="K172" s="7" t="s">
        <v>182</v>
      </c>
    </row>
    <row r="173" spans="10:11">
      <c r="J173" s="7">
        <v>172</v>
      </c>
      <c r="K173" s="7" t="s">
        <v>183</v>
      </c>
    </row>
    <row r="174" spans="10:11">
      <c r="J174" s="7">
        <v>173</v>
      </c>
      <c r="K174" s="7" t="s">
        <v>184</v>
      </c>
    </row>
    <row r="175" spans="10:11">
      <c r="J175" s="7">
        <v>174</v>
      </c>
      <c r="K175" s="7" t="s">
        <v>185</v>
      </c>
    </row>
    <row r="176" spans="10:11">
      <c r="J176" s="7">
        <v>175</v>
      </c>
      <c r="K176" s="7" t="s">
        <v>186</v>
      </c>
    </row>
    <row r="177" spans="10:11">
      <c r="J177" s="7">
        <v>176</v>
      </c>
      <c r="K177" s="7" t="s">
        <v>187</v>
      </c>
    </row>
    <row r="178" spans="10:11">
      <c r="J178" s="7">
        <v>177</v>
      </c>
      <c r="K178" s="7" t="s">
        <v>188</v>
      </c>
    </row>
    <row r="179" spans="10:11">
      <c r="J179" s="7">
        <v>178</v>
      </c>
      <c r="K179" s="7" t="s">
        <v>189</v>
      </c>
    </row>
    <row r="180" spans="10:11">
      <c r="J180" s="7">
        <v>179</v>
      </c>
      <c r="K180" s="7" t="s">
        <v>190</v>
      </c>
    </row>
    <row r="181" spans="10:11">
      <c r="J181" s="7">
        <v>180</v>
      </c>
      <c r="K181" s="7" t="s">
        <v>191</v>
      </c>
    </row>
    <row r="182" spans="10:11">
      <c r="J182" s="7">
        <v>181</v>
      </c>
      <c r="K182" s="7" t="s">
        <v>192</v>
      </c>
    </row>
    <row r="183" spans="10:11">
      <c r="J183" s="7">
        <v>182</v>
      </c>
      <c r="K183" s="7" t="s">
        <v>193</v>
      </c>
    </row>
    <row r="184" spans="10:11">
      <c r="J184" s="7">
        <v>183</v>
      </c>
      <c r="K184" s="7" t="s">
        <v>194</v>
      </c>
    </row>
    <row r="185" spans="10:11">
      <c r="J185" s="7">
        <v>184</v>
      </c>
      <c r="K185" s="7" t="s">
        <v>195</v>
      </c>
    </row>
    <row r="186" spans="10:11">
      <c r="J186" s="7">
        <v>185</v>
      </c>
      <c r="K186" s="7" t="s">
        <v>196</v>
      </c>
    </row>
    <row r="187" spans="10:11">
      <c r="J187" s="7">
        <v>186</v>
      </c>
      <c r="K187" s="7" t="s">
        <v>197</v>
      </c>
    </row>
    <row r="188" spans="10:11">
      <c r="J188" s="7">
        <v>187</v>
      </c>
      <c r="K188" s="7" t="s">
        <v>198</v>
      </c>
    </row>
    <row r="189" spans="10:11">
      <c r="J189" s="7">
        <v>188</v>
      </c>
      <c r="K189" s="7" t="s">
        <v>199</v>
      </c>
    </row>
    <row r="190" spans="10:11">
      <c r="J190" s="7">
        <v>189</v>
      </c>
      <c r="K190" s="7" t="s">
        <v>200</v>
      </c>
    </row>
    <row r="191" spans="10:11">
      <c r="J191" s="7">
        <v>190</v>
      </c>
      <c r="K191" s="7" t="s">
        <v>201</v>
      </c>
    </row>
    <row r="192" spans="10:11">
      <c r="J192" s="7">
        <v>191</v>
      </c>
      <c r="K192" s="7" t="s">
        <v>202</v>
      </c>
    </row>
    <row r="193" spans="10:11">
      <c r="J193" s="7">
        <v>192</v>
      </c>
      <c r="K193" s="7" t="s">
        <v>203</v>
      </c>
    </row>
    <row r="194" spans="10:11">
      <c r="J194" s="7">
        <v>193</v>
      </c>
      <c r="K194" s="7" t="s">
        <v>204</v>
      </c>
    </row>
    <row r="195" spans="10:11">
      <c r="J195" s="7">
        <v>194</v>
      </c>
      <c r="K195" s="7" t="s">
        <v>205</v>
      </c>
    </row>
    <row r="196" spans="10:11">
      <c r="J196" s="7">
        <v>195</v>
      </c>
      <c r="K196" s="7" t="s">
        <v>206</v>
      </c>
    </row>
    <row r="197" spans="10:11">
      <c r="J197" s="7">
        <v>196</v>
      </c>
      <c r="K197" s="7" t="s">
        <v>207</v>
      </c>
    </row>
    <row r="198" spans="10:11">
      <c r="J198" s="7">
        <v>197</v>
      </c>
      <c r="K198" s="7" t="s">
        <v>208</v>
      </c>
    </row>
    <row r="199" spans="10:11">
      <c r="J199" s="7">
        <v>198</v>
      </c>
      <c r="K199" s="7" t="s">
        <v>209</v>
      </c>
    </row>
    <row r="200" spans="10:11">
      <c r="J200" s="7">
        <v>199</v>
      </c>
      <c r="K200" s="7" t="s">
        <v>210</v>
      </c>
    </row>
    <row r="201" spans="10:11">
      <c r="J201" s="7">
        <v>200</v>
      </c>
      <c r="K201" s="7" t="s">
        <v>211</v>
      </c>
    </row>
    <row r="202" spans="10:11">
      <c r="J202" s="7">
        <v>201</v>
      </c>
      <c r="K202" s="7" t="s">
        <v>212</v>
      </c>
    </row>
    <row r="203" spans="10:11">
      <c r="J203" s="7">
        <v>202</v>
      </c>
      <c r="K203" s="7" t="s">
        <v>213</v>
      </c>
    </row>
    <row r="204" spans="10:11">
      <c r="J204" s="7">
        <v>203</v>
      </c>
      <c r="K204" s="7" t="s">
        <v>214</v>
      </c>
    </row>
    <row r="205" spans="10:11">
      <c r="J205" s="7">
        <v>204</v>
      </c>
      <c r="K205" s="7" t="s">
        <v>215</v>
      </c>
    </row>
    <row r="206" spans="10:11">
      <c r="J206" s="7">
        <v>205</v>
      </c>
      <c r="K206" s="7" t="s">
        <v>216</v>
      </c>
    </row>
    <row r="207" spans="10:11">
      <c r="J207" s="7">
        <v>206</v>
      </c>
      <c r="K207" s="7" t="s">
        <v>217</v>
      </c>
    </row>
    <row r="208" spans="10:11">
      <c r="J208" s="7">
        <v>207</v>
      </c>
      <c r="K208" s="7" t="s">
        <v>218</v>
      </c>
    </row>
    <row r="209" spans="10:11">
      <c r="J209" s="7">
        <v>208</v>
      </c>
      <c r="K209" s="7" t="s">
        <v>219</v>
      </c>
    </row>
    <row r="210" spans="10:11">
      <c r="J210" s="7">
        <v>209</v>
      </c>
      <c r="K210" s="7" t="s">
        <v>220</v>
      </c>
    </row>
    <row r="211" spans="10:11">
      <c r="J211" s="7">
        <v>210</v>
      </c>
      <c r="K211" s="7" t="s">
        <v>221</v>
      </c>
    </row>
    <row r="212" spans="10:11">
      <c r="J212" s="7">
        <v>211</v>
      </c>
      <c r="K212" s="7" t="s">
        <v>222</v>
      </c>
    </row>
    <row r="213" spans="10:11">
      <c r="J213" s="7">
        <v>212</v>
      </c>
      <c r="K213" s="7" t="s">
        <v>223</v>
      </c>
    </row>
    <row r="214" spans="10:11">
      <c r="J214" s="7">
        <v>213</v>
      </c>
      <c r="K214" s="7" t="s">
        <v>224</v>
      </c>
    </row>
    <row r="215" spans="10:11">
      <c r="J215" s="7">
        <v>214</v>
      </c>
      <c r="K215" s="7" t="s">
        <v>225</v>
      </c>
    </row>
    <row r="216" spans="10:11">
      <c r="J216" s="7">
        <v>215</v>
      </c>
      <c r="K216" s="7" t="s">
        <v>226</v>
      </c>
    </row>
    <row r="217" spans="10:11">
      <c r="J217" s="7">
        <v>216</v>
      </c>
      <c r="K217" s="7" t="s">
        <v>227</v>
      </c>
    </row>
    <row r="218" spans="10:11">
      <c r="J218" s="7">
        <v>217</v>
      </c>
      <c r="K218" s="7" t="s">
        <v>228</v>
      </c>
    </row>
    <row r="219" spans="10:11">
      <c r="J219" s="7">
        <v>218</v>
      </c>
      <c r="K219" s="7" t="s">
        <v>229</v>
      </c>
    </row>
    <row r="220" spans="10:11">
      <c r="J220" s="7">
        <v>219</v>
      </c>
      <c r="K220" s="7" t="s">
        <v>230</v>
      </c>
    </row>
    <row r="221" spans="10:11">
      <c r="J221" s="7">
        <v>220</v>
      </c>
      <c r="K221" s="7" t="s">
        <v>231</v>
      </c>
    </row>
    <row r="222" spans="10:11">
      <c r="J222" s="7">
        <v>221</v>
      </c>
      <c r="K222" s="7" t="s">
        <v>232</v>
      </c>
    </row>
    <row r="223" spans="10:11">
      <c r="J223" s="7">
        <v>222</v>
      </c>
      <c r="K223" s="7" t="s">
        <v>233</v>
      </c>
    </row>
    <row r="224" spans="10:11">
      <c r="J224" s="7">
        <v>223</v>
      </c>
      <c r="K224" s="7" t="s">
        <v>234</v>
      </c>
    </row>
    <row r="225" spans="10:11">
      <c r="J225" s="7">
        <v>224</v>
      </c>
      <c r="K225" s="7" t="s">
        <v>235</v>
      </c>
    </row>
    <row r="226" spans="10:11">
      <c r="J226" s="7">
        <v>225</v>
      </c>
      <c r="K226" s="7" t="s">
        <v>236</v>
      </c>
    </row>
    <row r="227" spans="10:11">
      <c r="J227" s="7">
        <v>226</v>
      </c>
      <c r="K227" s="7" t="s">
        <v>237</v>
      </c>
    </row>
    <row r="228" spans="10:11">
      <c r="J228" s="7">
        <v>227</v>
      </c>
      <c r="K228" s="7" t="s">
        <v>238</v>
      </c>
    </row>
    <row r="229" spans="10:11">
      <c r="J229" s="7">
        <v>228</v>
      </c>
      <c r="K229" s="7" t="s">
        <v>239</v>
      </c>
    </row>
    <row r="230" spans="10:11">
      <c r="J230" s="7">
        <v>229</v>
      </c>
      <c r="K230" s="7" t="s">
        <v>240</v>
      </c>
    </row>
    <row r="231" spans="10:11">
      <c r="J231" s="7">
        <v>230</v>
      </c>
      <c r="K231" s="7" t="s">
        <v>241</v>
      </c>
    </row>
    <row r="232" spans="10:11">
      <c r="J232" s="7">
        <v>231</v>
      </c>
      <c r="K232" s="7" t="s">
        <v>242</v>
      </c>
    </row>
    <row r="233" spans="10:11">
      <c r="J233" s="7">
        <v>232</v>
      </c>
      <c r="K233" s="7" t="s">
        <v>243</v>
      </c>
    </row>
    <row r="234" spans="10:11">
      <c r="J234" s="7">
        <v>233</v>
      </c>
      <c r="K234" s="7" t="s">
        <v>244</v>
      </c>
    </row>
    <row r="235" spans="10:11">
      <c r="J235" s="7">
        <v>234</v>
      </c>
      <c r="K235" s="7" t="s">
        <v>245</v>
      </c>
    </row>
    <row r="236" spans="10:11">
      <c r="J236" s="7">
        <v>235</v>
      </c>
      <c r="K236" s="7" t="s">
        <v>246</v>
      </c>
    </row>
    <row r="237" spans="10:11">
      <c r="J237" s="7">
        <v>236</v>
      </c>
      <c r="K237" s="7" t="s">
        <v>247</v>
      </c>
    </row>
    <row r="238" spans="10:11">
      <c r="J238" s="7">
        <v>237</v>
      </c>
      <c r="K238" s="7" t="s">
        <v>248</v>
      </c>
    </row>
    <row r="239" spans="10:11">
      <c r="J239" s="7">
        <v>238</v>
      </c>
      <c r="K239" s="7" t="s">
        <v>249</v>
      </c>
    </row>
    <row r="240" spans="10:11">
      <c r="J240" s="7">
        <v>239</v>
      </c>
      <c r="K240" s="7" t="s">
        <v>250</v>
      </c>
    </row>
    <row r="241" spans="10:11">
      <c r="J241" s="7">
        <v>240</v>
      </c>
      <c r="K241" s="7" t="s">
        <v>251</v>
      </c>
    </row>
    <row r="242" spans="10:11">
      <c r="J242" s="7">
        <v>241</v>
      </c>
      <c r="K242" s="7" t="s">
        <v>252</v>
      </c>
    </row>
    <row r="243" spans="10:11">
      <c r="J243" s="7">
        <v>242</v>
      </c>
      <c r="K243" s="7" t="s">
        <v>253</v>
      </c>
    </row>
    <row r="244" spans="10:11">
      <c r="J244" s="7">
        <v>243</v>
      </c>
      <c r="K244" s="7" t="s">
        <v>254</v>
      </c>
    </row>
    <row r="245" spans="10:11">
      <c r="J245" s="7">
        <v>244</v>
      </c>
      <c r="K245" s="7" t="s">
        <v>255</v>
      </c>
    </row>
    <row r="246" spans="10:11">
      <c r="J246" s="7">
        <v>245</v>
      </c>
      <c r="K246" s="7" t="s">
        <v>256</v>
      </c>
    </row>
    <row r="247" spans="10:11">
      <c r="J247" s="7">
        <v>246</v>
      </c>
      <c r="K247" s="7" t="s">
        <v>257</v>
      </c>
    </row>
    <row r="248" spans="10:11">
      <c r="J248" s="7">
        <v>247</v>
      </c>
      <c r="K248" s="7" t="s">
        <v>258</v>
      </c>
    </row>
    <row r="249" spans="10:11">
      <c r="J249" s="7">
        <v>248</v>
      </c>
      <c r="K249" s="7" t="s">
        <v>259</v>
      </c>
    </row>
    <row r="250" spans="10:11">
      <c r="J250" s="7">
        <v>249</v>
      </c>
      <c r="K250" s="7" t="s">
        <v>260</v>
      </c>
    </row>
    <row r="251" spans="10:11">
      <c r="J251" s="7">
        <v>250</v>
      </c>
      <c r="K251" s="7" t="s">
        <v>261</v>
      </c>
    </row>
    <row r="252" spans="10:11">
      <c r="J252" s="7">
        <v>251</v>
      </c>
      <c r="K252" s="7" t="s">
        <v>262</v>
      </c>
    </row>
    <row r="253" spans="10:11">
      <c r="J253" s="7">
        <v>252</v>
      </c>
      <c r="K253" s="7" t="s">
        <v>263</v>
      </c>
    </row>
    <row r="254" spans="10:11">
      <c r="J254" s="7">
        <v>253</v>
      </c>
      <c r="K254" s="7" t="s">
        <v>264</v>
      </c>
    </row>
    <row r="255" spans="10:11">
      <c r="J255" s="7">
        <v>254</v>
      </c>
      <c r="K255" s="7" t="s">
        <v>265</v>
      </c>
    </row>
    <row r="256" spans="10:11">
      <c r="J256" s="7">
        <v>255</v>
      </c>
      <c r="K256" s="7" t="s">
        <v>266</v>
      </c>
    </row>
    <row r="257" spans="10:11">
      <c r="J257" s="7">
        <v>256</v>
      </c>
      <c r="K257" s="7" t="s">
        <v>267</v>
      </c>
    </row>
    <row r="258" spans="10:11">
      <c r="J258" s="7">
        <v>257</v>
      </c>
      <c r="K258" s="7" t="s">
        <v>268</v>
      </c>
    </row>
    <row r="259" spans="10:11">
      <c r="J259" s="7">
        <v>258</v>
      </c>
      <c r="K259" s="7" t="s">
        <v>269</v>
      </c>
    </row>
    <row r="260" spans="10:11">
      <c r="J260" s="7">
        <v>259</v>
      </c>
      <c r="K260" s="7" t="s">
        <v>270</v>
      </c>
    </row>
    <row r="261" spans="10:11">
      <c r="J261" s="7">
        <v>260</v>
      </c>
      <c r="K261" s="7" t="s">
        <v>271</v>
      </c>
    </row>
    <row r="262" spans="10:11">
      <c r="J262" s="7">
        <v>261</v>
      </c>
      <c r="K262" s="7" t="s">
        <v>272</v>
      </c>
    </row>
    <row r="263" spans="10:11">
      <c r="J263" s="7">
        <v>262</v>
      </c>
      <c r="K263" s="7" t="s">
        <v>273</v>
      </c>
    </row>
    <row r="264" spans="10:11">
      <c r="J264" s="7">
        <v>263</v>
      </c>
      <c r="K264" s="7" t="s">
        <v>274</v>
      </c>
    </row>
    <row r="265" spans="10:11">
      <c r="J265" s="7">
        <v>264</v>
      </c>
      <c r="K265" s="7" t="s">
        <v>275</v>
      </c>
    </row>
    <row r="266" spans="10:11">
      <c r="J266" s="7">
        <v>265</v>
      </c>
      <c r="K266" s="7" t="s">
        <v>276</v>
      </c>
    </row>
    <row r="267" spans="10:11">
      <c r="J267" s="7">
        <v>266</v>
      </c>
      <c r="K267" s="7" t="s">
        <v>277</v>
      </c>
    </row>
    <row r="268" spans="10:11">
      <c r="J268" s="7">
        <v>267</v>
      </c>
      <c r="K268" s="7" t="s">
        <v>278</v>
      </c>
    </row>
    <row r="269" spans="10:11">
      <c r="J269" s="7">
        <v>268</v>
      </c>
      <c r="K269" s="7" t="s">
        <v>279</v>
      </c>
    </row>
    <row r="270" spans="10:11">
      <c r="J270" s="7">
        <v>269</v>
      </c>
      <c r="K270" s="7" t="s">
        <v>280</v>
      </c>
    </row>
    <row r="271" spans="10:11">
      <c r="J271" s="7">
        <v>270</v>
      </c>
      <c r="K271" s="7" t="s">
        <v>281</v>
      </c>
    </row>
    <row r="272" spans="10:11">
      <c r="J272" s="7">
        <v>271</v>
      </c>
      <c r="K272" s="7" t="s">
        <v>282</v>
      </c>
    </row>
    <row r="273" spans="10:11">
      <c r="J273" s="7">
        <v>272</v>
      </c>
      <c r="K273" s="7" t="s">
        <v>283</v>
      </c>
    </row>
    <row r="274" spans="10:11">
      <c r="J274" s="7">
        <v>273</v>
      </c>
      <c r="K274" s="7" t="s">
        <v>284</v>
      </c>
    </row>
    <row r="275" spans="10:11">
      <c r="J275" s="7">
        <v>274</v>
      </c>
      <c r="K275" s="7" t="s">
        <v>285</v>
      </c>
    </row>
    <row r="276" spans="10:11">
      <c r="J276" s="7">
        <v>275</v>
      </c>
      <c r="K276" s="7" t="s">
        <v>286</v>
      </c>
    </row>
    <row r="277" spans="10:11">
      <c r="J277" s="7">
        <v>276</v>
      </c>
      <c r="K277" s="7" t="s">
        <v>287</v>
      </c>
    </row>
    <row r="278" spans="10:11">
      <c r="J278" s="7">
        <v>277</v>
      </c>
      <c r="K278" s="7" t="s">
        <v>288</v>
      </c>
    </row>
    <row r="279" spans="10:11">
      <c r="J279" s="7">
        <v>278</v>
      </c>
      <c r="K279" s="7" t="s">
        <v>289</v>
      </c>
    </row>
    <row r="280" spans="10:11">
      <c r="J280" s="7">
        <v>279</v>
      </c>
      <c r="K280" s="7" t="s">
        <v>290</v>
      </c>
    </row>
    <row r="281" spans="10:11">
      <c r="J281" s="7">
        <v>280</v>
      </c>
      <c r="K281" s="7" t="s">
        <v>291</v>
      </c>
    </row>
    <row r="282" spans="10:11">
      <c r="J282" s="7">
        <v>281</v>
      </c>
      <c r="K282" s="7" t="s">
        <v>292</v>
      </c>
    </row>
    <row r="283" spans="10:11">
      <c r="J283" s="7">
        <v>282</v>
      </c>
      <c r="K283" s="7" t="s">
        <v>293</v>
      </c>
    </row>
    <row r="284" spans="10:11">
      <c r="J284" s="7">
        <v>283</v>
      </c>
      <c r="K284" s="7" t="s">
        <v>294</v>
      </c>
    </row>
    <row r="285" spans="10:11">
      <c r="J285" s="7">
        <v>284</v>
      </c>
      <c r="K285" s="7" t="s">
        <v>295</v>
      </c>
    </row>
    <row r="286" spans="10:11">
      <c r="J286" s="7">
        <v>285</v>
      </c>
      <c r="K286" s="7" t="s">
        <v>296</v>
      </c>
    </row>
    <row r="287" spans="10:11">
      <c r="J287" s="7">
        <v>286</v>
      </c>
      <c r="K287" s="7" t="s">
        <v>297</v>
      </c>
    </row>
    <row r="288" spans="10:11">
      <c r="J288" s="7">
        <v>287</v>
      </c>
      <c r="K288" s="7" t="s">
        <v>298</v>
      </c>
    </row>
    <row r="289" spans="10:11">
      <c r="J289" s="7">
        <v>288</v>
      </c>
      <c r="K289" s="7" t="s">
        <v>299</v>
      </c>
    </row>
    <row r="290" spans="10:11">
      <c r="J290" s="7">
        <v>289</v>
      </c>
      <c r="K290" s="7" t="s">
        <v>300</v>
      </c>
    </row>
    <row r="291" spans="10:11">
      <c r="J291" s="7">
        <v>290</v>
      </c>
      <c r="K291" s="7" t="s">
        <v>301</v>
      </c>
    </row>
    <row r="292" spans="10:11">
      <c r="J292" s="7">
        <v>291</v>
      </c>
      <c r="K292" s="7" t="s">
        <v>302</v>
      </c>
    </row>
    <row r="293" spans="10:11">
      <c r="J293" s="7">
        <v>292</v>
      </c>
      <c r="K293" s="7" t="s">
        <v>303</v>
      </c>
    </row>
    <row r="294" spans="10:11">
      <c r="J294" s="7">
        <v>293</v>
      </c>
      <c r="K294" s="7" t="s">
        <v>304</v>
      </c>
    </row>
    <row r="295" spans="10:11">
      <c r="J295" s="7">
        <v>294</v>
      </c>
      <c r="K295" s="7" t="s">
        <v>305</v>
      </c>
    </row>
    <row r="296" spans="10:11">
      <c r="J296" s="7">
        <v>295</v>
      </c>
      <c r="K296" s="7" t="s">
        <v>306</v>
      </c>
    </row>
    <row r="297" spans="10:11">
      <c r="J297" s="7">
        <v>296</v>
      </c>
      <c r="K297" s="7" t="s">
        <v>307</v>
      </c>
    </row>
    <row r="298" spans="10:11">
      <c r="J298" s="7">
        <v>297</v>
      </c>
      <c r="K298" s="7" t="s">
        <v>308</v>
      </c>
    </row>
    <row r="299" spans="10:11">
      <c r="J299" s="7">
        <v>298</v>
      </c>
      <c r="K299" s="7" t="s">
        <v>309</v>
      </c>
    </row>
    <row r="300" spans="10:11">
      <c r="J300" s="7">
        <v>299</v>
      </c>
      <c r="K300" s="7" t="s">
        <v>310</v>
      </c>
    </row>
    <row r="301" spans="10:11">
      <c r="J301" s="7">
        <v>300</v>
      </c>
      <c r="K301" s="7" t="s">
        <v>311</v>
      </c>
    </row>
    <row r="302" spans="10:11">
      <c r="J302" s="7">
        <v>301</v>
      </c>
      <c r="K302" s="7" t="s">
        <v>312</v>
      </c>
    </row>
    <row r="303" spans="10:11">
      <c r="J303" s="7">
        <v>302</v>
      </c>
      <c r="K303" s="7" t="s">
        <v>313</v>
      </c>
    </row>
    <row r="304" spans="10:11">
      <c r="J304" s="7">
        <v>303</v>
      </c>
      <c r="K304" s="7" t="s">
        <v>314</v>
      </c>
    </row>
    <row r="305" spans="10:11">
      <c r="J305" s="7">
        <v>304</v>
      </c>
      <c r="K305" s="7" t="s">
        <v>315</v>
      </c>
    </row>
    <row r="306" spans="10:11">
      <c r="J306" s="7">
        <v>305</v>
      </c>
      <c r="K306" s="7" t="s">
        <v>316</v>
      </c>
    </row>
    <row r="307" spans="10:11">
      <c r="J307" s="7">
        <v>306</v>
      </c>
      <c r="K307" s="7" t="s">
        <v>317</v>
      </c>
    </row>
    <row r="308" spans="10:11">
      <c r="J308" s="7">
        <v>307</v>
      </c>
      <c r="K308" s="7" t="s">
        <v>318</v>
      </c>
    </row>
    <row r="309" spans="10:11">
      <c r="J309" s="7">
        <v>308</v>
      </c>
      <c r="K309" s="7" t="s">
        <v>319</v>
      </c>
    </row>
    <row r="310" spans="10:11">
      <c r="J310" s="7">
        <v>309</v>
      </c>
      <c r="K310" s="7" t="s">
        <v>320</v>
      </c>
    </row>
    <row r="311" spans="10:11">
      <c r="J311" s="7">
        <v>310</v>
      </c>
      <c r="K311" s="7" t="s">
        <v>321</v>
      </c>
    </row>
    <row r="312" spans="10:11">
      <c r="J312" s="7">
        <v>311</v>
      </c>
      <c r="K312" s="7" t="s">
        <v>322</v>
      </c>
    </row>
    <row r="313" spans="10:11">
      <c r="J313" s="7">
        <v>312</v>
      </c>
      <c r="K313" s="7" t="s">
        <v>323</v>
      </c>
    </row>
    <row r="314" spans="10:11">
      <c r="J314" s="7">
        <v>313</v>
      </c>
      <c r="K314" s="7" t="s">
        <v>324</v>
      </c>
    </row>
    <row r="315" spans="10:11">
      <c r="J315" s="7">
        <v>314</v>
      </c>
      <c r="K315" s="7" t="s">
        <v>325</v>
      </c>
    </row>
    <row r="316" spans="10:11">
      <c r="J316" s="7">
        <v>315</v>
      </c>
      <c r="K316" s="7" t="s">
        <v>326</v>
      </c>
    </row>
    <row r="317" spans="10:11">
      <c r="J317" s="7">
        <v>316</v>
      </c>
      <c r="K317" s="7" t="s">
        <v>327</v>
      </c>
    </row>
    <row r="318" spans="10:11">
      <c r="J318" s="7">
        <v>317</v>
      </c>
      <c r="K318" s="7" t="s">
        <v>328</v>
      </c>
    </row>
    <row r="319" spans="10:11">
      <c r="J319" s="7">
        <v>318</v>
      </c>
      <c r="K319" s="7" t="s">
        <v>329</v>
      </c>
    </row>
    <row r="320" spans="10:11">
      <c r="J320" s="7">
        <v>319</v>
      </c>
      <c r="K320" s="7" t="s">
        <v>330</v>
      </c>
    </row>
    <row r="321" spans="10:11">
      <c r="J321" s="7">
        <v>320</v>
      </c>
      <c r="K321" s="7" t="s">
        <v>331</v>
      </c>
    </row>
    <row r="322" spans="10:11">
      <c r="J322" s="7">
        <v>321</v>
      </c>
      <c r="K322" s="7" t="s">
        <v>332</v>
      </c>
    </row>
    <row r="323" spans="10:11">
      <c r="J323" s="7">
        <v>322</v>
      </c>
      <c r="K323" s="7" t="s">
        <v>333</v>
      </c>
    </row>
    <row r="324" spans="10:11">
      <c r="J324" s="7">
        <v>323</v>
      </c>
      <c r="K324" s="7" t="s">
        <v>334</v>
      </c>
    </row>
    <row r="325" spans="10:11">
      <c r="J325" s="7">
        <v>324</v>
      </c>
      <c r="K325" s="7" t="s">
        <v>335</v>
      </c>
    </row>
    <row r="326" spans="10:11">
      <c r="J326" s="7">
        <v>325</v>
      </c>
      <c r="K326" s="7" t="s">
        <v>336</v>
      </c>
    </row>
    <row r="327" spans="10:11">
      <c r="J327" s="7">
        <v>326</v>
      </c>
      <c r="K327" s="7" t="s">
        <v>337</v>
      </c>
    </row>
    <row r="328" spans="10:11">
      <c r="J328" s="7">
        <v>327</v>
      </c>
      <c r="K328" s="7" t="s">
        <v>338</v>
      </c>
    </row>
    <row r="329" spans="10:11">
      <c r="J329" s="7">
        <v>328</v>
      </c>
      <c r="K329" s="7" t="s">
        <v>339</v>
      </c>
    </row>
    <row r="330" spans="10:11">
      <c r="J330" s="7">
        <v>329</v>
      </c>
      <c r="K330" s="7" t="s">
        <v>340</v>
      </c>
    </row>
    <row r="331" spans="10:11">
      <c r="J331" s="7">
        <v>330</v>
      </c>
      <c r="K331" s="7" t="s">
        <v>341</v>
      </c>
    </row>
    <row r="332" spans="10:11">
      <c r="J332" s="7">
        <v>331</v>
      </c>
      <c r="K332" s="7" t="s">
        <v>342</v>
      </c>
    </row>
    <row r="333" spans="10:11">
      <c r="J333" s="7">
        <v>332</v>
      </c>
      <c r="K333" s="7" t="s">
        <v>343</v>
      </c>
    </row>
    <row r="334" spans="10:11">
      <c r="J334" s="7">
        <v>333</v>
      </c>
      <c r="K334" s="7" t="s">
        <v>344</v>
      </c>
    </row>
    <row r="335" spans="10:11">
      <c r="J335" s="7">
        <v>334</v>
      </c>
      <c r="K335" s="7" t="s">
        <v>345</v>
      </c>
    </row>
    <row r="336" spans="10:11">
      <c r="J336" s="7">
        <v>335</v>
      </c>
      <c r="K336" s="7" t="s">
        <v>346</v>
      </c>
    </row>
    <row r="337" spans="10:11">
      <c r="J337" s="7">
        <v>336</v>
      </c>
      <c r="K337" s="7" t="s">
        <v>347</v>
      </c>
    </row>
    <row r="338" spans="10:11">
      <c r="J338" s="7">
        <v>337</v>
      </c>
      <c r="K338" s="7" t="s">
        <v>348</v>
      </c>
    </row>
    <row r="339" spans="10:11">
      <c r="J339" s="7">
        <v>338</v>
      </c>
      <c r="K339" s="7" t="s">
        <v>349</v>
      </c>
    </row>
    <row r="340" spans="10:11">
      <c r="J340" s="7">
        <v>339</v>
      </c>
      <c r="K340" s="7" t="s">
        <v>350</v>
      </c>
    </row>
    <row r="341" spans="10:11">
      <c r="J341" s="7">
        <v>340</v>
      </c>
      <c r="K341" s="7" t="s">
        <v>351</v>
      </c>
    </row>
    <row r="342" spans="10:11">
      <c r="J342" s="7">
        <v>341</v>
      </c>
      <c r="K342" s="7" t="s">
        <v>352</v>
      </c>
    </row>
    <row r="343" spans="10:11">
      <c r="J343" s="7">
        <v>342</v>
      </c>
      <c r="K343" s="7" t="s">
        <v>353</v>
      </c>
    </row>
    <row r="344" spans="10:11">
      <c r="J344" s="7">
        <v>343</v>
      </c>
      <c r="K344" s="7" t="s">
        <v>354</v>
      </c>
    </row>
    <row r="345" spans="10:11">
      <c r="J345" s="7">
        <v>344</v>
      </c>
      <c r="K345" s="7" t="s">
        <v>355</v>
      </c>
    </row>
    <row r="346" spans="10:11">
      <c r="J346" s="7">
        <v>345</v>
      </c>
      <c r="K346" s="7" t="s">
        <v>356</v>
      </c>
    </row>
    <row r="347" spans="10:11">
      <c r="J347" s="7">
        <v>346</v>
      </c>
      <c r="K347" s="7" t="s">
        <v>357</v>
      </c>
    </row>
    <row r="348" spans="10:11">
      <c r="J348" s="7">
        <v>347</v>
      </c>
      <c r="K348" s="7" t="s">
        <v>358</v>
      </c>
    </row>
    <row r="349" spans="10:11">
      <c r="J349" s="7">
        <v>348</v>
      </c>
      <c r="K349" s="7" t="s">
        <v>359</v>
      </c>
    </row>
    <row r="350" spans="10:11">
      <c r="J350" s="7">
        <v>349</v>
      </c>
      <c r="K350" s="7" t="s">
        <v>360</v>
      </c>
    </row>
    <row r="351" spans="10:11">
      <c r="J351" s="7">
        <v>350</v>
      </c>
      <c r="K351" s="7" t="s">
        <v>361</v>
      </c>
    </row>
    <row r="352" spans="10:11">
      <c r="J352" s="7">
        <v>351</v>
      </c>
      <c r="K352" s="7" t="s">
        <v>362</v>
      </c>
    </row>
    <row r="353" spans="10:11">
      <c r="J353" s="7">
        <v>352</v>
      </c>
      <c r="K353" s="7" t="s">
        <v>363</v>
      </c>
    </row>
    <row r="354" spans="10:11">
      <c r="J354" s="7">
        <v>353</v>
      </c>
      <c r="K354" s="7" t="s">
        <v>364</v>
      </c>
    </row>
    <row r="355" spans="10:11">
      <c r="J355" s="7">
        <v>354</v>
      </c>
      <c r="K355" s="7" t="s">
        <v>365</v>
      </c>
    </row>
    <row r="356" spans="10:11">
      <c r="J356" s="7">
        <v>355</v>
      </c>
      <c r="K356" s="7" t="s">
        <v>366</v>
      </c>
    </row>
    <row r="357" spans="10:11">
      <c r="J357" s="7">
        <v>356</v>
      </c>
      <c r="K357" s="7" t="s">
        <v>367</v>
      </c>
    </row>
    <row r="358" spans="10:11">
      <c r="J358" s="7">
        <v>357</v>
      </c>
      <c r="K358" s="7" t="s">
        <v>368</v>
      </c>
    </row>
    <row r="359" spans="10:11">
      <c r="J359" s="7">
        <v>358</v>
      </c>
      <c r="K359" s="7" t="s">
        <v>369</v>
      </c>
    </row>
    <row r="360" spans="10:11">
      <c r="J360" s="7">
        <v>359</v>
      </c>
      <c r="K360" s="7" t="s">
        <v>370</v>
      </c>
    </row>
    <row r="361" spans="10:11">
      <c r="J361" s="7">
        <v>360</v>
      </c>
      <c r="K361" s="7" t="s">
        <v>371</v>
      </c>
    </row>
    <row r="362" spans="10:11">
      <c r="J362" s="7">
        <v>361</v>
      </c>
      <c r="K362" s="7" t="s">
        <v>372</v>
      </c>
    </row>
    <row r="363" spans="10:11">
      <c r="J363" s="7">
        <v>362</v>
      </c>
      <c r="K363" s="7" t="s">
        <v>373</v>
      </c>
    </row>
    <row r="364" spans="10:11">
      <c r="J364" s="7">
        <v>363</v>
      </c>
      <c r="K364" s="7" t="s">
        <v>374</v>
      </c>
    </row>
    <row r="365" spans="10:11">
      <c r="J365" s="7">
        <v>364</v>
      </c>
      <c r="K365" s="7" t="s">
        <v>375</v>
      </c>
    </row>
    <row r="366" spans="10:11">
      <c r="J366" s="7">
        <v>365</v>
      </c>
      <c r="K366" s="7" t="s">
        <v>376</v>
      </c>
    </row>
    <row r="367" spans="10:11">
      <c r="J367" s="7">
        <v>366</v>
      </c>
      <c r="K367" s="7" t="s">
        <v>377</v>
      </c>
    </row>
    <row r="368" spans="10:11">
      <c r="J368" s="7">
        <v>367</v>
      </c>
      <c r="K368" s="7" t="s">
        <v>378</v>
      </c>
    </row>
    <row r="369" spans="10:11">
      <c r="J369" s="7">
        <v>368</v>
      </c>
      <c r="K369" s="7" t="s">
        <v>379</v>
      </c>
    </row>
    <row r="370" spans="10:11">
      <c r="J370" s="7">
        <v>369</v>
      </c>
      <c r="K370" s="7" t="s">
        <v>380</v>
      </c>
    </row>
    <row r="371" spans="10:11">
      <c r="J371" s="7">
        <v>370</v>
      </c>
      <c r="K371" s="7" t="s">
        <v>381</v>
      </c>
    </row>
    <row r="372" spans="10:11">
      <c r="J372" s="7">
        <v>371</v>
      </c>
      <c r="K372" s="7" t="s">
        <v>382</v>
      </c>
    </row>
    <row r="373" spans="10:11">
      <c r="J373" s="7">
        <v>372</v>
      </c>
      <c r="K373" s="7" t="s">
        <v>383</v>
      </c>
    </row>
    <row r="374" spans="10:11">
      <c r="J374" s="7">
        <v>373</v>
      </c>
      <c r="K374" s="7" t="s">
        <v>384</v>
      </c>
    </row>
    <row r="375" spans="10:11">
      <c r="J375" s="7">
        <v>374</v>
      </c>
      <c r="K375" s="7" t="s">
        <v>385</v>
      </c>
    </row>
    <row r="376" spans="10:11">
      <c r="J376" s="7">
        <v>375</v>
      </c>
      <c r="K376" s="7" t="s">
        <v>386</v>
      </c>
    </row>
    <row r="377" spans="10:11">
      <c r="J377" s="7">
        <v>376</v>
      </c>
      <c r="K377" s="7" t="s">
        <v>387</v>
      </c>
    </row>
    <row r="378" spans="10:11">
      <c r="J378" s="7">
        <v>377</v>
      </c>
      <c r="K378" s="7" t="s">
        <v>388</v>
      </c>
    </row>
    <row r="379" spans="10:11">
      <c r="J379" s="7">
        <v>378</v>
      </c>
      <c r="K379" s="7" t="s">
        <v>389</v>
      </c>
    </row>
    <row r="380" spans="10:11">
      <c r="J380" s="7">
        <v>379</v>
      </c>
      <c r="K380" s="7" t="s">
        <v>390</v>
      </c>
    </row>
    <row r="381" spans="10:11">
      <c r="J381" s="7">
        <v>380</v>
      </c>
      <c r="K381" s="7" t="s">
        <v>391</v>
      </c>
    </row>
    <row r="382" spans="10:11">
      <c r="J382" s="7">
        <v>381</v>
      </c>
      <c r="K382" s="7" t="s">
        <v>392</v>
      </c>
    </row>
    <row r="383" spans="10:11">
      <c r="J383" s="7">
        <v>382</v>
      </c>
      <c r="K383" s="7" t="s">
        <v>393</v>
      </c>
    </row>
    <row r="384" spans="10:11">
      <c r="J384" s="7">
        <v>383</v>
      </c>
      <c r="K384" s="7" t="s">
        <v>394</v>
      </c>
    </row>
    <row r="385" spans="10:11">
      <c r="J385" s="7">
        <v>384</v>
      </c>
      <c r="K385" s="7" t="s">
        <v>395</v>
      </c>
    </row>
    <row r="386" spans="10:11">
      <c r="J386" s="7">
        <v>385</v>
      </c>
      <c r="K386" s="7" t="s">
        <v>396</v>
      </c>
    </row>
    <row r="387" spans="10:11">
      <c r="J387" s="7">
        <v>386</v>
      </c>
      <c r="K387" s="7" t="s">
        <v>397</v>
      </c>
    </row>
    <row r="388" spans="10:11">
      <c r="J388" s="7">
        <v>387</v>
      </c>
      <c r="K388" s="7" t="s">
        <v>398</v>
      </c>
    </row>
    <row r="389" spans="10:11">
      <c r="J389" s="7">
        <v>388</v>
      </c>
      <c r="K389" s="7" t="s">
        <v>399</v>
      </c>
    </row>
    <row r="390" spans="10:11">
      <c r="J390" s="7">
        <v>389</v>
      </c>
      <c r="K390" s="7" t="s">
        <v>400</v>
      </c>
    </row>
    <row r="391" spans="10:11">
      <c r="J391" s="7">
        <v>390</v>
      </c>
      <c r="K391" s="7" t="s">
        <v>401</v>
      </c>
    </row>
    <row r="392" spans="10:11">
      <c r="J392" s="7">
        <v>391</v>
      </c>
      <c r="K392" s="7" t="s">
        <v>402</v>
      </c>
    </row>
    <row r="393" spans="10:11">
      <c r="J393" s="7">
        <v>392</v>
      </c>
      <c r="K393" s="7" t="s">
        <v>403</v>
      </c>
    </row>
    <row r="394" spans="10:11">
      <c r="J394" s="7">
        <v>393</v>
      </c>
      <c r="K394" s="7" t="s">
        <v>404</v>
      </c>
    </row>
    <row r="395" spans="10:11">
      <c r="J395" s="7">
        <v>394</v>
      </c>
      <c r="K395" s="7" t="s">
        <v>405</v>
      </c>
    </row>
    <row r="396" spans="10:11">
      <c r="J396" s="7">
        <v>395</v>
      </c>
      <c r="K396" s="7" t="s">
        <v>406</v>
      </c>
    </row>
    <row r="397" spans="10:11">
      <c r="J397" s="7">
        <v>396</v>
      </c>
      <c r="K397" s="7" t="s">
        <v>407</v>
      </c>
    </row>
    <row r="398" spans="10:11">
      <c r="J398" s="7">
        <v>397</v>
      </c>
      <c r="K398" s="7" t="s">
        <v>408</v>
      </c>
    </row>
    <row r="399" spans="10:11">
      <c r="J399" s="7">
        <v>398</v>
      </c>
      <c r="K399" s="7" t="s">
        <v>409</v>
      </c>
    </row>
    <row r="400" spans="10:11">
      <c r="J400" s="7">
        <v>399</v>
      </c>
      <c r="K400" s="7" t="s">
        <v>410</v>
      </c>
    </row>
    <row r="401" spans="10:11">
      <c r="J401" s="7">
        <v>400</v>
      </c>
      <c r="K401" s="7" t="s">
        <v>411</v>
      </c>
    </row>
    <row r="402" spans="10:11">
      <c r="J402" s="7">
        <v>401</v>
      </c>
      <c r="K402" s="7" t="s">
        <v>412</v>
      </c>
    </row>
    <row r="403" spans="10:11">
      <c r="J403" s="7">
        <v>402</v>
      </c>
      <c r="K403" s="7" t="s">
        <v>413</v>
      </c>
    </row>
    <row r="404" spans="10:11">
      <c r="J404" s="7">
        <v>403</v>
      </c>
      <c r="K404" s="7" t="s">
        <v>414</v>
      </c>
    </row>
    <row r="405" spans="10:11">
      <c r="J405" s="7">
        <v>404</v>
      </c>
      <c r="K405" s="7" t="s">
        <v>415</v>
      </c>
    </row>
    <row r="406" spans="10:11">
      <c r="J406" s="7">
        <v>405</v>
      </c>
      <c r="K406" s="7" t="s">
        <v>416</v>
      </c>
    </row>
    <row r="407" spans="10:11">
      <c r="J407" s="7">
        <v>406</v>
      </c>
      <c r="K407" s="7" t="s">
        <v>417</v>
      </c>
    </row>
    <row r="408" spans="10:11">
      <c r="J408" s="7">
        <v>407</v>
      </c>
      <c r="K408" s="7" t="s">
        <v>418</v>
      </c>
    </row>
    <row r="409" spans="10:11">
      <c r="J409" s="7">
        <v>408</v>
      </c>
      <c r="K409" s="7" t="s">
        <v>419</v>
      </c>
    </row>
    <row r="410" spans="10:11">
      <c r="J410" s="7">
        <v>409</v>
      </c>
      <c r="K410" s="7" t="s">
        <v>420</v>
      </c>
    </row>
    <row r="411" spans="10:11">
      <c r="J411" s="7">
        <v>410</v>
      </c>
      <c r="K411" s="7" t="s">
        <v>421</v>
      </c>
    </row>
    <row r="412" spans="10:11">
      <c r="J412" s="7">
        <v>411</v>
      </c>
      <c r="K412" s="7" t="s">
        <v>422</v>
      </c>
    </row>
    <row r="413" spans="10:11">
      <c r="J413" s="7">
        <v>412</v>
      </c>
      <c r="K413" s="7" t="s">
        <v>423</v>
      </c>
    </row>
    <row r="414" spans="10:11">
      <c r="J414" s="7">
        <v>413</v>
      </c>
      <c r="K414" s="7" t="s">
        <v>424</v>
      </c>
    </row>
    <row r="415" spans="10:11">
      <c r="J415" s="7">
        <v>414</v>
      </c>
      <c r="K415" s="7" t="s">
        <v>425</v>
      </c>
    </row>
    <row r="416" spans="10:11">
      <c r="J416" s="7">
        <v>415</v>
      </c>
      <c r="K416" s="7" t="s">
        <v>426</v>
      </c>
    </row>
    <row r="417" spans="10:11">
      <c r="J417" s="7">
        <v>416</v>
      </c>
      <c r="K417" s="7" t="s">
        <v>427</v>
      </c>
    </row>
    <row r="418" spans="10:11">
      <c r="J418" s="7">
        <v>417</v>
      </c>
      <c r="K418" s="7" t="s">
        <v>428</v>
      </c>
    </row>
    <row r="419" spans="10:11">
      <c r="J419" s="7">
        <v>418</v>
      </c>
      <c r="K419" s="7" t="s">
        <v>429</v>
      </c>
    </row>
    <row r="420" spans="10:11">
      <c r="J420" s="7">
        <v>419</v>
      </c>
      <c r="K420" s="7" t="s">
        <v>430</v>
      </c>
    </row>
    <row r="421" spans="10:11">
      <c r="J421" s="7">
        <v>420</v>
      </c>
      <c r="K421" s="7" t="s">
        <v>431</v>
      </c>
    </row>
    <row r="422" spans="10:11">
      <c r="J422" s="7">
        <v>421</v>
      </c>
      <c r="K422" s="7" t="s">
        <v>432</v>
      </c>
    </row>
    <row r="423" spans="10:11">
      <c r="J423" s="7">
        <v>422</v>
      </c>
      <c r="K423" s="7" t="s">
        <v>433</v>
      </c>
    </row>
    <row r="424" spans="10:11">
      <c r="J424" s="7">
        <v>423</v>
      </c>
      <c r="K424" s="7" t="s">
        <v>434</v>
      </c>
    </row>
    <row r="425" spans="10:11">
      <c r="J425" s="7">
        <v>424</v>
      </c>
      <c r="K425" s="7" t="s">
        <v>435</v>
      </c>
    </row>
    <row r="426" spans="10:11">
      <c r="J426" s="7">
        <v>425</v>
      </c>
      <c r="K426" s="7" t="s">
        <v>436</v>
      </c>
    </row>
    <row r="427" spans="10:11">
      <c r="J427" s="7">
        <v>426</v>
      </c>
      <c r="K427" s="7" t="s">
        <v>437</v>
      </c>
    </row>
    <row r="428" spans="10:11">
      <c r="J428" s="7">
        <v>427</v>
      </c>
      <c r="K428" s="7" t="s">
        <v>438</v>
      </c>
    </row>
    <row r="429" spans="10:11">
      <c r="J429" s="7">
        <v>428</v>
      </c>
      <c r="K429" s="7" t="s">
        <v>439</v>
      </c>
    </row>
    <row r="430" spans="10:11">
      <c r="J430" s="7">
        <v>429</v>
      </c>
      <c r="K430" s="7" t="s">
        <v>440</v>
      </c>
    </row>
    <row r="431" spans="10:11">
      <c r="J431" s="7">
        <v>430</v>
      </c>
      <c r="K431" s="7" t="s">
        <v>441</v>
      </c>
    </row>
    <row r="432" spans="10:11">
      <c r="J432" s="7">
        <v>431</v>
      </c>
      <c r="K432" s="7" t="s">
        <v>442</v>
      </c>
    </row>
    <row r="433" spans="10:11">
      <c r="J433" s="7">
        <v>432</v>
      </c>
      <c r="K433" s="7" t="s">
        <v>443</v>
      </c>
    </row>
    <row r="434" spans="10:11">
      <c r="J434" s="7">
        <v>433</v>
      </c>
      <c r="K434" s="7" t="s">
        <v>444</v>
      </c>
    </row>
    <row r="435" spans="10:11">
      <c r="J435" s="7">
        <v>434</v>
      </c>
      <c r="K435" s="7" t="s">
        <v>445</v>
      </c>
    </row>
    <row r="436" spans="10:11">
      <c r="J436" s="7">
        <v>435</v>
      </c>
      <c r="K436" s="7" t="s">
        <v>446</v>
      </c>
    </row>
    <row r="437" spans="10:11">
      <c r="J437" s="7">
        <v>436</v>
      </c>
      <c r="K437" s="7" t="s">
        <v>447</v>
      </c>
    </row>
    <row r="438" spans="10:11">
      <c r="J438" s="7">
        <v>437</v>
      </c>
      <c r="K438" s="7" t="s">
        <v>448</v>
      </c>
    </row>
    <row r="439" spans="10:11">
      <c r="J439" s="7">
        <v>438</v>
      </c>
      <c r="K439" s="7" t="s">
        <v>449</v>
      </c>
    </row>
    <row r="440" spans="10:11">
      <c r="J440" s="7">
        <v>439</v>
      </c>
      <c r="K440" s="7" t="s">
        <v>450</v>
      </c>
    </row>
    <row r="441" spans="10:11">
      <c r="J441" s="7">
        <v>440</v>
      </c>
      <c r="K441" s="7" t="s">
        <v>451</v>
      </c>
    </row>
    <row r="442" spans="10:11">
      <c r="J442" s="7">
        <v>441</v>
      </c>
      <c r="K442" s="7" t="s">
        <v>452</v>
      </c>
    </row>
    <row r="443" spans="10:11">
      <c r="J443" s="7">
        <v>442</v>
      </c>
      <c r="K443" s="7" t="s">
        <v>453</v>
      </c>
    </row>
    <row r="444" spans="10:11">
      <c r="J444" s="7">
        <v>443</v>
      </c>
      <c r="K444" s="7" t="s">
        <v>454</v>
      </c>
    </row>
    <row r="445" spans="10:11">
      <c r="J445" s="7">
        <v>444</v>
      </c>
      <c r="K445" s="7" t="s">
        <v>455</v>
      </c>
    </row>
    <row r="446" spans="10:11">
      <c r="J446" s="7">
        <v>445</v>
      </c>
      <c r="K446" s="7" t="s">
        <v>456</v>
      </c>
    </row>
    <row r="447" spans="10:11">
      <c r="J447" s="7">
        <v>446</v>
      </c>
      <c r="K447" s="7" t="s">
        <v>457</v>
      </c>
    </row>
    <row r="448" spans="10:11">
      <c r="J448" s="7">
        <v>447</v>
      </c>
      <c r="K448" s="7" t="s">
        <v>458</v>
      </c>
    </row>
    <row r="449" spans="10:11">
      <c r="J449" s="7">
        <v>448</v>
      </c>
      <c r="K449" s="7" t="s">
        <v>459</v>
      </c>
    </row>
    <row r="450" spans="10:11">
      <c r="J450" s="7">
        <v>449</v>
      </c>
      <c r="K450" s="7" t="s">
        <v>460</v>
      </c>
    </row>
    <row r="451" spans="10:11">
      <c r="J451" s="7">
        <v>450</v>
      </c>
      <c r="K451" s="7" t="s">
        <v>461</v>
      </c>
    </row>
    <row r="452" spans="10:11">
      <c r="J452" s="7">
        <v>451</v>
      </c>
      <c r="K452" s="7" t="s">
        <v>462</v>
      </c>
    </row>
    <row r="453" spans="10:11">
      <c r="J453" s="7">
        <v>452</v>
      </c>
      <c r="K453" s="7" t="s">
        <v>463</v>
      </c>
    </row>
    <row r="454" spans="10:11">
      <c r="J454" s="7">
        <v>453</v>
      </c>
      <c r="K454" s="7" t="s">
        <v>464</v>
      </c>
    </row>
    <row r="455" spans="10:11">
      <c r="J455" s="7">
        <v>454</v>
      </c>
      <c r="K455" s="7" t="s">
        <v>465</v>
      </c>
    </row>
    <row r="456" spans="10:11">
      <c r="J456" s="7">
        <v>455</v>
      </c>
      <c r="K456" s="7" t="s">
        <v>466</v>
      </c>
    </row>
    <row r="457" spans="10:11">
      <c r="J457" s="7">
        <v>456</v>
      </c>
      <c r="K457" s="7" t="s">
        <v>467</v>
      </c>
    </row>
    <row r="458" spans="10:11">
      <c r="J458" s="7">
        <v>457</v>
      </c>
      <c r="K458" s="7" t="s">
        <v>468</v>
      </c>
    </row>
    <row r="459" spans="10:11">
      <c r="J459" s="7">
        <v>458</v>
      </c>
      <c r="K459" s="7" t="s">
        <v>469</v>
      </c>
    </row>
    <row r="460" spans="10:11">
      <c r="J460" s="7">
        <v>459</v>
      </c>
      <c r="K460" s="7" t="s">
        <v>470</v>
      </c>
    </row>
    <row r="461" spans="10:11">
      <c r="J461" s="7">
        <v>460</v>
      </c>
      <c r="K461" s="7" t="s">
        <v>471</v>
      </c>
    </row>
    <row r="462" spans="10:11">
      <c r="J462" s="7">
        <v>461</v>
      </c>
      <c r="K462" s="7" t="s">
        <v>472</v>
      </c>
    </row>
    <row r="463" spans="10:11">
      <c r="J463" s="7">
        <v>462</v>
      </c>
      <c r="K463" s="7" t="s">
        <v>473</v>
      </c>
    </row>
    <row r="464" spans="10:11">
      <c r="J464" s="7">
        <v>463</v>
      </c>
      <c r="K464" s="7" t="s">
        <v>474</v>
      </c>
    </row>
    <row r="465" spans="10:11">
      <c r="J465" s="7">
        <v>464</v>
      </c>
      <c r="K465" s="7" t="s">
        <v>475</v>
      </c>
    </row>
    <row r="466" spans="10:11">
      <c r="J466" s="7">
        <v>465</v>
      </c>
      <c r="K466" s="7" t="s">
        <v>476</v>
      </c>
    </row>
    <row r="467" spans="10:11">
      <c r="J467" s="7">
        <v>466</v>
      </c>
      <c r="K467" s="7" t="s">
        <v>477</v>
      </c>
    </row>
    <row r="468" spans="10:11">
      <c r="J468" s="7">
        <v>467</v>
      </c>
      <c r="K468" s="7" t="s">
        <v>478</v>
      </c>
    </row>
    <row r="469" spans="10:11">
      <c r="J469" s="7">
        <v>468</v>
      </c>
      <c r="K469" s="7" t="s">
        <v>479</v>
      </c>
    </row>
    <row r="470" spans="10:11">
      <c r="J470" s="7">
        <v>469</v>
      </c>
      <c r="K470" s="7" t="s">
        <v>480</v>
      </c>
    </row>
    <row r="471" spans="10:11">
      <c r="J471" s="7">
        <v>470</v>
      </c>
      <c r="K471" s="7" t="s">
        <v>481</v>
      </c>
    </row>
    <row r="472" spans="10:11">
      <c r="J472" s="7">
        <v>471</v>
      </c>
      <c r="K472" s="7" t="s">
        <v>482</v>
      </c>
    </row>
    <row r="473" spans="10:11">
      <c r="J473" s="7">
        <v>472</v>
      </c>
      <c r="K473" s="7" t="s">
        <v>483</v>
      </c>
    </row>
    <row r="474" spans="10:11">
      <c r="J474" s="7">
        <v>473</v>
      </c>
      <c r="K474" s="7" t="s">
        <v>484</v>
      </c>
    </row>
    <row r="475" spans="10:11">
      <c r="J475" s="7">
        <v>474</v>
      </c>
      <c r="K475" s="7" t="s">
        <v>485</v>
      </c>
    </row>
    <row r="476" spans="10:11">
      <c r="J476" s="7">
        <v>475</v>
      </c>
      <c r="K476" s="7" t="s">
        <v>486</v>
      </c>
    </row>
    <row r="477" spans="10:11">
      <c r="J477" s="7">
        <v>476</v>
      </c>
      <c r="K477" s="7" t="s">
        <v>487</v>
      </c>
    </row>
    <row r="478" spans="10:11">
      <c r="J478" s="7">
        <v>477</v>
      </c>
      <c r="K478" s="7" t="s">
        <v>488</v>
      </c>
    </row>
    <row r="479" spans="10:11">
      <c r="J479" s="7">
        <v>478</v>
      </c>
      <c r="K479" s="7" t="s">
        <v>489</v>
      </c>
    </row>
    <row r="480" spans="10:11">
      <c r="J480" s="7">
        <v>479</v>
      </c>
      <c r="K480" s="7" t="s">
        <v>490</v>
      </c>
    </row>
    <row r="481" spans="10:11">
      <c r="J481" s="7">
        <v>480</v>
      </c>
      <c r="K481" s="7" t="s">
        <v>491</v>
      </c>
    </row>
    <row r="482" spans="10:11">
      <c r="J482" s="7">
        <v>481</v>
      </c>
      <c r="K482" s="7" t="s">
        <v>492</v>
      </c>
    </row>
    <row r="483" spans="10:11">
      <c r="J483" s="7">
        <v>482</v>
      </c>
      <c r="K483" s="7" t="s">
        <v>493</v>
      </c>
    </row>
    <row r="484" spans="10:11">
      <c r="J484" s="7">
        <v>483</v>
      </c>
      <c r="K484" s="7" t="s">
        <v>494</v>
      </c>
    </row>
    <row r="485" spans="10:11">
      <c r="J485" s="7">
        <v>484</v>
      </c>
      <c r="K485" s="7" t="s">
        <v>495</v>
      </c>
    </row>
    <row r="486" spans="10:11">
      <c r="J486" s="7">
        <v>485</v>
      </c>
      <c r="K486" s="7" t="s">
        <v>496</v>
      </c>
    </row>
    <row r="487" spans="10:11">
      <c r="J487" s="7">
        <v>486</v>
      </c>
      <c r="K487" s="7" t="s">
        <v>497</v>
      </c>
    </row>
    <row r="488" spans="10:11">
      <c r="J488" s="7">
        <v>487</v>
      </c>
      <c r="K488" s="7" t="s">
        <v>498</v>
      </c>
    </row>
    <row r="489" spans="10:11">
      <c r="J489" s="7">
        <v>488</v>
      </c>
      <c r="K489" s="7" t="s">
        <v>499</v>
      </c>
    </row>
    <row r="490" spans="10:11">
      <c r="J490" s="7">
        <v>489</v>
      </c>
      <c r="K490" s="7" t="s">
        <v>500</v>
      </c>
    </row>
    <row r="491" spans="10:11">
      <c r="J491" s="7">
        <v>490</v>
      </c>
      <c r="K491" s="7" t="s">
        <v>501</v>
      </c>
    </row>
    <row r="492" spans="10:11">
      <c r="J492" s="7">
        <v>491</v>
      </c>
      <c r="K492" s="7" t="s">
        <v>502</v>
      </c>
    </row>
    <row r="493" spans="10:11">
      <c r="J493" s="7">
        <v>492</v>
      </c>
      <c r="K493" s="7" t="s">
        <v>503</v>
      </c>
    </row>
    <row r="494" spans="10:11">
      <c r="J494" s="7">
        <v>493</v>
      </c>
      <c r="K494" s="7" t="s">
        <v>504</v>
      </c>
    </row>
    <row r="495" spans="10:11">
      <c r="J495" s="7">
        <v>494</v>
      </c>
      <c r="K495" s="7" t="s">
        <v>505</v>
      </c>
    </row>
    <row r="496" spans="10:11">
      <c r="J496" s="7">
        <v>495</v>
      </c>
      <c r="K496" s="7" t="s">
        <v>506</v>
      </c>
    </row>
    <row r="497" spans="10:11">
      <c r="J497" s="7">
        <v>496</v>
      </c>
      <c r="K497" s="7" t="s">
        <v>507</v>
      </c>
    </row>
    <row r="498" spans="10:11">
      <c r="J498" s="7">
        <v>497</v>
      </c>
      <c r="K498" s="7" t="s">
        <v>508</v>
      </c>
    </row>
    <row r="499" spans="10:11">
      <c r="J499" s="7">
        <v>498</v>
      </c>
      <c r="K499" s="7" t="s">
        <v>509</v>
      </c>
    </row>
    <row r="500" spans="10:11">
      <c r="J500" s="7">
        <v>499</v>
      </c>
      <c r="K500" s="7" t="s">
        <v>510</v>
      </c>
    </row>
    <row r="501" spans="10:11">
      <c r="J501" s="7">
        <v>500</v>
      </c>
      <c r="K501" s="7" t="s">
        <v>511</v>
      </c>
    </row>
    <row r="502" spans="10:11">
      <c r="J502" s="7">
        <v>501</v>
      </c>
      <c r="K502" s="7" t="s">
        <v>512</v>
      </c>
    </row>
    <row r="503" spans="10:11">
      <c r="J503" s="7">
        <v>502</v>
      </c>
      <c r="K503" s="7" t="s">
        <v>513</v>
      </c>
    </row>
    <row r="504" spans="10:11">
      <c r="J504" s="7">
        <v>503</v>
      </c>
      <c r="K504" s="7" t="s">
        <v>514</v>
      </c>
    </row>
    <row r="505" spans="10:11">
      <c r="J505" s="7">
        <v>504</v>
      </c>
      <c r="K505" s="7" t="s">
        <v>515</v>
      </c>
    </row>
    <row r="506" spans="10:11">
      <c r="J506" s="7">
        <v>505</v>
      </c>
      <c r="K506" s="7" t="s">
        <v>516</v>
      </c>
    </row>
    <row r="507" spans="10:11">
      <c r="J507" s="7">
        <v>506</v>
      </c>
      <c r="K507" s="7" t="s">
        <v>517</v>
      </c>
    </row>
    <row r="508" spans="10:11">
      <c r="J508" s="7">
        <v>507</v>
      </c>
      <c r="K508" s="7" t="s">
        <v>518</v>
      </c>
    </row>
    <row r="509" spans="10:11">
      <c r="J509" s="7">
        <v>508</v>
      </c>
      <c r="K509" s="7" t="s">
        <v>519</v>
      </c>
    </row>
    <row r="510" spans="10:11">
      <c r="J510" s="7">
        <v>509</v>
      </c>
      <c r="K510" s="7" t="s">
        <v>520</v>
      </c>
    </row>
    <row r="511" spans="10:11">
      <c r="J511" s="7">
        <v>510</v>
      </c>
      <c r="K511" s="7" t="s">
        <v>521</v>
      </c>
    </row>
    <row r="512" spans="10:11">
      <c r="J512" s="7">
        <v>511</v>
      </c>
      <c r="K512" s="7" t="s">
        <v>522</v>
      </c>
    </row>
    <row r="513" spans="10:11">
      <c r="J513" s="7">
        <v>512</v>
      </c>
      <c r="K513" s="7" t="s">
        <v>523</v>
      </c>
    </row>
    <row r="514" spans="10:11">
      <c r="J514" s="7">
        <v>513</v>
      </c>
      <c r="K514" s="7" t="s">
        <v>524</v>
      </c>
    </row>
    <row r="515" spans="10:11">
      <c r="J515" s="7">
        <v>514</v>
      </c>
      <c r="K515" s="7" t="s">
        <v>525</v>
      </c>
    </row>
    <row r="516" spans="10:11">
      <c r="J516" s="7">
        <v>515</v>
      </c>
      <c r="K516" s="7" t="s">
        <v>526</v>
      </c>
    </row>
    <row r="517" spans="10:11">
      <c r="J517" s="7">
        <v>516</v>
      </c>
      <c r="K517" s="7" t="s">
        <v>527</v>
      </c>
    </row>
    <row r="518" spans="10:11">
      <c r="J518" s="7">
        <v>517</v>
      </c>
      <c r="K518" s="7" t="s">
        <v>528</v>
      </c>
    </row>
    <row r="519" spans="10:11">
      <c r="J519" s="7">
        <v>518</v>
      </c>
      <c r="K519" s="7" t="s">
        <v>529</v>
      </c>
    </row>
    <row r="520" spans="10:11">
      <c r="J520" s="7">
        <v>519</v>
      </c>
      <c r="K520" s="7" t="s">
        <v>530</v>
      </c>
    </row>
    <row r="521" spans="10:11">
      <c r="J521" s="7">
        <v>520</v>
      </c>
      <c r="K521" s="7" t="s">
        <v>531</v>
      </c>
    </row>
    <row r="522" spans="10:11">
      <c r="J522" s="7">
        <v>521</v>
      </c>
      <c r="K522" s="7" t="s">
        <v>532</v>
      </c>
    </row>
    <row r="523" spans="10:11">
      <c r="J523" s="7">
        <v>522</v>
      </c>
      <c r="K523" s="7" t="s">
        <v>533</v>
      </c>
    </row>
    <row r="524" spans="10:11">
      <c r="J524" s="7">
        <v>523</v>
      </c>
      <c r="K524" s="7" t="s">
        <v>534</v>
      </c>
    </row>
    <row r="525" spans="10:11">
      <c r="J525" s="7">
        <v>524</v>
      </c>
      <c r="K525" s="7" t="s">
        <v>535</v>
      </c>
    </row>
    <row r="526" spans="10:11">
      <c r="J526" s="7">
        <v>525</v>
      </c>
      <c r="K526" s="7" t="s">
        <v>536</v>
      </c>
    </row>
    <row r="527" spans="10:11">
      <c r="J527" s="7">
        <v>526</v>
      </c>
      <c r="K527" s="7" t="s">
        <v>537</v>
      </c>
    </row>
    <row r="528" spans="10:11">
      <c r="J528" s="7">
        <v>527</v>
      </c>
      <c r="K528" s="7" t="s">
        <v>538</v>
      </c>
    </row>
    <row r="529" spans="10:11">
      <c r="J529" s="7">
        <v>528</v>
      </c>
      <c r="K529" s="7" t="s">
        <v>539</v>
      </c>
    </row>
    <row r="530" spans="10:11">
      <c r="J530" s="7">
        <v>529</v>
      </c>
      <c r="K530" s="7" t="s">
        <v>540</v>
      </c>
    </row>
    <row r="531" spans="10:11">
      <c r="J531" s="7">
        <v>530</v>
      </c>
      <c r="K531" s="7" t="s">
        <v>541</v>
      </c>
    </row>
    <row r="532" spans="10:11">
      <c r="J532" s="7">
        <v>531</v>
      </c>
      <c r="K532" s="7" t="s">
        <v>542</v>
      </c>
    </row>
    <row r="533" spans="10:11">
      <c r="J533" s="7">
        <v>532</v>
      </c>
      <c r="K533" s="7" t="s">
        <v>543</v>
      </c>
    </row>
    <row r="534" spans="10:11">
      <c r="J534" s="7">
        <v>533</v>
      </c>
      <c r="K534" s="7" t="s">
        <v>544</v>
      </c>
    </row>
    <row r="535" spans="10:11">
      <c r="J535" s="7">
        <v>534</v>
      </c>
      <c r="K535" s="7" t="s">
        <v>545</v>
      </c>
    </row>
    <row r="536" spans="10:11">
      <c r="J536" s="7">
        <v>535</v>
      </c>
      <c r="K536" s="7" t="s">
        <v>546</v>
      </c>
    </row>
    <row r="537" spans="10:11">
      <c r="J537" s="7">
        <v>536</v>
      </c>
      <c r="K537" s="7" t="s">
        <v>547</v>
      </c>
    </row>
    <row r="538" spans="10:11">
      <c r="J538" s="7">
        <v>537</v>
      </c>
      <c r="K538" s="7" t="s">
        <v>548</v>
      </c>
    </row>
    <row r="539" spans="10:11">
      <c r="J539" s="7">
        <v>538</v>
      </c>
      <c r="K539" s="7" t="s">
        <v>549</v>
      </c>
    </row>
    <row r="540" spans="10:11">
      <c r="J540" s="7">
        <v>539</v>
      </c>
      <c r="K540" s="7" t="s">
        <v>550</v>
      </c>
    </row>
    <row r="541" spans="10:11">
      <c r="J541" s="7">
        <v>540</v>
      </c>
      <c r="K541" s="7" t="s">
        <v>551</v>
      </c>
    </row>
    <row r="542" spans="10:11">
      <c r="J542" s="7">
        <v>541</v>
      </c>
      <c r="K542" s="7" t="s">
        <v>552</v>
      </c>
    </row>
    <row r="543" spans="10:11">
      <c r="J543" s="7">
        <v>542</v>
      </c>
      <c r="K543" s="7" t="s">
        <v>553</v>
      </c>
    </row>
    <row r="544" spans="10:11">
      <c r="J544" s="7">
        <v>543</v>
      </c>
      <c r="K544" s="7" t="s">
        <v>554</v>
      </c>
    </row>
    <row r="545" spans="10:11">
      <c r="J545" s="7">
        <v>544</v>
      </c>
      <c r="K545" s="7" t="s">
        <v>555</v>
      </c>
    </row>
    <row r="546" spans="10:11">
      <c r="J546" s="7">
        <v>545</v>
      </c>
      <c r="K546" s="7" t="s">
        <v>556</v>
      </c>
    </row>
    <row r="547" spans="10:11">
      <c r="J547" s="7">
        <v>546</v>
      </c>
      <c r="K547" s="7" t="s">
        <v>557</v>
      </c>
    </row>
    <row r="548" spans="10:11">
      <c r="J548" s="7">
        <v>547</v>
      </c>
      <c r="K548" s="7" t="s">
        <v>558</v>
      </c>
    </row>
    <row r="549" spans="10:11">
      <c r="J549" s="7">
        <v>548</v>
      </c>
      <c r="K549" s="7" t="s">
        <v>559</v>
      </c>
    </row>
    <row r="550" spans="10:11">
      <c r="J550" s="7">
        <v>549</v>
      </c>
      <c r="K550" s="7" t="s">
        <v>560</v>
      </c>
    </row>
    <row r="551" spans="10:11">
      <c r="J551" s="7">
        <v>550</v>
      </c>
      <c r="K551" s="7" t="s">
        <v>561</v>
      </c>
    </row>
    <row r="552" spans="10:11">
      <c r="J552" s="7">
        <v>551</v>
      </c>
      <c r="K552" s="7" t="s">
        <v>562</v>
      </c>
    </row>
    <row r="553" spans="10:11">
      <c r="J553" s="7">
        <v>552</v>
      </c>
      <c r="K553" s="7" t="s">
        <v>563</v>
      </c>
    </row>
    <row r="554" spans="10:11">
      <c r="J554" s="7">
        <v>553</v>
      </c>
      <c r="K554" s="7" t="s">
        <v>564</v>
      </c>
    </row>
    <row r="555" spans="10:11">
      <c r="J555" s="7">
        <v>554</v>
      </c>
      <c r="K555" s="7" t="s">
        <v>565</v>
      </c>
    </row>
    <row r="556" spans="10:11">
      <c r="J556" s="7">
        <v>555</v>
      </c>
      <c r="K556" s="7" t="s">
        <v>566</v>
      </c>
    </row>
    <row r="557" spans="10:11">
      <c r="J557" s="7">
        <v>556</v>
      </c>
      <c r="K557" s="7" t="s">
        <v>567</v>
      </c>
    </row>
    <row r="558" spans="10:11">
      <c r="J558" s="7">
        <v>557</v>
      </c>
      <c r="K558" s="7" t="s">
        <v>568</v>
      </c>
    </row>
    <row r="559" spans="10:11">
      <c r="J559" s="7">
        <v>558</v>
      </c>
      <c r="K559" s="7" t="s">
        <v>569</v>
      </c>
    </row>
    <row r="560" spans="10:11">
      <c r="J560" s="7">
        <v>559</v>
      </c>
      <c r="K560" s="7" t="s">
        <v>570</v>
      </c>
    </row>
    <row r="561" spans="10:11">
      <c r="J561" s="7">
        <v>560</v>
      </c>
      <c r="K561" s="7" t="s">
        <v>571</v>
      </c>
    </row>
    <row r="562" spans="10:11">
      <c r="J562" s="7">
        <v>561</v>
      </c>
      <c r="K562" s="7" t="s">
        <v>572</v>
      </c>
    </row>
    <row r="563" spans="10:11">
      <c r="J563" s="7">
        <v>562</v>
      </c>
      <c r="K563" s="7" t="s">
        <v>573</v>
      </c>
    </row>
  </sheetData>
  <sheetProtection sheet="1" objects="1" scenarios="1"/>
  <phoneticPr fontId="3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A2"/>
  <sheetViews>
    <sheetView workbookViewId="0"/>
  </sheetViews>
  <sheetFormatPr defaultRowHeight="14.25"/>
  <sheetData>
    <row r="1" spans="1:1" ht="18">
      <c r="A1" s="45" t="s">
        <v>604</v>
      </c>
    </row>
    <row r="2" spans="1:1" ht="18">
      <c r="A2" s="45" t="s">
        <v>605</v>
      </c>
    </row>
  </sheetData>
  <phoneticPr fontId="1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Upload</vt:lpstr>
      <vt:lpstr>Sample</vt:lpstr>
      <vt:lpstr>公式转换</vt:lpstr>
      <vt:lpstr>Notice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J1-7731</dc:creator>
  <cp:lastModifiedBy>BensonChung鐘穎昀7221</cp:lastModifiedBy>
  <cp:lastPrinted>2024-02-22T02:24:19Z</cp:lastPrinted>
  <dcterms:created xsi:type="dcterms:W3CDTF">1996-12-17T01:32:42Z</dcterms:created>
  <dcterms:modified xsi:type="dcterms:W3CDTF">2025-06-12T01:24:30Z</dcterms:modified>
</cp:coreProperties>
</file>