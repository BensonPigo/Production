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7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7" l="1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F22" i="57"/>
  <c r="AC22" i="57"/>
  <c r="B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F21" i="57"/>
  <c r="AC21" i="57"/>
  <c r="B21" i="57" s="1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F20" i="57"/>
  <c r="AC20" i="57"/>
  <c r="B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F19" i="57"/>
  <c r="AC19" i="57"/>
  <c r="B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F18" i="57"/>
  <c r="AC18" i="57"/>
  <c r="B18" i="57" s="1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F17" i="57"/>
  <c r="AC17" i="57"/>
  <c r="B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F16" i="57"/>
  <c r="AC16" i="57"/>
  <c r="B16" i="57" s="1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F15" i="57"/>
  <c r="AC15" i="57"/>
  <c r="B15" i="57" s="1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J14" i="57"/>
  <c r="AI14" i="57"/>
  <c r="AH14" i="57"/>
  <c r="AF14" i="57"/>
  <c r="AC14" i="57"/>
  <c r="B14" i="57" s="1"/>
  <c r="BF13" i="57"/>
  <c r="BE13" i="57"/>
  <c r="BD13" i="57"/>
  <c r="BC13" i="57"/>
  <c r="BB13" i="57"/>
  <c r="BA13" i="57"/>
  <c r="AZ13" i="57"/>
  <c r="AY13" i="57"/>
  <c r="AX13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F13" i="57"/>
  <c r="AC13" i="57"/>
  <c r="B13" i="57" s="1"/>
  <c r="BF12" i="57"/>
  <c r="BE12" i="57"/>
  <c r="BD12" i="57"/>
  <c r="BC12" i="57"/>
  <c r="BB12" i="57"/>
  <c r="BA12" i="57"/>
  <c r="AZ12" i="57"/>
  <c r="AY12" i="57"/>
  <c r="AX12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F12" i="57"/>
  <c r="AC12" i="57"/>
  <c r="B12" i="57"/>
  <c r="BF11" i="57"/>
  <c r="BE11" i="57"/>
  <c r="BD11" i="57"/>
  <c r="BC11" i="57"/>
  <c r="BB11" i="57"/>
  <c r="BA11" i="57"/>
  <c r="AZ11" i="57"/>
  <c r="AY11" i="57"/>
  <c r="AX11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F11" i="57"/>
  <c r="AC11" i="57"/>
  <c r="B11" i="57" s="1"/>
  <c r="BF10" i="57"/>
  <c r="BE10" i="57"/>
  <c r="BD10" i="57"/>
  <c r="BC10" i="57"/>
  <c r="BB10" i="57"/>
  <c r="BA10" i="57"/>
  <c r="AZ10" i="57"/>
  <c r="AY10" i="57"/>
  <c r="AX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F10" i="57"/>
  <c r="AC10" i="57"/>
  <c r="B10" i="57"/>
  <c r="BF9" i="57"/>
  <c r="BE9" i="57"/>
  <c r="BD9" i="57"/>
  <c r="BC9" i="57"/>
  <c r="BB9" i="57"/>
  <c r="BA9" i="57"/>
  <c r="AZ9" i="57"/>
  <c r="AY9" i="57"/>
  <c r="AX9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F9" i="57"/>
  <c r="AC9" i="57"/>
  <c r="B9" i="57"/>
  <c r="BF8" i="57"/>
  <c r="BE8" i="57"/>
  <c r="BD8" i="57"/>
  <c r="BC8" i="57"/>
  <c r="BB8" i="57"/>
  <c r="BA8" i="57"/>
  <c r="AZ8" i="57"/>
  <c r="AY8" i="57"/>
  <c r="AX8" i="57"/>
  <c r="AW8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J8" i="57"/>
  <c r="AI8" i="57"/>
  <c r="AH8" i="57"/>
  <c r="AF8" i="57"/>
  <c r="AC8" i="57"/>
  <c r="AA5" i="57"/>
  <c r="Z5" i="57"/>
  <c r="Y5" i="57"/>
  <c r="X5" i="57"/>
  <c r="W5" i="57"/>
  <c r="V5" i="57"/>
  <c r="U5" i="57"/>
  <c r="T5" i="57"/>
  <c r="S5" i="57"/>
  <c r="R5" i="57"/>
  <c r="AW10" i="57" s="1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AB4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J3" i="57"/>
  <c r="AI3" i="57"/>
  <c r="AH3" i="57"/>
  <c r="AB5" i="57" l="1"/>
  <c r="AC23" i="57"/>
  <c r="AF23" i="57"/>
  <c r="AE3" i="57"/>
  <c r="AE4" i="57" s="1"/>
  <c r="AC4" i="57" s="1"/>
  <c r="B8" i="57"/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<sst xmlns="http://schemas.openxmlformats.org/spreadsheetml/2006/main" count="635" uniqueCount="599">
  <si>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</si>
  <si>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</si>
  <si>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</si>
  <si>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</si>
  <si>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</si>
  <si>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</si>
  <si>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</si>
  <si>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</si>
  <si>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</si>
  <si>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</si>
  <si>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</si>
  <si>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</si>
  <si>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</si>
  <si>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</si>
  <si>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</si>
  <si>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</si>
  <si>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</si>
  <si>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</si>
  <si>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</si>
  <si>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</si>
  <si>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</si>
  <si>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</si>
  <si>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</si>
  <si>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</si>
  <si>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</si>
  <si>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</si>
  <si>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</si>
  <si>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</si>
  <si>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</si>
  <si>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</si>
  <si>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</si>
  <si>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</si>
  <si>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</si>
  <si>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</si>
  <si>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</si>
  <si>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</si>
  <si>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</si>
  <si>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</si>
  <si>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</si>
  <si>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</si>
  <si>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</si>
  <si>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</si>
  <si>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</si>
  <si>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</si>
  <si>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</si>
  <si>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</si>
  <si>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</si>
  <si>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</si>
  <si>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</si>
  <si>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</si>
  <si>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</si>
  <si>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</si>
  <si>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</si>
  <si>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</si>
  <si>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</si>
  <si>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</si>
  <si>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</si>
  <si>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</si>
  <si>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</si>
  <si>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</si>
  <si>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</si>
  <si>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</si>
  <si>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</si>
  <si>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</si>
  <si>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</si>
  <si>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</si>
  <si>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</si>
  <si>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</si>
  <si>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</si>
  <si>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</si>
  <si>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</si>
  <si>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</si>
  <si>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</si>
  <si>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</si>
  <si>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</si>
  <si>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</si>
  <si>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</si>
  <si>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</si>
  <si>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</si>
  <si>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</si>
  <si>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</si>
  <si>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</si>
  <si>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</si>
  <si>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</si>
  <si>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</si>
  <si>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</si>
  <si>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</si>
  <si>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</si>
  <si>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</si>
  <si>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</si>
  <si>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</si>
  <si>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</si>
  <si>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</si>
  <si>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</si>
  <si>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</si>
  <si>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</si>
  <si>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</si>
  <si>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</si>
  <si>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</si>
  <si>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</si>
  <si>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</si>
  <si>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</si>
  <si>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</si>
  <si>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</si>
  <si>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</si>
  <si>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</si>
  <si>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</si>
  <si>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</si>
  <si>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</si>
  <si>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</si>
  <si>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</si>
  <si>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</si>
  <si>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</si>
  <si>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</si>
  <si>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</si>
  <si>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</si>
  <si>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</si>
  <si>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</si>
  <si>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</si>
  <si>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</si>
  <si>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</si>
  <si>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</si>
  <si>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</si>
  <si>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</si>
  <si>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</si>
  <si>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</si>
  <si>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</si>
  <si>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</si>
  <si>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</si>
  <si>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</si>
  <si>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</si>
  <si>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</si>
  <si>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</si>
  <si>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</si>
  <si>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</si>
  <si>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</si>
  <si>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</si>
  <si>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</si>
  <si>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</si>
  <si>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</si>
  <si>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</si>
  <si>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</si>
  <si>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</si>
  <si>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</si>
  <si>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</si>
  <si>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</si>
  <si>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</si>
  <si>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</si>
  <si>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</si>
  <si>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</si>
  <si>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</si>
  <si>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</si>
  <si>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</si>
  <si>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</si>
  <si>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</si>
  <si>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</si>
  <si>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</si>
  <si>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</si>
  <si>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</si>
  <si>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</si>
  <si>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</si>
  <si>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</si>
  <si>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</si>
  <si>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</si>
  <si>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</si>
  <si>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</si>
  <si>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</si>
  <si>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</si>
  <si>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</si>
  <si>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</si>
  <si>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</si>
  <si>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</si>
  <si>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</si>
  <si>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</si>
  <si>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</si>
  <si>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</si>
  <si>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</si>
  <si>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</si>
  <si>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</si>
  <si>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</si>
  <si>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</si>
  <si>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</si>
  <si>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</si>
  <si>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</si>
  <si>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</si>
  <si>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</si>
  <si>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</si>
  <si>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</si>
  <si>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</si>
  <si>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</si>
  <si>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</si>
  <si>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</si>
  <si>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</si>
  <si>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</si>
  <si>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</si>
  <si>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</si>
  <si>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</si>
  <si>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</si>
  <si>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</si>
  <si>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</si>
  <si>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</si>
  <si>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</si>
  <si>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</si>
  <si>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</si>
  <si>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</si>
  <si>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</si>
  <si>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</si>
  <si>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</si>
  <si>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</si>
  <si>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</si>
  <si>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</si>
  <si>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</si>
  <si>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</si>
  <si>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</si>
  <si>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</si>
  <si>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</si>
  <si>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</si>
  <si>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</si>
  <si>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</si>
  <si>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</si>
  <si>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</si>
  <si>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</si>
  <si>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</si>
  <si>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</si>
  <si>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</si>
  <si>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</si>
  <si>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</si>
  <si>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</si>
  <si>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</si>
  <si>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</si>
  <si>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</si>
  <si>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</si>
  <si>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</si>
  <si>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</si>
  <si>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</si>
  <si>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</si>
  <si>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</si>
  <si>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</si>
  <si>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</si>
  <si>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</si>
  <si>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</si>
  <si>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</si>
  <si>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</si>
  <si>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</si>
  <si>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</si>
  <si>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</si>
  <si>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</si>
  <si>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</si>
  <si>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</si>
  <si>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</si>
  <si>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</si>
  <si>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</si>
  <si>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</si>
  <si>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</si>
  <si>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</si>
  <si>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</si>
  <si>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</si>
  <si>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</si>
  <si>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</si>
  <si>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</si>
  <si>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</si>
  <si>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</si>
  <si>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</si>
  <si>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</si>
  <si>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</si>
  <si>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</si>
  <si>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</si>
  <si>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</si>
  <si>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</si>
  <si>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</si>
  <si>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</si>
  <si>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</si>
  <si>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</si>
  <si>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</si>
  <si>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</si>
  <si>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</si>
  <si>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</si>
  <si>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</si>
  <si>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</si>
  <si>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</si>
  <si>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</si>
  <si>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</si>
  <si>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</si>
  <si>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</si>
  <si>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</si>
  <si>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</si>
  <si>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</si>
  <si>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</si>
  <si>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</si>
  <si>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</si>
  <si>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</si>
  <si>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</si>
  <si>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</si>
  <si>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</si>
  <si>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</si>
  <si>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</si>
  <si>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</si>
  <si>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</si>
  <si>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</si>
  <si>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</si>
  <si>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</si>
  <si>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</si>
  <si>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</si>
  <si>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</si>
  <si>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</si>
  <si>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</si>
  <si>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</si>
  <si>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</si>
  <si>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</si>
  <si>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</si>
  <si>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</si>
  <si>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</si>
  <si>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</si>
  <si>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</si>
  <si>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</si>
  <si>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</si>
  <si>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</si>
  <si>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</si>
  <si>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</si>
  <si>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</si>
  <si>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</si>
  <si>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</si>
  <si>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</si>
  <si>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</si>
  <si>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</si>
  <si>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</si>
  <si>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</si>
  <si>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</si>
  <si>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</si>
  <si>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</si>
  <si>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</si>
  <si>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</si>
  <si>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</si>
  <si>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</si>
  <si>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</si>
  <si>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</si>
  <si>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</si>
  <si>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</si>
  <si>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</si>
  <si>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</si>
  <si>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</si>
  <si>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</si>
  <si>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</si>
  <si>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</si>
  <si>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</si>
  <si>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</si>
  <si>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</si>
  <si>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</si>
  <si>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</si>
  <si>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</si>
  <si>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</si>
  <si>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</si>
  <si>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</si>
  <si>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</si>
  <si>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</si>
  <si>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</si>
  <si>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</si>
  <si>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</si>
  <si>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</si>
  <si>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</si>
  <si>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</si>
  <si>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</si>
  <si>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</si>
  <si>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</si>
  <si>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</si>
  <si>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</si>
  <si>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</si>
  <si>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</si>
  <si>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</si>
  <si>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</si>
  <si>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</si>
  <si>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</si>
  <si>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</si>
  <si>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</si>
  <si>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</si>
  <si>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</si>
  <si>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</si>
  <si>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</si>
  <si>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</si>
  <si>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</si>
  <si>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</si>
  <si>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</si>
  <si>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</si>
  <si>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</si>
  <si>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</si>
  <si>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</si>
  <si>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</si>
  <si>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</si>
  <si>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</si>
  <si>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</si>
  <si>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</si>
  <si>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</si>
  <si>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</si>
  <si>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</si>
  <si>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</si>
  <si>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</si>
  <si>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</si>
  <si>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</si>
  <si>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</si>
  <si>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</si>
  <si>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</si>
  <si>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</si>
  <si>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</si>
  <si>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</si>
  <si>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</si>
  <si>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</si>
  <si>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</si>
  <si>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</si>
  <si>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</si>
  <si>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</si>
  <si>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</si>
  <si>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</si>
  <si>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</si>
  <si>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</si>
  <si>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</si>
  <si>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</si>
  <si>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</si>
  <si>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</si>
  <si>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</si>
  <si>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</si>
  <si>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</si>
  <si>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</si>
  <si>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</si>
  <si>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</si>
  <si>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</si>
  <si>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</si>
  <si>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</si>
  <si>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</si>
  <si>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</si>
  <si>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</si>
  <si>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</si>
  <si>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</si>
  <si>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</si>
  <si>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</si>
  <si>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</si>
  <si>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</si>
  <si>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</si>
  <si>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</si>
  <si>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</si>
  <si>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</si>
  <si>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</si>
  <si>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</si>
  <si>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</si>
  <si>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</si>
  <si>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</si>
  <si>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</si>
  <si>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</si>
  <si>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</si>
  <si>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</si>
  <si>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</si>
  <si>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</si>
  <si>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</si>
  <si>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</si>
  <si>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</si>
  <si>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</si>
  <si>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</si>
  <si>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</si>
  <si>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</si>
  <si>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</si>
  <si>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</si>
  <si>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</si>
  <si>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</si>
  <si>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</si>
  <si>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</si>
  <si>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</si>
  <si>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</si>
  <si>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</si>
  <si>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</si>
  <si>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</si>
  <si>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</si>
  <si>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</si>
  <si>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</si>
  <si>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</si>
  <si>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</si>
  <si>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</si>
  <si>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</si>
  <si>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</si>
  <si>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</si>
  <si>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</si>
  <si>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</si>
  <si>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</si>
  <si>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</si>
  <si>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</si>
  <si>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</si>
  <si>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</si>
  <si>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</si>
  <si>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</si>
  <si>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</si>
  <si>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</si>
  <si>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</si>
  <si>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</si>
  <si>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</si>
  <si>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</si>
  <si>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</si>
  <si>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</si>
  <si>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</si>
  <si>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</si>
  <si>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</si>
  <si>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</si>
  <si>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</si>
  <si>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</si>
  <si>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</si>
  <si>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</si>
  <si>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</si>
  <si>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</si>
  <si>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</si>
  <si>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</si>
  <si>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</si>
  <si>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</si>
  <si>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</si>
  <si>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</si>
  <si>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</si>
  <si>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</si>
  <si>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</si>
  <si>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</si>
  <si>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</si>
  <si>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</si>
  <si>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</si>
  <si>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</si>
  <si>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</si>
  <si>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</si>
  <si>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</si>
  <si>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</si>
  <si>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</si>
  <si>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</si>
  <si>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</si>
  <si>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</si>
  <si>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</si>
  <si>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</si>
  <si>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</si>
  <si>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</si>
  <si>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</si>
  <si>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</si>
  <si>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</si>
  <si>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</si>
  <si>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</si>
  <si>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</si>
  <si>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</si>
  <si>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</si>
  <si>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</si>
  <si>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</si>
  <si>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</si>
  <si>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</si>
  <si>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</si>
  <si>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</si>
  <si>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</si>
  <si>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</si>
  <si>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</si>
  <si>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</si>
  <si>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</si>
  <si>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</si>
  <si>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</si>
  <si>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</si>
  <si>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</si>
  <si>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</si>
  <si>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</si>
  <si>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</si>
  <si>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</si>
  <si>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</si>
  <si>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</si>
  <si>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</si>
  <si>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</si>
  <si>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</si>
  <si>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</si>
  <si>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</si>
  <si>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</si>
  <si>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</si>
  <si>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</si>
  <si>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</si>
  <si>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</si>
  <si>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</si>
  <si>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</si>
  <si>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</si>
  <si>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</si>
  <si>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</si>
  <si>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</si>
  <si>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</si>
  <si>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</si>
  <si>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</si>
  <si>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</si>
  <si>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</si>
  <si>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</si>
  <si>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</si>
  <si>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</si>
  <si>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</si>
  <si>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</si>
  <si>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</si>
  <si>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</si>
  <si>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</si>
  <si>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</si>
  <si>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</si>
  <si>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</si>
  <si>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</si>
  <si>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</si>
  <si>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</si>
  <si>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s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</si>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</sst>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&quot;MK-&quot;###"/>
    <numFmt numFmtId="181" formatCode="m&quot;月&quot;d&quot;日&quot;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6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</cellXfs>
  <cellStyles count="89">
    <cellStyle name="Comma 2" xfId="3"/>
    <cellStyle name="Comma 2 2" xfId="4"/>
    <cellStyle name="Comma 2 2 2" xfId="5"/>
    <cellStyle name="Comma 2 3" xfId="6"/>
    <cellStyle name="Hyperlink" xfId="1" builtinId="8"/>
    <cellStyle name="Normal" xfId="0" builtinId="0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sqref="A1:AF1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78" t="s">
        <v>576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33" t="s">
        <v>1</v>
      </c>
      <c r="AH1" s="79"/>
      <c r="AI1" s="59"/>
      <c r="AJ1" s="59"/>
      <c r="AK1" s="59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80"/>
      <c r="C2" s="80"/>
      <c r="D2" s="80"/>
      <c r="E2" s="80"/>
      <c r="F2" s="26" t="s">
        <v>9</v>
      </c>
      <c r="G2" s="80"/>
      <c r="H2" s="80"/>
      <c r="I2" s="80"/>
      <c r="J2" s="80"/>
      <c r="K2" s="81"/>
      <c r="L2" s="82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50" t="s">
        <v>596</v>
      </c>
      <c r="D3" s="73"/>
      <c r="E3" s="51"/>
      <c r="F3" s="74"/>
      <c r="G3" s="75"/>
      <c r="H3" s="76"/>
      <c r="I3" s="50" t="s">
        <v>594</v>
      </c>
      <c r="J3" s="51"/>
      <c r="K3" s="52"/>
      <c r="L3" s="53"/>
      <c r="M3" s="50" t="s">
        <v>597</v>
      </c>
      <c r="N3" s="51"/>
      <c r="O3" s="52"/>
      <c r="P3" s="53"/>
      <c r="Q3" s="48"/>
      <c r="R3" s="48"/>
      <c r="S3" s="48"/>
      <c r="T3" s="48"/>
      <c r="U3" s="48"/>
      <c r="V3" s="48"/>
      <c r="W3" s="48"/>
      <c r="X3" s="48"/>
      <c r="Y3" s="48"/>
      <c r="Z3" s="48"/>
      <c r="AA3" s="49"/>
      <c r="AB3" s="62"/>
      <c r="AC3" s="62"/>
      <c r="AD3" s="62"/>
      <c r="AE3" s="62"/>
      <c r="AF3" s="62"/>
      <c r="AG3" s="62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4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8" t="s">
        <v>577</v>
      </c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65" t="s">
        <v>590</v>
      </c>
      <c r="AC4" s="58" t="s">
        <v>579</v>
      </c>
      <c r="AD4" s="58"/>
      <c r="AE4" s="66"/>
      <c r="AF4" s="59"/>
      <c r="AG4" s="67"/>
      <c r="AH4" s="70" t="s">
        <v>577</v>
      </c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2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65"/>
      <c r="AC5" s="58" t="s">
        <v>580</v>
      </c>
      <c r="AD5" s="58"/>
      <c r="AE5" s="57">
        <f>SUM(AF10:AF24)</f>
        <v>0</v>
      </c>
      <c r="AF5" s="57"/>
      <c r="AG5" s="68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55" t="s">
        <v>581</v>
      </c>
      <c r="B6" s="55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56" t="str">
        <f>IF(AE6&lt;5,"NO ",IF(AE6=5,"OK",IF(AE6&gt;5,"OK")))</f>
        <v xml:space="preserve">NO </v>
      </c>
      <c r="AD6" s="56"/>
      <c r="AE6" s="57">
        <f>AE4-AE5-AE7</f>
        <v>0</v>
      </c>
      <c r="AF6" s="57"/>
      <c r="AG6" s="68"/>
      <c r="AH6" s="77" t="s">
        <v>593</v>
      </c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34"/>
    </row>
    <row r="7" spans="1:59" customFormat="1" ht="15">
      <c r="A7" s="55" t="s">
        <v>588</v>
      </c>
      <c r="B7" s="55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8" t="s">
        <v>587</v>
      </c>
      <c r="AD7" s="58"/>
      <c r="AE7" s="59"/>
      <c r="AF7" s="59"/>
      <c r="AG7" s="68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34"/>
    </row>
    <row r="8" spans="1:59" customFormat="1" ht="15">
      <c r="A8" s="60" t="s">
        <v>591</v>
      </c>
      <c r="B8" s="58" t="s">
        <v>10</v>
      </c>
      <c r="C8" s="58" t="s">
        <v>0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 t="s">
        <v>8</v>
      </c>
      <c r="AC8" s="60" t="s">
        <v>581</v>
      </c>
      <c r="AD8" s="60" t="s">
        <v>582</v>
      </c>
      <c r="AE8" s="60"/>
      <c r="AF8" s="61" t="s">
        <v>583</v>
      </c>
      <c r="AG8" s="68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34"/>
    </row>
    <row r="9" spans="1:59" customFormat="1" ht="1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60"/>
      <c r="AD9" s="27" t="s">
        <v>584</v>
      </c>
      <c r="AE9" s="27" t="s">
        <v>585</v>
      </c>
      <c r="AF9" s="61"/>
      <c r="AG9" s="68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34"/>
    </row>
    <row r="10" spans="1:59" customFormat="1">
      <c r="A10" s="83"/>
      <c r="B10" s="41" t="str">
        <f>IF(AC10="","",IF(AC10&gt;0,1,0))</f>
        <v/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68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84"/>
      <c r="B11" s="41" t="str">
        <f t="shared" ref="B11:B24" si="17">IF(AC11="","",IF(AC11=0,"",IF(B10="","",B10+1)))</f>
        <v/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68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84"/>
      <c r="B12" s="41" t="str">
        <f t="shared" si="17"/>
        <v/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 t="s">
        <v>595</v>
      </c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68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e">
        <f t="shared" si="16"/>
        <v>#VALUE!</v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84"/>
      <c r="B13" s="41" t="str">
        <f t="shared" si="17"/>
        <v/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68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84"/>
      <c r="B14" s="41" t="str">
        <f t="shared" si="17"/>
        <v/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68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84"/>
      <c r="B15" s="41" t="str">
        <f t="shared" si="17"/>
        <v/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8">IF(AB15="","",(AD15+(AE15/36))*AB15)</f>
        <v/>
      </c>
      <c r="AG15" s="68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84"/>
      <c r="B16" s="41" t="str">
        <f t="shared" si="17"/>
        <v/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8"/>
        <v/>
      </c>
      <c r="AG16" s="68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84"/>
      <c r="B17" s="41" t="str">
        <f t="shared" si="17"/>
        <v/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8"/>
        <v/>
      </c>
      <c r="AG17" s="68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84"/>
      <c r="B18" s="41" t="str">
        <f t="shared" si="17"/>
        <v/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8"/>
        <v/>
      </c>
      <c r="AG18" s="68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84"/>
      <c r="B19" s="41" t="str">
        <f t="shared" si="17"/>
        <v/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8"/>
        <v/>
      </c>
      <c r="AG19" s="68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84"/>
      <c r="B20" s="41" t="str">
        <f t="shared" si="17"/>
        <v/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8"/>
        <v/>
      </c>
      <c r="AG20" s="68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84"/>
      <c r="B21" s="41" t="str">
        <f t="shared" si="17"/>
        <v/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8"/>
        <v/>
      </c>
      <c r="AG21" s="68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84"/>
      <c r="B22" s="41" t="str">
        <f t="shared" si="17"/>
        <v/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8"/>
        <v/>
      </c>
      <c r="AG22" s="68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84"/>
      <c r="B23" s="41" t="str">
        <f t="shared" si="17"/>
        <v/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8"/>
        <v/>
      </c>
      <c r="AG23" s="68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85"/>
      <c r="B24" s="41" t="str">
        <f t="shared" si="17"/>
        <v/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8"/>
        <v/>
      </c>
      <c r="AG24" s="69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54" t="s">
        <v>586</v>
      </c>
      <c r="AB25" s="54"/>
      <c r="AC25" s="23">
        <f>SUM(AC10:AC24)</f>
        <v>0</v>
      </c>
      <c r="AD25" s="54" t="s">
        <v>592</v>
      </c>
      <c r="AE25" s="54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10:A24"/>
    <mergeCell ref="A1:AF1"/>
    <mergeCell ref="AH1:AK1"/>
    <mergeCell ref="B2:E2"/>
    <mergeCell ref="G2:J2"/>
    <mergeCell ref="K2:L2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M3:N3"/>
    <mergeCell ref="O3:P3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B10:B24 AB6 AE5:AF5 C7:AB7 AH10:BF24 AH5:BF5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/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50" t="s">
        <v>596</v>
      </c>
      <c r="D1" s="73"/>
      <c r="E1" s="51"/>
      <c r="F1" s="74"/>
      <c r="G1" s="75"/>
      <c r="H1" s="76"/>
      <c r="I1" s="50" t="s">
        <v>594</v>
      </c>
      <c r="J1" s="51"/>
      <c r="K1" s="52"/>
      <c r="L1" s="53"/>
      <c r="M1" s="50" t="s">
        <v>598</v>
      </c>
      <c r="N1" s="51"/>
      <c r="O1" s="52"/>
      <c r="P1" s="53"/>
      <c r="Q1" s="48"/>
      <c r="R1" s="48"/>
      <c r="S1" s="48"/>
      <c r="T1" s="48"/>
      <c r="U1" s="48"/>
      <c r="V1" s="48"/>
      <c r="W1" s="48"/>
      <c r="X1" s="48"/>
      <c r="Y1" s="48"/>
      <c r="Z1" s="48"/>
      <c r="AA1" s="49"/>
      <c r="AB1" s="62"/>
      <c r="AC1" s="62"/>
      <c r="AD1" s="62"/>
      <c r="AE1" s="62"/>
      <c r="AF1" s="62"/>
      <c r="AG1" s="62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4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3" t="s">
        <v>589</v>
      </c>
      <c r="B2" s="12"/>
      <c r="C2" s="58" t="s">
        <v>577</v>
      </c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65" t="s">
        <v>590</v>
      </c>
      <c r="AC2" s="58" t="s">
        <v>579</v>
      </c>
      <c r="AD2" s="58"/>
      <c r="AE2" s="66"/>
      <c r="AF2" s="59"/>
      <c r="AG2" s="67"/>
      <c r="AH2" s="70" t="s">
        <v>577</v>
      </c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2"/>
      <c r="BG2" s="34"/>
    </row>
    <row r="3" spans="1:59" customFormat="1" ht="15">
      <c r="A3" s="42" t="s">
        <v>7</v>
      </c>
      <c r="B3" s="12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65"/>
      <c r="AC3" s="58" t="s">
        <v>580</v>
      </c>
      <c r="AD3" s="58"/>
      <c r="AE3" s="57">
        <f>SUM(AF8:AF22)</f>
        <v>0</v>
      </c>
      <c r="AF3" s="57"/>
      <c r="AG3" s="68"/>
      <c r="AH3" s="46" t="str">
        <f t="shared" ref="AH3:AU3" si="0">IF(C3="", "", C3)</f>
        <v/>
      </c>
      <c r="AI3" s="46" t="str">
        <f t="shared" si="0"/>
        <v/>
      </c>
      <c r="AJ3" s="46" t="str">
        <f t="shared" si="0"/>
        <v/>
      </c>
      <c r="AK3" s="46" t="str">
        <f t="shared" si="0"/>
        <v/>
      </c>
      <c r="AL3" s="46" t="str">
        <f t="shared" si="0"/>
        <v/>
      </c>
      <c r="AM3" s="46" t="str">
        <f t="shared" si="0"/>
        <v/>
      </c>
      <c r="AN3" s="46" t="str">
        <f t="shared" si="0"/>
        <v/>
      </c>
      <c r="AO3" s="46" t="str">
        <f t="shared" si="0"/>
        <v/>
      </c>
      <c r="AP3" s="46" t="str">
        <f t="shared" si="0"/>
        <v/>
      </c>
      <c r="AQ3" s="46" t="str">
        <f t="shared" si="0"/>
        <v/>
      </c>
      <c r="AR3" s="46" t="str">
        <f t="shared" si="0"/>
        <v/>
      </c>
      <c r="AS3" s="46" t="str">
        <f t="shared" si="0"/>
        <v/>
      </c>
      <c r="AT3" s="46" t="str">
        <f t="shared" si="0"/>
        <v/>
      </c>
      <c r="AU3" s="46" t="str">
        <f t="shared" si="0"/>
        <v/>
      </c>
      <c r="AV3" s="46" t="str">
        <f>IF(Q3="", "", Q3)</f>
        <v/>
      </c>
      <c r="AW3" s="46" t="str">
        <f t="shared" ref="AW3:BF3" si="1">IF(R3="", "", R3)</f>
        <v/>
      </c>
      <c r="AX3" s="46" t="str">
        <f t="shared" si="1"/>
        <v/>
      </c>
      <c r="AY3" s="46" t="str">
        <f t="shared" si="1"/>
        <v/>
      </c>
      <c r="AZ3" s="46" t="str">
        <f t="shared" si="1"/>
        <v/>
      </c>
      <c r="BA3" s="46" t="str">
        <f t="shared" si="1"/>
        <v/>
      </c>
      <c r="BB3" s="46" t="str">
        <f t="shared" si="1"/>
        <v/>
      </c>
      <c r="BC3" s="46" t="str">
        <f t="shared" si="1"/>
        <v/>
      </c>
      <c r="BD3" s="46" t="str">
        <f t="shared" si="1"/>
        <v/>
      </c>
      <c r="BE3" s="46" t="str">
        <f t="shared" si="1"/>
        <v/>
      </c>
      <c r="BF3" s="46" t="str">
        <f t="shared" si="1"/>
        <v/>
      </c>
      <c r="BG3" s="34"/>
    </row>
    <row r="4" spans="1:59" customFormat="1" ht="15">
      <c r="A4" s="55" t="s">
        <v>581</v>
      </c>
      <c r="B4" s="55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19">
        <f>SUM(C4:AA4)</f>
        <v>0</v>
      </c>
      <c r="AC4" s="56" t="str">
        <f>IF(AE4&lt;5,"NO ",IF(AE4=5,"OK",IF(AE4&gt;5,"OK")))</f>
        <v xml:space="preserve">NO </v>
      </c>
      <c r="AD4" s="56"/>
      <c r="AE4" s="57">
        <f>AE2-AE3-AE5</f>
        <v>0</v>
      </c>
      <c r="AF4" s="57"/>
      <c r="AG4" s="68"/>
      <c r="AH4" s="77" t="s">
        <v>593</v>
      </c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34"/>
    </row>
    <row r="5" spans="1:59" customFormat="1" ht="15">
      <c r="A5" s="55" t="s">
        <v>588</v>
      </c>
      <c r="B5" s="55"/>
      <c r="C5" s="47" t="str">
        <f t="shared" ref="C5:AA5" si="2">IF(C3="","",C4-C8*$AB8-C9*$AB9-C10*$AB10-C11*$AB11-C12*$AB12-C13*$AB13-C14*$AB14-C15*$AB15-C16*$AB16-C17*$AB17-C18*$AB18-C19*$AB19-C20*$AB20-C21*$AB21-C22*$AB22)</f>
        <v/>
      </c>
      <c r="D5" s="47" t="str">
        <f t="shared" si="2"/>
        <v/>
      </c>
      <c r="E5" s="47" t="str">
        <f t="shared" si="2"/>
        <v/>
      </c>
      <c r="F5" s="47" t="str">
        <f t="shared" si="2"/>
        <v/>
      </c>
      <c r="G5" s="47" t="str">
        <f t="shared" si="2"/>
        <v/>
      </c>
      <c r="H5" s="47" t="str">
        <f t="shared" si="2"/>
        <v/>
      </c>
      <c r="I5" s="47" t="str">
        <f t="shared" si="2"/>
        <v/>
      </c>
      <c r="J5" s="47" t="str">
        <f t="shared" si="2"/>
        <v/>
      </c>
      <c r="K5" s="47" t="str">
        <f t="shared" si="2"/>
        <v/>
      </c>
      <c r="L5" s="47" t="str">
        <f t="shared" si="2"/>
        <v/>
      </c>
      <c r="M5" s="47" t="str">
        <f t="shared" si="2"/>
        <v/>
      </c>
      <c r="N5" s="47" t="str">
        <f t="shared" si="2"/>
        <v/>
      </c>
      <c r="O5" s="47" t="str">
        <f t="shared" si="2"/>
        <v/>
      </c>
      <c r="P5" s="47" t="str">
        <f t="shared" si="2"/>
        <v/>
      </c>
      <c r="Q5" s="47" t="str">
        <f t="shared" si="2"/>
        <v/>
      </c>
      <c r="R5" s="47" t="str">
        <f t="shared" si="2"/>
        <v/>
      </c>
      <c r="S5" s="47" t="str">
        <f t="shared" si="2"/>
        <v/>
      </c>
      <c r="T5" s="47" t="str">
        <f t="shared" si="2"/>
        <v/>
      </c>
      <c r="U5" s="47" t="str">
        <f t="shared" si="2"/>
        <v/>
      </c>
      <c r="V5" s="47" t="str">
        <f t="shared" si="2"/>
        <v/>
      </c>
      <c r="W5" s="47" t="str">
        <f t="shared" si="2"/>
        <v/>
      </c>
      <c r="X5" s="47" t="str">
        <f t="shared" si="2"/>
        <v/>
      </c>
      <c r="Y5" s="47" t="str">
        <f t="shared" si="2"/>
        <v/>
      </c>
      <c r="Z5" s="47" t="str">
        <f t="shared" si="2"/>
        <v/>
      </c>
      <c r="AA5" s="47" t="str">
        <f t="shared" si="2"/>
        <v/>
      </c>
      <c r="AB5" s="47">
        <f>SUM(C5:AA5)</f>
        <v>0</v>
      </c>
      <c r="AC5" s="58" t="s">
        <v>587</v>
      </c>
      <c r="AD5" s="58"/>
      <c r="AE5" s="59"/>
      <c r="AF5" s="59"/>
      <c r="AG5" s="68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34"/>
    </row>
    <row r="6" spans="1:59" customFormat="1" ht="15">
      <c r="A6" s="60" t="s">
        <v>591</v>
      </c>
      <c r="B6" s="58" t="s">
        <v>10</v>
      </c>
      <c r="C6" s="58" t="s">
        <v>0</v>
      </c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 t="s">
        <v>8</v>
      </c>
      <c r="AC6" s="60" t="s">
        <v>581</v>
      </c>
      <c r="AD6" s="60" t="s">
        <v>582</v>
      </c>
      <c r="AE6" s="60"/>
      <c r="AF6" s="61" t="s">
        <v>583</v>
      </c>
      <c r="AG6" s="68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34"/>
    </row>
    <row r="7" spans="1:59" customFormat="1" ht="15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60"/>
      <c r="AD7" s="45" t="s">
        <v>584</v>
      </c>
      <c r="AE7" s="45" t="s">
        <v>585</v>
      </c>
      <c r="AF7" s="61"/>
      <c r="AG7" s="68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34"/>
    </row>
    <row r="8" spans="1:59" customFormat="1">
      <c r="A8" s="83"/>
      <c r="B8" s="41" t="str">
        <f>IF(AC8="","",IF(AC8&gt;0,1,0))</f>
        <v/>
      </c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20" t="str">
        <f t="shared" ref="AC8:AC22" si="3">IF(AB8="","",SUM(C8:AA8)*AB8)</f>
        <v/>
      </c>
      <c r="AD8" s="44"/>
      <c r="AE8" s="44"/>
      <c r="AF8" s="19" t="str">
        <f>IF(AB8="","",(AD8+(AE8/36))*AB8)</f>
        <v/>
      </c>
      <c r="AG8" s="68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84"/>
      <c r="B9" s="41" t="str">
        <f t="shared" ref="B9:B22" si="6">IF(AC9="","",IF(AC9=0,"",IF(B8="","",B8+1)))</f>
        <v/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20" t="str">
        <f t="shared" si="3"/>
        <v/>
      </c>
      <c r="AD9" s="44"/>
      <c r="AE9" s="44"/>
      <c r="AF9" s="19" t="str">
        <f>IF(AB9="","",(AD9+(AE9/36))*AB9)</f>
        <v/>
      </c>
      <c r="AG9" s="68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84"/>
      <c r="B10" s="41" t="str">
        <f t="shared" si="6"/>
        <v/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 t="s">
        <v>595</v>
      </c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20" t="str">
        <f t="shared" si="3"/>
        <v/>
      </c>
      <c r="AD10" s="44"/>
      <c r="AE10" s="44"/>
      <c r="AF10" s="19" t="str">
        <f>IF(AB10="","",(AD10+(AE10/36))*AB10)</f>
        <v/>
      </c>
      <c r="AG10" s="68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e">
        <f t="shared" si="5"/>
        <v>#VALUE!</v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84"/>
      <c r="B11" s="41" t="str">
        <f t="shared" si="6"/>
        <v/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20" t="str">
        <f t="shared" si="3"/>
        <v/>
      </c>
      <c r="AD11" s="44"/>
      <c r="AE11" s="44"/>
      <c r="AF11" s="19" t="str">
        <f>IF(AB11="","",(AD11+(AE11/36))*AB11)</f>
        <v/>
      </c>
      <c r="AG11" s="68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84"/>
      <c r="B12" s="41" t="str">
        <f t="shared" si="6"/>
        <v/>
      </c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20" t="str">
        <f t="shared" si="3"/>
        <v/>
      </c>
      <c r="AD12" s="44"/>
      <c r="AE12" s="44"/>
      <c r="AF12" s="19" t="str">
        <f>IF(AB12="","",(AD12+(AE12/36))*AB12)</f>
        <v/>
      </c>
      <c r="AG12" s="68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84"/>
      <c r="B13" s="41" t="str">
        <f t="shared" si="6"/>
        <v/>
      </c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20" t="str">
        <f t="shared" si="3"/>
        <v/>
      </c>
      <c r="AD13" s="13"/>
      <c r="AE13" s="13"/>
      <c r="AF13" s="19" t="str">
        <f t="shared" ref="AF13:AF22" si="7">IF(AB13="","",(AD13+(AE13/36))*AB13)</f>
        <v/>
      </c>
      <c r="AG13" s="68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84"/>
      <c r="B14" s="41" t="str">
        <f t="shared" si="6"/>
        <v/>
      </c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20" t="str">
        <f t="shared" si="3"/>
        <v/>
      </c>
      <c r="AD14" s="13"/>
      <c r="AE14" s="13"/>
      <c r="AF14" s="19" t="str">
        <f t="shared" si="7"/>
        <v/>
      </c>
      <c r="AG14" s="68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84"/>
      <c r="B15" s="41" t="str">
        <f t="shared" si="6"/>
        <v/>
      </c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20" t="str">
        <f t="shared" si="3"/>
        <v/>
      </c>
      <c r="AD15" s="13"/>
      <c r="AE15" s="13"/>
      <c r="AF15" s="19" t="str">
        <f t="shared" si="7"/>
        <v/>
      </c>
      <c r="AG15" s="68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84"/>
      <c r="B16" s="41" t="str">
        <f t="shared" si="6"/>
        <v/>
      </c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0" t="str">
        <f t="shared" si="3"/>
        <v/>
      </c>
      <c r="AD16" s="13"/>
      <c r="AE16" s="13"/>
      <c r="AF16" s="19" t="str">
        <f t="shared" si="7"/>
        <v/>
      </c>
      <c r="AG16" s="68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84"/>
      <c r="B17" s="41" t="str">
        <f t="shared" si="6"/>
        <v/>
      </c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20" t="str">
        <f t="shared" si="3"/>
        <v/>
      </c>
      <c r="AD17" s="13"/>
      <c r="AE17" s="13"/>
      <c r="AF17" s="19" t="str">
        <f t="shared" si="7"/>
        <v/>
      </c>
      <c r="AG17" s="68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84"/>
      <c r="B18" s="41" t="str">
        <f t="shared" si="6"/>
        <v/>
      </c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25"/>
      <c r="Z18" s="44"/>
      <c r="AA18" s="44"/>
      <c r="AB18" s="44"/>
      <c r="AC18" s="20" t="str">
        <f t="shared" si="3"/>
        <v/>
      </c>
      <c r="AD18" s="13"/>
      <c r="AE18" s="13"/>
      <c r="AF18" s="19" t="str">
        <f t="shared" si="7"/>
        <v/>
      </c>
      <c r="AG18" s="68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84"/>
      <c r="B19" s="41" t="str">
        <f t="shared" si="6"/>
        <v/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20" t="str">
        <f t="shared" si="3"/>
        <v/>
      </c>
      <c r="AD19" s="13"/>
      <c r="AE19" s="13"/>
      <c r="AF19" s="19" t="str">
        <f t="shared" si="7"/>
        <v/>
      </c>
      <c r="AG19" s="68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84"/>
      <c r="B20" s="41" t="str">
        <f t="shared" si="6"/>
        <v/>
      </c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20" t="str">
        <f t="shared" si="3"/>
        <v/>
      </c>
      <c r="AD20" s="13"/>
      <c r="AE20" s="13"/>
      <c r="AF20" s="19" t="str">
        <f t="shared" si="7"/>
        <v/>
      </c>
      <c r="AG20" s="68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84"/>
      <c r="B21" s="41" t="str">
        <f t="shared" si="6"/>
        <v/>
      </c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20" t="str">
        <f t="shared" si="3"/>
        <v/>
      </c>
      <c r="AD21" s="13"/>
      <c r="AE21" s="13"/>
      <c r="AF21" s="19" t="str">
        <f t="shared" si="7"/>
        <v/>
      </c>
      <c r="AG21" s="68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85"/>
      <c r="B22" s="41" t="str">
        <f t="shared" si="6"/>
        <v/>
      </c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20" t="str">
        <f t="shared" si="3"/>
        <v/>
      </c>
      <c r="AD22" s="13"/>
      <c r="AE22" s="13"/>
      <c r="AF22" s="19" t="str">
        <f t="shared" si="7"/>
        <v/>
      </c>
      <c r="AG22" s="69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54" t="s">
        <v>586</v>
      </c>
      <c r="AB23" s="54"/>
      <c r="AC23" s="23">
        <f>SUM(AC8:AC22)</f>
        <v>0</v>
      </c>
      <c r="AD23" s="54" t="s">
        <v>592</v>
      </c>
      <c r="AE23" s="54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AH4:BF7"/>
    <mergeCell ref="A5:B5"/>
    <mergeCell ref="AC5:AD5"/>
    <mergeCell ref="AE5:AF5"/>
    <mergeCell ref="A6:A7"/>
    <mergeCell ref="B6:B7"/>
    <mergeCell ref="C6:AA7"/>
    <mergeCell ref="AG2:AG22"/>
    <mergeCell ref="AH2:BF2"/>
    <mergeCell ref="AC3:AD3"/>
    <mergeCell ref="AE3:AF3"/>
    <mergeCell ref="AB6:AB7"/>
    <mergeCell ref="A8:A22"/>
    <mergeCell ref="M1:N1"/>
    <mergeCell ref="O1:P1"/>
    <mergeCell ref="A4:B4"/>
    <mergeCell ref="AC4:AD4"/>
    <mergeCell ref="AE4:AF4"/>
    <mergeCell ref="AB1:AU1"/>
    <mergeCell ref="C2:AA2"/>
    <mergeCell ref="AB2:AB3"/>
    <mergeCell ref="AC2:AD2"/>
    <mergeCell ref="AE2:AF2"/>
    <mergeCell ref="C1:E1"/>
    <mergeCell ref="F1:H1"/>
    <mergeCell ref="I1:J1"/>
    <mergeCell ref="K1:L1"/>
    <mergeCell ref="AC6:AC7"/>
    <mergeCell ref="AD6:AE6"/>
    <mergeCell ref="AF6:AF7"/>
    <mergeCell ref="AA23:AB23"/>
    <mergeCell ref="AD23:AE23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JackHsu許弘彬7269</cp:lastModifiedBy>
  <cp:lastPrinted>2024-02-22T02:24:19Z</cp:lastPrinted>
  <dcterms:created xsi:type="dcterms:W3CDTF">1996-12-17T01:32:42Z</dcterms:created>
  <dcterms:modified xsi:type="dcterms:W3CDTF">2025-03-05T09:50:16Z</dcterms:modified>
</cp:coreProperties>
</file>