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8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V22" i="58" l="1"/>
  <c r="AU22" i="58"/>
  <c r="AT22" i="58"/>
  <c r="AS22" i="58"/>
  <c r="AR22" i="58"/>
  <c r="AQ22" i="58"/>
  <c r="AP22" i="58"/>
  <c r="AO22" i="58"/>
  <c r="AN22" i="58"/>
  <c r="AM22" i="58"/>
  <c r="AL22" i="58"/>
  <c r="AK22" i="58"/>
  <c r="AJ22" i="58"/>
  <c r="AI22" i="58"/>
  <c r="AH22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J20" i="58"/>
  <c r="AI20" i="58"/>
  <c r="AH20" i="58"/>
  <c r="AV19" i="58"/>
  <c r="AU19" i="58"/>
  <c r="AT19" i="58"/>
  <c r="AS19" i="58"/>
  <c r="AR19" i="58"/>
  <c r="AQ19" i="58"/>
  <c r="AP19" i="58"/>
  <c r="AO19" i="58"/>
  <c r="AN19" i="58"/>
  <c r="AM19" i="58"/>
  <c r="AL19" i="58"/>
  <c r="AK19" i="58"/>
  <c r="AJ19" i="58"/>
  <c r="AI19" i="58"/>
  <c r="AH19" i="58"/>
  <c r="AV18" i="58"/>
  <c r="AU18" i="58"/>
  <c r="AT18" i="58"/>
  <c r="AS18" i="58"/>
  <c r="AR18" i="58"/>
  <c r="AQ18" i="58"/>
  <c r="AP18" i="58"/>
  <c r="AO18" i="58"/>
  <c r="AN18" i="58"/>
  <c r="AM18" i="58"/>
  <c r="AL18" i="58"/>
  <c r="AK18" i="58"/>
  <c r="AJ18" i="58"/>
  <c r="AI18" i="58"/>
  <c r="AH18" i="58"/>
  <c r="AV17" i="58"/>
  <c r="AU17" i="58"/>
  <c r="AT17" i="58"/>
  <c r="AS17" i="58"/>
  <c r="AR17" i="58"/>
  <c r="AQ17" i="58"/>
  <c r="AP17" i="58"/>
  <c r="AO17" i="58"/>
  <c r="AN17" i="58"/>
  <c r="AM17" i="58"/>
  <c r="AL17" i="58"/>
  <c r="AK17" i="58"/>
  <c r="AJ17" i="58"/>
  <c r="AI17" i="58"/>
  <c r="AH17" i="58"/>
  <c r="AV16" i="58"/>
  <c r="AU16" i="58"/>
  <c r="AT16" i="58"/>
  <c r="AS16" i="58"/>
  <c r="AR16" i="58"/>
  <c r="AQ16" i="58"/>
  <c r="AP16" i="58"/>
  <c r="AO16" i="58"/>
  <c r="AN16" i="58"/>
  <c r="AM16" i="58"/>
  <c r="AL16" i="58"/>
  <c r="AK16" i="58"/>
  <c r="AJ16" i="58"/>
  <c r="AI16" i="58"/>
  <c r="AH16" i="58"/>
  <c r="AV15" i="58"/>
  <c r="AU15" i="58"/>
  <c r="AT15" i="58"/>
  <c r="AS15" i="58"/>
  <c r="AR15" i="58"/>
  <c r="AQ15" i="58"/>
  <c r="AP15" i="58"/>
  <c r="AO15" i="58"/>
  <c r="AN15" i="58"/>
  <c r="AM15" i="58"/>
  <c r="AL15" i="58"/>
  <c r="AK15" i="58"/>
  <c r="AJ15" i="58"/>
  <c r="AI15" i="58"/>
  <c r="AH15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H14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J12" i="58"/>
  <c r="AI12" i="58"/>
  <c r="AH12" i="58"/>
  <c r="AV11" i="58"/>
  <c r="AU11" i="58"/>
  <c r="AT11" i="58"/>
  <c r="AS11" i="58"/>
  <c r="AR11" i="58"/>
  <c r="AQ11" i="58"/>
  <c r="AP11" i="58"/>
  <c r="AO11" i="58"/>
  <c r="AN11" i="58"/>
  <c r="AM11" i="58"/>
  <c r="AL11" i="58"/>
  <c r="AK11" i="58"/>
  <c r="AJ11" i="58"/>
  <c r="AI11" i="58"/>
  <c r="AH11" i="58"/>
  <c r="AV10" i="58"/>
  <c r="AU10" i="58"/>
  <c r="AT10" i="58"/>
  <c r="AS10" i="58"/>
  <c r="AR10" i="58"/>
  <c r="AQ10" i="58"/>
  <c r="AP10" i="58"/>
  <c r="AO10" i="58"/>
  <c r="AN10" i="58"/>
  <c r="AM10" i="58"/>
  <c r="AL10" i="58"/>
  <c r="AK10" i="58"/>
  <c r="AJ10" i="58"/>
  <c r="AI10" i="58"/>
  <c r="AH10" i="58"/>
  <c r="AV9" i="58"/>
  <c r="AU9" i="58"/>
  <c r="AT9" i="58"/>
  <c r="AS9" i="58"/>
  <c r="AR9" i="58"/>
  <c r="AQ9" i="58"/>
  <c r="AP9" i="58"/>
  <c r="AO9" i="58"/>
  <c r="AN9" i="58"/>
  <c r="AM9" i="58"/>
  <c r="AL9" i="58"/>
  <c r="AK9" i="58"/>
  <c r="AJ9" i="58"/>
  <c r="AI9" i="58"/>
  <c r="AH9" i="58"/>
  <c r="AV8" i="58"/>
  <c r="AU8" i="58"/>
  <c r="AT8" i="58"/>
  <c r="AS8" i="58"/>
  <c r="AR8" i="58"/>
  <c r="AQ8" i="58"/>
  <c r="AP8" i="58"/>
  <c r="AO8" i="58"/>
  <c r="AN8" i="58"/>
  <c r="AM8" i="58"/>
  <c r="AL8" i="58"/>
  <c r="AK8" i="58"/>
  <c r="AJ8" i="58"/>
  <c r="AI8" i="58"/>
  <c r="AH8" i="58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V23" i="56"/>
  <c r="AU23" i="56"/>
  <c r="AT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V17" i="56"/>
  <c r="AU17" i="56"/>
  <c r="AT17" i="56"/>
  <c r="AS17" i="56"/>
  <c r="AR17" i="56"/>
  <c r="AQ17" i="56"/>
  <c r="AP17" i="56"/>
  <c r="AO17" i="56"/>
  <c r="AN17" i="56"/>
  <c r="AM17" i="56"/>
  <c r="AL17" i="56"/>
  <c r="AK17" i="56"/>
  <c r="AJ17" i="56"/>
  <c r="AI17" i="56"/>
  <c r="AH17" i="56"/>
  <c r="AV16" i="56"/>
  <c r="AU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I15" i="56"/>
  <c r="AH15" i="56"/>
  <c r="AV14" i="56"/>
  <c r="AU14" i="56"/>
  <c r="AT14" i="56"/>
  <c r="AS14" i="56"/>
  <c r="AR14" i="56"/>
  <c r="AQ14" i="56"/>
  <c r="AP14" i="56"/>
  <c r="AO14" i="56"/>
  <c r="AN14" i="56"/>
  <c r="AM14" i="56"/>
  <c r="AL14" i="56"/>
  <c r="AK14" i="56"/>
  <c r="AJ14" i="56"/>
  <c r="AI14" i="56"/>
  <c r="AH14" i="56"/>
  <c r="AV13" i="56"/>
  <c r="AU13" i="56"/>
  <c r="AT13" i="56"/>
  <c r="AS13" i="56"/>
  <c r="AR13" i="56"/>
  <c r="AQ13" i="56"/>
  <c r="AP13" i="56"/>
  <c r="AO13" i="56"/>
  <c r="AN13" i="56"/>
  <c r="AM13" i="56"/>
  <c r="AL13" i="56"/>
  <c r="AK13" i="56"/>
  <c r="AJ13" i="56"/>
  <c r="AI13" i="56"/>
  <c r="AH13" i="56"/>
  <c r="AV12" i="56"/>
  <c r="AU12" i="56"/>
  <c r="AT12" i="56"/>
  <c r="AS12" i="56"/>
  <c r="AR12" i="56"/>
  <c r="AQ12" i="56"/>
  <c r="AP12" i="56"/>
  <c r="AO12" i="56"/>
  <c r="AN12" i="56"/>
  <c r="AM12" i="56"/>
  <c r="AL12" i="56"/>
  <c r="AK12" i="56"/>
  <c r="AJ12" i="56"/>
  <c r="AI12" i="56"/>
  <c r="AH12" i="56"/>
  <c r="AV11" i="56"/>
  <c r="AU11" i="56"/>
  <c r="AT11" i="56"/>
  <c r="AS11" i="56"/>
  <c r="AR11" i="56"/>
  <c r="AQ11" i="56"/>
  <c r="AP11" i="56"/>
  <c r="AO11" i="56"/>
  <c r="AN11" i="56"/>
  <c r="AM11" i="56"/>
  <c r="AL11" i="56"/>
  <c r="AK11" i="56"/>
  <c r="AJ11" i="56"/>
  <c r="AI11" i="56"/>
  <c r="AH11" i="56"/>
  <c r="AV10" i="56"/>
  <c r="AU10" i="56"/>
  <c r="AT10" i="56"/>
  <c r="AS10" i="56"/>
  <c r="AR10" i="56"/>
  <c r="AQ10" i="56"/>
  <c r="AP10" i="56"/>
  <c r="AO10" i="56"/>
  <c r="AN10" i="56"/>
  <c r="AM10" i="56"/>
  <c r="AL10" i="56"/>
  <c r="AK10" i="56"/>
  <c r="AJ10" i="56"/>
  <c r="AI10" i="56"/>
  <c r="AH10" i="56"/>
  <c r="BF22" i="58" l="1"/>
  <c r="BE22" i="58"/>
  <c r="BD22" i="58"/>
  <c r="BC22" i="58"/>
  <c r="BB22" i="58"/>
  <c r="BA22" i="58"/>
  <c r="AZ22" i="58"/>
  <c r="AY22" i="58"/>
  <c r="AX22" i="58"/>
  <c r="AW22" i="58"/>
  <c r="AF22" i="58"/>
  <c r="AC22" i="58"/>
  <c r="BF21" i="58"/>
  <c r="BE21" i="58"/>
  <c r="BD21" i="58"/>
  <c r="BC21" i="58"/>
  <c r="BB21" i="58"/>
  <c r="BA21" i="58"/>
  <c r="AZ21" i="58"/>
  <c r="AY21" i="58"/>
  <c r="AX21" i="58"/>
  <c r="AW21" i="58"/>
  <c r="AF21" i="58"/>
  <c r="AC21" i="58"/>
  <c r="BF20" i="58"/>
  <c r="BE20" i="58"/>
  <c r="BD20" i="58"/>
  <c r="BC20" i="58"/>
  <c r="BB20" i="58"/>
  <c r="BA20" i="58"/>
  <c r="AZ20" i="58"/>
  <c r="AY20" i="58"/>
  <c r="AX20" i="58"/>
  <c r="AW20" i="58"/>
  <c r="AF20" i="58"/>
  <c r="AC20" i="58"/>
  <c r="BF19" i="58"/>
  <c r="BE19" i="58"/>
  <c r="BD19" i="58"/>
  <c r="BC19" i="58"/>
  <c r="BB19" i="58"/>
  <c r="BA19" i="58"/>
  <c r="AZ19" i="58"/>
  <c r="AY19" i="58"/>
  <c r="AX19" i="58"/>
  <c r="AW19" i="58"/>
  <c r="AF19" i="58"/>
  <c r="AC19" i="58"/>
  <c r="BF18" i="58"/>
  <c r="BE18" i="58"/>
  <c r="BD18" i="58"/>
  <c r="BC18" i="58"/>
  <c r="BB18" i="58"/>
  <c r="BA18" i="58"/>
  <c r="AZ18" i="58"/>
  <c r="AY18" i="58"/>
  <c r="AX18" i="58"/>
  <c r="AW18" i="58"/>
  <c r="AF18" i="58"/>
  <c r="AC18" i="58"/>
  <c r="BF17" i="58"/>
  <c r="BE17" i="58"/>
  <c r="BD17" i="58"/>
  <c r="BC17" i="58"/>
  <c r="BB17" i="58"/>
  <c r="BA17" i="58"/>
  <c r="AZ17" i="58"/>
  <c r="AY17" i="58"/>
  <c r="AX17" i="58"/>
  <c r="AW17" i="58"/>
  <c r="AF17" i="58"/>
  <c r="AC17" i="58"/>
  <c r="BF16" i="58"/>
  <c r="BE16" i="58"/>
  <c r="BD16" i="58"/>
  <c r="BC16" i="58"/>
  <c r="BB16" i="58"/>
  <c r="BA16" i="58"/>
  <c r="AZ16" i="58"/>
  <c r="AY16" i="58"/>
  <c r="AX16" i="58"/>
  <c r="AW16" i="58"/>
  <c r="AF16" i="58"/>
  <c r="AC16" i="58"/>
  <c r="BF15" i="58"/>
  <c r="BE15" i="58"/>
  <c r="BD15" i="58"/>
  <c r="BC15" i="58"/>
  <c r="BB15" i="58"/>
  <c r="BA15" i="58"/>
  <c r="AZ15" i="58"/>
  <c r="AY15" i="58"/>
  <c r="AX15" i="58"/>
  <c r="AW15" i="58"/>
  <c r="AF15" i="58"/>
  <c r="AC15" i="58"/>
  <c r="BF14" i="58"/>
  <c r="BE14" i="58"/>
  <c r="BD14" i="58"/>
  <c r="BC14" i="58"/>
  <c r="BB14" i="58"/>
  <c r="BA14" i="58"/>
  <c r="AZ14" i="58"/>
  <c r="AY14" i="58"/>
  <c r="AX14" i="58"/>
  <c r="AW14" i="58"/>
  <c r="AF14" i="58"/>
  <c r="AC14" i="58"/>
  <c r="BF13" i="58"/>
  <c r="BE13" i="58"/>
  <c r="BD13" i="58"/>
  <c r="BC13" i="58"/>
  <c r="BB13" i="58"/>
  <c r="BA13" i="58"/>
  <c r="AZ13" i="58"/>
  <c r="AY13" i="58"/>
  <c r="AX13" i="58"/>
  <c r="AW13" i="58"/>
  <c r="AF13" i="58"/>
  <c r="AC13" i="58"/>
  <c r="BF12" i="58"/>
  <c r="BE12" i="58"/>
  <c r="BD12" i="58"/>
  <c r="BC12" i="58"/>
  <c r="BB12" i="58"/>
  <c r="BA12" i="58"/>
  <c r="AZ12" i="58"/>
  <c r="AY12" i="58"/>
  <c r="AX12" i="58"/>
  <c r="AW12" i="58"/>
  <c r="AF12" i="58"/>
  <c r="AC12" i="58"/>
  <c r="BF11" i="58"/>
  <c r="BE11" i="58"/>
  <c r="BD11" i="58"/>
  <c r="BC11" i="58"/>
  <c r="BB11" i="58"/>
  <c r="BA11" i="58"/>
  <c r="AZ11" i="58"/>
  <c r="AY11" i="58"/>
  <c r="AX11" i="58"/>
  <c r="AW11" i="58"/>
  <c r="AF11" i="58"/>
  <c r="AC11" i="58"/>
  <c r="BF10" i="58"/>
  <c r="BE10" i="58"/>
  <c r="BD10" i="58"/>
  <c r="BC10" i="58"/>
  <c r="BB10" i="58"/>
  <c r="BA10" i="58"/>
  <c r="AZ10" i="58"/>
  <c r="AY10" i="58"/>
  <c r="AX10" i="58"/>
  <c r="AF10" i="58"/>
  <c r="AC10" i="58"/>
  <c r="BF9" i="58"/>
  <c r="BE9" i="58"/>
  <c r="BD9" i="58"/>
  <c r="BC9" i="58"/>
  <c r="BB9" i="58"/>
  <c r="BA9" i="58"/>
  <c r="AZ9" i="58"/>
  <c r="AY9" i="58"/>
  <c r="AX9" i="58"/>
  <c r="AW9" i="58"/>
  <c r="AF9" i="58"/>
  <c r="AC9" i="58"/>
  <c r="BF8" i="58"/>
  <c r="BE8" i="58"/>
  <c r="BD8" i="58"/>
  <c r="BC8" i="58"/>
  <c r="BB8" i="58"/>
  <c r="BA8" i="58"/>
  <c r="AZ8" i="58"/>
  <c r="AY8" i="58"/>
  <c r="AX8" i="58"/>
  <c r="AW8" i="58"/>
  <c r="AF8" i="58"/>
  <c r="AC8" i="58"/>
  <c r="AA5" i="58"/>
  <c r="Z5" i="58"/>
  <c r="Y5" i="58"/>
  <c r="X5" i="58"/>
  <c r="W5" i="58"/>
  <c r="V5" i="58"/>
  <c r="U5" i="58"/>
  <c r="T5" i="58"/>
  <c r="S5" i="58"/>
  <c r="R5" i="58"/>
  <c r="AW10" i="58" s="1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AB4" i="58"/>
  <c r="BF3" i="58"/>
  <c r="BE3" i="58"/>
  <c r="BD3" i="58"/>
  <c r="BC3" i="58"/>
  <c r="BB3" i="58"/>
  <c r="BA3" i="58"/>
  <c r="AZ3" i="58"/>
  <c r="AY3" i="58"/>
  <c r="AX3" i="58"/>
  <c r="AW3" i="58"/>
  <c r="AV3" i="58"/>
  <c r="AU3" i="58"/>
  <c r="AT3" i="58"/>
  <c r="AS3" i="58"/>
  <c r="AR3" i="58"/>
  <c r="AQ3" i="58"/>
  <c r="AP3" i="58"/>
  <c r="AO3" i="58"/>
  <c r="AN3" i="58"/>
  <c r="AM3" i="58"/>
  <c r="AL3" i="58"/>
  <c r="AK3" i="58"/>
  <c r="AJ3" i="58"/>
  <c r="AI3" i="58"/>
  <c r="AH3" i="58"/>
  <c r="AF23" i="58" l="1"/>
  <c r="AB5" i="58"/>
  <c r="AC23" i="58"/>
  <c r="AE3" i="58"/>
  <c r="AE4" i="58" s="1"/>
  <c r="AC4" i="58" s="1"/>
  <c r="BF24" i="56"/>
  <c r="BE24" i="56"/>
  <c r="BD24" i="56"/>
  <c r="BC24" i="56"/>
  <c r="BB24" i="56"/>
  <c r="BA24" i="56"/>
  <c r="AZ24" i="56"/>
  <c r="AY24" i="56"/>
  <c r="AX24" i="56"/>
  <c r="AW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F13" i="56"/>
  <c r="AC13" i="56"/>
  <c r="BF12" i="56"/>
  <c r="BE12" i="56"/>
  <c r="BD12" i="56"/>
  <c r="BC12" i="56"/>
  <c r="BB12" i="56"/>
  <c r="BA12" i="56"/>
  <c r="AZ12" i="56"/>
  <c r="AY12" i="56"/>
  <c r="AX12" i="56"/>
  <c r="AF12" i="56"/>
  <c r="AC12" i="56"/>
  <c r="BF11" i="56"/>
  <c r="BE11" i="56"/>
  <c r="BD11" i="56"/>
  <c r="BC11" i="56"/>
  <c r="BB11" i="56"/>
  <c r="AZ11" i="56"/>
  <c r="AY11" i="56"/>
  <c r="AX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W12" i="56" l="1"/>
  <c r="AC25" i="56"/>
  <c r="AE5" i="56"/>
  <c r="AE6" i="56" s="1"/>
  <c r="AC6" i="56" s="1"/>
  <c r="AF25" i="56"/>
  <c r="AB7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<sst xmlns="http://schemas.openxmlformats.org/spreadsheetml/2006/main" count="633" uniqueCount="598">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</sst>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&quot;MK-&quot;###"/>
    <numFmt numFmtId="181" formatCode="yyyy/mm/dd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6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</cellXfs>
  <cellStyles count="89">
    <cellStyle name="Comma 2" xfId="3"/>
    <cellStyle name="Comma 2 2" xfId="4"/>
    <cellStyle name="Comma 2 2 2" xfId="5"/>
    <cellStyle name="Comma 2 3" xfId="6"/>
    <cellStyle name="Hyperlink" xfId="1" builtinId="8"/>
    <cellStyle name="Normal" xfId="0" builtinId="0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</cellStyles>
  <dxfs count="29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topLeftCell="B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53" t="s">
        <v>576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33" t="s">
        <v>1</v>
      </c>
      <c r="AH1" s="54"/>
      <c r="AI1" s="54"/>
      <c r="AJ1" s="54"/>
      <c r="AK1" s="54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55"/>
      <c r="C2" s="55"/>
      <c r="D2" s="55"/>
      <c r="E2" s="55"/>
      <c r="F2" s="26" t="s">
        <v>9</v>
      </c>
      <c r="G2" s="55"/>
      <c r="H2" s="55"/>
      <c r="I2" s="55"/>
      <c r="J2" s="55"/>
      <c r="K2" s="56"/>
      <c r="L2" s="5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3" t="s">
        <v>595</v>
      </c>
      <c r="D3" s="64"/>
      <c r="E3" s="65"/>
      <c r="F3" s="66"/>
      <c r="G3" s="67"/>
      <c r="H3" s="68"/>
      <c r="I3" s="63" t="s">
        <v>594</v>
      </c>
      <c r="J3" s="65"/>
      <c r="K3" s="69"/>
      <c r="L3" s="70"/>
      <c r="M3" s="63" t="s">
        <v>596</v>
      </c>
      <c r="N3" s="65"/>
      <c r="O3" s="69"/>
      <c r="P3" s="70"/>
      <c r="Q3" s="48"/>
      <c r="R3" s="48"/>
      <c r="S3" s="48"/>
      <c r="T3" s="48"/>
      <c r="U3" s="48"/>
      <c r="V3" s="48"/>
      <c r="W3" s="48"/>
      <c r="X3" s="48"/>
      <c r="Y3" s="48"/>
      <c r="Z3" s="48"/>
      <c r="AA3" s="49"/>
      <c r="AB3" s="50"/>
      <c r="AC3" s="50"/>
      <c r="AD3" s="50"/>
      <c r="AE3" s="50"/>
      <c r="AF3" s="50"/>
      <c r="AG3" s="50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2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61" t="s">
        <v>577</v>
      </c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72" t="s">
        <v>590</v>
      </c>
      <c r="AC4" s="61" t="s">
        <v>579</v>
      </c>
      <c r="AD4" s="61"/>
      <c r="AE4" s="73"/>
      <c r="AF4" s="74"/>
      <c r="AG4" s="75"/>
      <c r="AH4" s="58" t="s">
        <v>577</v>
      </c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60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2"/>
      <c r="AC5" s="61" t="s">
        <v>580</v>
      </c>
      <c r="AD5" s="61"/>
      <c r="AE5" s="62">
        <f>SUM(AF10:AF24)</f>
        <v>0</v>
      </c>
      <c r="AF5" s="62"/>
      <c r="AG5" s="76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79" t="s">
        <v>581</v>
      </c>
      <c r="B6" s="7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80" t="str">
        <f>IF(AE6&lt;5,"NO ",IF(AE6=5,"OK",IF(AE6&gt;5,"OK")))</f>
        <v xml:space="preserve">NO </v>
      </c>
      <c r="AD6" s="80"/>
      <c r="AE6" s="62">
        <f>AE4-AE5-AE7</f>
        <v>0</v>
      </c>
      <c r="AF6" s="62"/>
      <c r="AG6" s="76"/>
      <c r="AH6" s="71" t="s">
        <v>593</v>
      </c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34"/>
    </row>
    <row r="7" spans="1:59" customFormat="1" ht="15">
      <c r="A7" s="79" t="s">
        <v>588</v>
      </c>
      <c r="B7" s="79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61" t="s">
        <v>587</v>
      </c>
      <c r="AD7" s="61"/>
      <c r="AE7" s="74"/>
      <c r="AF7" s="74"/>
      <c r="AG7" s="76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34"/>
    </row>
    <row r="8" spans="1:59" customFormat="1" ht="15">
      <c r="A8" s="81" t="s">
        <v>591</v>
      </c>
      <c r="B8" s="61" t="s">
        <v>10</v>
      </c>
      <c r="C8" s="61" t="s">
        <v>0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 t="s">
        <v>8</v>
      </c>
      <c r="AC8" s="81" t="s">
        <v>581</v>
      </c>
      <c r="AD8" s="81" t="s">
        <v>582</v>
      </c>
      <c r="AE8" s="81"/>
      <c r="AF8" s="82" t="s">
        <v>583</v>
      </c>
      <c r="AG8" s="76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34"/>
    </row>
    <row r="9" spans="1:59" customFormat="1" ht="1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81"/>
      <c r="AD9" s="27" t="s">
        <v>584</v>
      </c>
      <c r="AE9" s="27" t="s">
        <v>585</v>
      </c>
      <c r="AF9" s="82"/>
      <c r="AG9" s="76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34"/>
    </row>
    <row r="10" spans="1:59" customFormat="1">
      <c r="A10" s="83"/>
      <c r="B10" s="41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6"/>
      <c r="AH10" s="21" t="str">
        <f>IF(C10=0,"",ROUNDUP($C7/C10,0))</f>
        <v/>
      </c>
      <c r="AI10" s="21" t="str">
        <f>IF(D10=0,"",ROUNDUP($D7/D10,0))</f>
        <v/>
      </c>
      <c r="AJ10" s="21" t="str">
        <f>IF(E10=0,"",ROUNDUP($E7/E10,0))</f>
        <v/>
      </c>
      <c r="AK10" s="21" t="str">
        <f>IF(F10=0,"",ROUNDUP($F7/F10,0))</f>
        <v/>
      </c>
      <c r="AL10" s="21" t="str">
        <f>IF(G10=0,"",ROUNDUP($G7/G10,0))</f>
        <v/>
      </c>
      <c r="AM10" s="21" t="str">
        <f>IF(H10=0,"",ROUNDUP($H7/H10,0))</f>
        <v/>
      </c>
      <c r="AN10" s="21" t="str">
        <f>IF(I10=0,"",ROUNDUP($I7/I10,0))</f>
        <v/>
      </c>
      <c r="AO10" s="21" t="str">
        <f>IF(J10=0,"",ROUNDUP($J7/J10,0))</f>
        <v/>
      </c>
      <c r="AP10" s="21" t="str">
        <f>IF(K10=0,"",ROUNDUP($K7/K10,0))</f>
        <v/>
      </c>
      <c r="AQ10" s="21" t="str">
        <f>IF(L10=0,"",ROUNDUP($L7/L10,0))</f>
        <v/>
      </c>
      <c r="AR10" s="21" t="str">
        <f>IF(M10=0,"",ROUNDUP($M7/M10,0))</f>
        <v/>
      </c>
      <c r="AS10" s="21" t="str">
        <f>IF(N10=0,"",ROUNDUP($N7/N10,0))</f>
        <v/>
      </c>
      <c r="AT10" s="21" t="str">
        <f>IF(O10=0,"",ROUNDUP($O7/O10,0))</f>
        <v/>
      </c>
      <c r="AU10" s="21" t="str">
        <f>IF(P10=0,"",ROUNDUP($P7/P10,0))</f>
        <v/>
      </c>
      <c r="AV10" s="21" t="str">
        <f>IF(Q10=0,"",ROUNDUP($Q7/Q10,0))</f>
        <v/>
      </c>
      <c r="AW10" s="21" t="str">
        <f t="shared" ref="AR10:AW10" si="5">IF(R10=0,"",ROUNDUP(R$7/R10,0))</f>
        <v/>
      </c>
      <c r="AX10" s="21" t="str">
        <f t="shared" ref="AR10:BF24" si="6">IF(S10=0,"",ROUNDUP(S$7/S10,0))</f>
        <v/>
      </c>
      <c r="AY10" s="21" t="str">
        <f t="shared" si="6"/>
        <v/>
      </c>
      <c r="AZ10" s="21" t="str">
        <f t="shared" si="6"/>
        <v/>
      </c>
      <c r="BA10" s="21" t="str">
        <f t="shared" si="6"/>
        <v/>
      </c>
      <c r="BB10" s="21" t="str">
        <f t="shared" si="6"/>
        <v/>
      </c>
      <c r="BC10" s="21" t="str">
        <f t="shared" si="6"/>
        <v/>
      </c>
      <c r="BD10" s="21" t="str">
        <f t="shared" si="6"/>
        <v/>
      </c>
      <c r="BE10" s="21" t="str">
        <f t="shared" si="6"/>
        <v/>
      </c>
      <c r="BF10" s="21" t="str">
        <f t="shared" si="6"/>
        <v/>
      </c>
      <c r="BG10" s="34"/>
    </row>
    <row r="11" spans="1:59" customFormat="1">
      <c r="A11" s="84"/>
      <c r="B11" s="41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6"/>
      <c r="AH11" s="21" t="str">
        <f>IF(C11=0,"",ROUNDUP($C7/C11,0))</f>
        <v/>
      </c>
      <c r="AI11" s="21" t="str">
        <f>IF(D11=0,"",ROUNDUP($D7/D11,0))</f>
        <v/>
      </c>
      <c r="AJ11" s="21" t="str">
        <f>IF(E11=0,"",ROUNDUP($E7/E11,0))</f>
        <v/>
      </c>
      <c r="AK11" s="21" t="str">
        <f>IF(F11=0,"",ROUNDUP($F7/F11,0))</f>
        <v/>
      </c>
      <c r="AL11" s="21" t="str">
        <f>IF(G11=0,"",ROUNDUP($G7/G11,0))</f>
        <v/>
      </c>
      <c r="AM11" s="21" t="str">
        <f>IF(H11=0,"",ROUNDUP($H7/H11,0))</f>
        <v/>
      </c>
      <c r="AN11" s="21" t="str">
        <f>IF(I11=0,"",ROUNDUP($I7/I11,0))</f>
        <v/>
      </c>
      <c r="AO11" s="21" t="str">
        <f>IF(J11=0,"",ROUNDUP($J7/J11,0))</f>
        <v/>
      </c>
      <c r="AP11" s="21" t="str">
        <f>IF(K11=0,"",ROUNDUP($K7/K11,0))</f>
        <v/>
      </c>
      <c r="AQ11" s="21" t="str">
        <f>IF(L11=0,"",ROUNDUP($L7/L11,0))</f>
        <v/>
      </c>
      <c r="AR11" s="21" t="str">
        <f>IF(M11=0,"",ROUNDUP($M7/M11,0))</f>
        <v/>
      </c>
      <c r="AS11" s="21" t="str">
        <f>IF(N11=0,"",ROUNDUP($N7/N11,0))</f>
        <v/>
      </c>
      <c r="AT11" s="21" t="str">
        <f>IF(O11=0,"",ROUNDUP($O7/O11,0))</f>
        <v/>
      </c>
      <c r="AU11" s="21" t="str">
        <f>IF(P11=0,"",ROUNDUP($P7/P11,0))</f>
        <v/>
      </c>
      <c r="AV11" s="21" t="str">
        <f>IF(Q11=0,"",ROUNDUP($Q7/Q11,0))</f>
        <v/>
      </c>
      <c r="AW11" s="21" t="str">
        <f t="shared" si="6"/>
        <v/>
      </c>
      <c r="AX11" s="21" t="str">
        <f t="shared" si="6"/>
        <v/>
      </c>
      <c r="AY11" s="21" t="str">
        <f t="shared" si="6"/>
        <v/>
      </c>
      <c r="AZ11" s="21" t="str">
        <f t="shared" si="6"/>
        <v/>
      </c>
      <c r="BA11" s="21" t="str">
        <f t="shared" si="6"/>
        <v/>
      </c>
      <c r="BB11" s="21" t="str">
        <f t="shared" si="6"/>
        <v/>
      </c>
      <c r="BC11" s="21" t="str">
        <f t="shared" si="6"/>
        <v/>
      </c>
      <c r="BD11" s="21" t="str">
        <f t="shared" si="6"/>
        <v/>
      </c>
      <c r="BE11" s="21" t="str">
        <f t="shared" si="6"/>
        <v/>
      </c>
      <c r="BF11" s="21" t="str">
        <f t="shared" si="6"/>
        <v/>
      </c>
      <c r="BG11" s="34"/>
    </row>
    <row r="12" spans="1:59" customFormat="1">
      <c r="A12" s="84"/>
      <c r="B12" s="41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6"/>
      <c r="AH12" s="21" t="str">
        <f>IF(C12=0,"",ROUNDUP($C7/C12,0))</f>
        <v/>
      </c>
      <c r="AI12" s="21" t="str">
        <f>IF(D12=0,"",ROUNDUP($D7/D12,0))</f>
        <v/>
      </c>
      <c r="AJ12" s="21" t="str">
        <f>IF(E12=0,"",ROUNDUP($E7/E12,0))</f>
        <v/>
      </c>
      <c r="AK12" s="21" t="str">
        <f>IF(F12=0,"",ROUNDUP($F7/F12,0))</f>
        <v/>
      </c>
      <c r="AL12" s="21" t="str">
        <f>IF(G12=0,"",ROUNDUP($G7/G12,0))</f>
        <v/>
      </c>
      <c r="AM12" s="21" t="str">
        <f>IF(H12=0,"",ROUNDUP($H7/H12,0))</f>
        <v/>
      </c>
      <c r="AN12" s="21" t="str">
        <f>IF(I12=0,"",ROUNDUP($I7/I12,0))</f>
        <v/>
      </c>
      <c r="AO12" s="21" t="str">
        <f>IF(J12=0,"",ROUNDUP($J7/J12,0))</f>
        <v/>
      </c>
      <c r="AP12" s="21" t="str">
        <f>IF(K12=0,"",ROUNDUP($K7/K12,0))</f>
        <v/>
      </c>
      <c r="AQ12" s="21" t="str">
        <f>IF(L12=0,"",ROUNDUP($L7/L12,0))</f>
        <v/>
      </c>
      <c r="AR12" s="21" t="str">
        <f>IF(M12=0,"",ROUNDUP($M7/M12,0))</f>
        <v/>
      </c>
      <c r="AS12" s="21" t="str">
        <f>IF(N12=0,"",ROUNDUP($N7/N12,0))</f>
        <v/>
      </c>
      <c r="AT12" s="21" t="str">
        <f>IF(O12=0,"",ROUNDUP($O7/O12,0))</f>
        <v/>
      </c>
      <c r="AU12" s="21" t="str">
        <f>IF(P12=0,"",ROUNDUP($P7/P12,0))</f>
        <v/>
      </c>
      <c r="AV12" s="21" t="str">
        <f>IF(Q12=0,"",ROUNDUP($Q7/Q12,0))</f>
        <v/>
      </c>
      <c r="AW12" s="21" t="str">
        <f t="shared" si="6"/>
        <v/>
      </c>
      <c r="AX12" s="21" t="str">
        <f t="shared" si="6"/>
        <v/>
      </c>
      <c r="AY12" s="21" t="str">
        <f t="shared" si="6"/>
        <v/>
      </c>
      <c r="AZ12" s="21" t="str">
        <f t="shared" si="6"/>
        <v/>
      </c>
      <c r="BA12" s="21" t="str">
        <f t="shared" si="6"/>
        <v/>
      </c>
      <c r="BB12" s="21" t="str">
        <f t="shared" si="6"/>
        <v/>
      </c>
      <c r="BC12" s="21" t="str">
        <f t="shared" si="6"/>
        <v/>
      </c>
      <c r="BD12" s="21" t="str">
        <f t="shared" si="6"/>
        <v/>
      </c>
      <c r="BE12" s="21" t="str">
        <f t="shared" si="6"/>
        <v/>
      </c>
      <c r="BF12" s="21" t="str">
        <f t="shared" si="6"/>
        <v/>
      </c>
      <c r="BG12" s="34"/>
    </row>
    <row r="13" spans="1:59" customFormat="1">
      <c r="A13" s="84"/>
      <c r="B13" s="41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6"/>
      <c r="AH13" s="21" t="str">
        <f>IF(C13=0,"",ROUNDUP($C7/C13,0))</f>
        <v/>
      </c>
      <c r="AI13" s="21" t="str">
        <f>IF(D13=0,"",ROUNDUP($D7/D13,0))</f>
        <v/>
      </c>
      <c r="AJ13" s="21" t="str">
        <f>IF(E13=0,"",ROUNDUP($E7/E13,0))</f>
        <v/>
      </c>
      <c r="AK13" s="21" t="str">
        <f>IF(F13=0,"",ROUNDUP($F7/F13,0))</f>
        <v/>
      </c>
      <c r="AL13" s="21" t="str">
        <f>IF(G13=0,"",ROUNDUP($G7/G13,0))</f>
        <v/>
      </c>
      <c r="AM13" s="21" t="str">
        <f>IF(H13=0,"",ROUNDUP($H7/H13,0))</f>
        <v/>
      </c>
      <c r="AN13" s="21" t="str">
        <f>IF(I13=0,"",ROUNDUP($I7/I13,0))</f>
        <v/>
      </c>
      <c r="AO13" s="21" t="str">
        <f>IF(J13=0,"",ROUNDUP($J7/J13,0))</f>
        <v/>
      </c>
      <c r="AP13" s="21" t="str">
        <f>IF(K13=0,"",ROUNDUP($K7/K13,0))</f>
        <v/>
      </c>
      <c r="AQ13" s="21" t="str">
        <f>IF(L13=0,"",ROUNDUP($L7/L13,0))</f>
        <v/>
      </c>
      <c r="AR13" s="21" t="str">
        <f>IF(M13=0,"",ROUNDUP($M7/M13,0))</f>
        <v/>
      </c>
      <c r="AS13" s="21" t="str">
        <f>IF(N13=0,"",ROUNDUP($N7/N13,0))</f>
        <v/>
      </c>
      <c r="AT13" s="21" t="str">
        <f>IF(O13=0,"",ROUNDUP($O7/O13,0))</f>
        <v/>
      </c>
      <c r="AU13" s="21" t="str">
        <f>IF(P13=0,"",ROUNDUP($P7/P13,0))</f>
        <v/>
      </c>
      <c r="AV13" s="21" t="str">
        <f>IF(Q13=0,"",ROUNDUP($Q7/Q13,0))</f>
        <v/>
      </c>
      <c r="AW13" s="21" t="str">
        <f t="shared" si="6"/>
        <v/>
      </c>
      <c r="AX13" s="21" t="str">
        <f t="shared" si="6"/>
        <v/>
      </c>
      <c r="AY13" s="21" t="str">
        <f t="shared" si="6"/>
        <v/>
      </c>
      <c r="AZ13" s="21" t="str">
        <f t="shared" si="6"/>
        <v/>
      </c>
      <c r="BA13" s="21" t="str">
        <f t="shared" si="6"/>
        <v/>
      </c>
      <c r="BB13" s="21" t="str">
        <f t="shared" si="6"/>
        <v/>
      </c>
      <c r="BC13" s="21" t="str">
        <f t="shared" si="6"/>
        <v/>
      </c>
      <c r="BD13" s="21" t="str">
        <f t="shared" si="6"/>
        <v/>
      </c>
      <c r="BE13" s="21" t="str">
        <f t="shared" si="6"/>
        <v/>
      </c>
      <c r="BF13" s="21" t="str">
        <f t="shared" si="6"/>
        <v/>
      </c>
      <c r="BG13" s="34"/>
    </row>
    <row r="14" spans="1:59" customFormat="1">
      <c r="A14" s="84"/>
      <c r="B14" s="41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6"/>
      <c r="AH14" s="21" t="str">
        <f>IF(C14=0,"",ROUNDUP($C7/C14,0))</f>
        <v/>
      </c>
      <c r="AI14" s="21" t="str">
        <f>IF(D14=0,"",ROUNDUP($D7/D14,0))</f>
        <v/>
      </c>
      <c r="AJ14" s="21" t="str">
        <f>IF(E14=0,"",ROUNDUP($E7/E14,0))</f>
        <v/>
      </c>
      <c r="AK14" s="21" t="str">
        <f>IF(F14=0,"",ROUNDUP($F7/F14,0))</f>
        <v/>
      </c>
      <c r="AL14" s="21" t="str">
        <f>IF(G14=0,"",ROUNDUP($G7/G14,0))</f>
        <v/>
      </c>
      <c r="AM14" s="21" t="str">
        <f>IF(H14=0,"",ROUNDUP($H7/H14,0))</f>
        <v/>
      </c>
      <c r="AN14" s="21" t="str">
        <f>IF(I14=0,"",ROUNDUP($I7/I14,0))</f>
        <v/>
      </c>
      <c r="AO14" s="21" t="str">
        <f>IF(J14=0,"",ROUNDUP($J7/J14,0))</f>
        <v/>
      </c>
      <c r="AP14" s="21" t="str">
        <f>IF(K14=0,"",ROUNDUP($K7/K14,0))</f>
        <v/>
      </c>
      <c r="AQ14" s="21" t="str">
        <f>IF(L14=0,"",ROUNDUP($L7/L14,0))</f>
        <v/>
      </c>
      <c r="AR14" s="21" t="str">
        <f>IF(M14=0,"",ROUNDUP($M7/M14,0))</f>
        <v/>
      </c>
      <c r="AS14" s="21" t="str">
        <f>IF(N14=0,"",ROUNDUP($N7/N14,0))</f>
        <v/>
      </c>
      <c r="AT14" s="21" t="str">
        <f>IF(O14=0,"",ROUNDUP($O7/O14,0))</f>
        <v/>
      </c>
      <c r="AU14" s="21" t="str">
        <f>IF(P14=0,"",ROUNDUP($P7/P14,0))</f>
        <v/>
      </c>
      <c r="AV14" s="21" t="str">
        <f>IF(Q14=0,"",ROUNDUP($Q7/Q14,0))</f>
        <v/>
      </c>
      <c r="AW14" s="21" t="str">
        <f t="shared" si="6"/>
        <v/>
      </c>
      <c r="AX14" s="21" t="str">
        <f t="shared" si="6"/>
        <v/>
      </c>
      <c r="AY14" s="21" t="str">
        <f t="shared" si="6"/>
        <v/>
      </c>
      <c r="AZ14" s="21" t="str">
        <f t="shared" si="6"/>
        <v/>
      </c>
      <c r="BA14" s="21" t="str">
        <f t="shared" si="6"/>
        <v/>
      </c>
      <c r="BB14" s="21" t="str">
        <f t="shared" si="6"/>
        <v/>
      </c>
      <c r="BC14" s="21" t="str">
        <f t="shared" si="6"/>
        <v/>
      </c>
      <c r="BD14" s="21" t="str">
        <f t="shared" si="6"/>
        <v/>
      </c>
      <c r="BE14" s="21" t="str">
        <f t="shared" si="6"/>
        <v/>
      </c>
      <c r="BF14" s="21" t="str">
        <f t="shared" si="6"/>
        <v/>
      </c>
      <c r="BG14" s="34"/>
    </row>
    <row r="15" spans="1:59" customFormat="1">
      <c r="A15" s="84"/>
      <c r="B15" s="41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7">IF(AB15="","",(AD15+(AE15/36))*AB15)</f>
        <v/>
      </c>
      <c r="AG15" s="76"/>
      <c r="AH15" s="21" t="str">
        <f>IF(C15=0,"",ROUNDUP($C7/C15,0))</f>
        <v/>
      </c>
      <c r="AI15" s="21" t="str">
        <f>IF(D15=0,"",ROUNDUP($D7/D15,0))</f>
        <v/>
      </c>
      <c r="AJ15" s="21" t="str">
        <f>IF(E15=0,"",ROUNDUP($E7/E15,0))</f>
        <v/>
      </c>
      <c r="AK15" s="21" t="str">
        <f>IF(F15=0,"",ROUNDUP($F7/F15,0))</f>
        <v/>
      </c>
      <c r="AL15" s="21" t="str">
        <f>IF(G15=0,"",ROUNDUP($G7/G15,0))</f>
        <v/>
      </c>
      <c r="AM15" s="21" t="str">
        <f>IF(H15=0,"",ROUNDUP($H7/H15,0))</f>
        <v/>
      </c>
      <c r="AN15" s="21" t="str">
        <f>IF(I15=0,"",ROUNDUP($I7/I15,0))</f>
        <v/>
      </c>
      <c r="AO15" s="21" t="str">
        <f>IF(J15=0,"",ROUNDUP($J7/J15,0))</f>
        <v/>
      </c>
      <c r="AP15" s="21" t="str">
        <f>IF(K15=0,"",ROUNDUP($K7/K15,0))</f>
        <v/>
      </c>
      <c r="AQ15" s="21" t="str">
        <f>IF(L15=0,"",ROUNDUP($L7/L15,0))</f>
        <v/>
      </c>
      <c r="AR15" s="21" t="str">
        <f>IF(M15=0,"",ROUNDUP($M7/M15,0))</f>
        <v/>
      </c>
      <c r="AS15" s="21" t="str">
        <f>IF(N15=0,"",ROUNDUP($N7/N15,0))</f>
        <v/>
      </c>
      <c r="AT15" s="21" t="str">
        <f>IF(O15=0,"",ROUNDUP($O7/O15,0))</f>
        <v/>
      </c>
      <c r="AU15" s="21" t="str">
        <f>IF(P15=0,"",ROUNDUP($P7/P15,0))</f>
        <v/>
      </c>
      <c r="AV15" s="21" t="str">
        <f>IF(Q15=0,"",ROUNDUP($Q7/Q15,0))</f>
        <v/>
      </c>
      <c r="AW15" s="21" t="str">
        <f t="shared" si="6"/>
        <v/>
      </c>
      <c r="AX15" s="21" t="str">
        <f t="shared" si="6"/>
        <v/>
      </c>
      <c r="AY15" s="21" t="str">
        <f t="shared" si="6"/>
        <v/>
      </c>
      <c r="AZ15" s="21" t="str">
        <f t="shared" si="6"/>
        <v/>
      </c>
      <c r="BA15" s="21" t="str">
        <f t="shared" si="6"/>
        <v/>
      </c>
      <c r="BB15" s="21" t="str">
        <f t="shared" si="6"/>
        <v/>
      </c>
      <c r="BC15" s="21" t="str">
        <f t="shared" si="6"/>
        <v/>
      </c>
      <c r="BD15" s="21" t="str">
        <f t="shared" si="6"/>
        <v/>
      </c>
      <c r="BE15" s="21" t="str">
        <f t="shared" si="6"/>
        <v/>
      </c>
      <c r="BF15" s="21" t="str">
        <f t="shared" si="6"/>
        <v/>
      </c>
      <c r="BG15" s="34"/>
    </row>
    <row r="16" spans="1:59" customFormat="1">
      <c r="A16" s="84"/>
      <c r="B16" s="41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7"/>
        <v/>
      </c>
      <c r="AG16" s="76"/>
      <c r="AH16" s="21" t="str">
        <f>IF(C16=0,"",ROUNDUP($C7/C16,0))</f>
        <v/>
      </c>
      <c r="AI16" s="21" t="str">
        <f>IF(D16=0,"",ROUNDUP($D7/D16,0))</f>
        <v/>
      </c>
      <c r="AJ16" s="21" t="str">
        <f>IF(E16=0,"",ROUNDUP($E7/E16,0))</f>
        <v/>
      </c>
      <c r="AK16" s="21" t="str">
        <f>IF(F16=0,"",ROUNDUP($F7/F16,0))</f>
        <v/>
      </c>
      <c r="AL16" s="21" t="str">
        <f>IF(G16=0,"",ROUNDUP($G7/G16,0))</f>
        <v/>
      </c>
      <c r="AM16" s="21" t="str">
        <f>IF(H16=0,"",ROUNDUP($H7/H16,0))</f>
        <v/>
      </c>
      <c r="AN16" s="21" t="str">
        <f>IF(I16=0,"",ROUNDUP($I7/I16,0))</f>
        <v/>
      </c>
      <c r="AO16" s="21" t="str">
        <f>IF(J16=0,"",ROUNDUP($J7/J16,0))</f>
        <v/>
      </c>
      <c r="AP16" s="21" t="str">
        <f>IF(K16=0,"",ROUNDUP($K7/K16,0))</f>
        <v/>
      </c>
      <c r="AQ16" s="21" t="str">
        <f>IF(L16=0,"",ROUNDUP($L7/L16,0))</f>
        <v/>
      </c>
      <c r="AR16" s="21" t="str">
        <f>IF(M16=0,"",ROUNDUP($M7/M16,0))</f>
        <v/>
      </c>
      <c r="AS16" s="21" t="str">
        <f>IF(N16=0,"",ROUNDUP($N7/N16,0))</f>
        <v/>
      </c>
      <c r="AT16" s="21" t="str">
        <f>IF(O16=0,"",ROUNDUP($O7/O16,0))</f>
        <v/>
      </c>
      <c r="AU16" s="21" t="str">
        <f>IF(P16=0,"",ROUNDUP($P7/P16,0))</f>
        <v/>
      </c>
      <c r="AV16" s="21" t="str">
        <f>IF(Q16=0,"",ROUNDUP($Q7/Q16,0))</f>
        <v/>
      </c>
      <c r="AW16" s="21" t="str">
        <f t="shared" si="6"/>
        <v/>
      </c>
      <c r="AX16" s="21" t="str">
        <f t="shared" si="6"/>
        <v/>
      </c>
      <c r="AY16" s="21" t="str">
        <f t="shared" si="6"/>
        <v/>
      </c>
      <c r="AZ16" s="21" t="str">
        <f t="shared" si="6"/>
        <v/>
      </c>
      <c r="BA16" s="21" t="str">
        <f t="shared" si="6"/>
        <v/>
      </c>
      <c r="BB16" s="21" t="str">
        <f t="shared" si="6"/>
        <v/>
      </c>
      <c r="BC16" s="21" t="str">
        <f t="shared" si="6"/>
        <v/>
      </c>
      <c r="BD16" s="21" t="str">
        <f t="shared" si="6"/>
        <v/>
      </c>
      <c r="BE16" s="21" t="str">
        <f t="shared" si="6"/>
        <v/>
      </c>
      <c r="BF16" s="21" t="str">
        <f t="shared" si="6"/>
        <v/>
      </c>
      <c r="BG16" s="34"/>
    </row>
    <row r="17" spans="1:59" customFormat="1">
      <c r="A17" s="84"/>
      <c r="B17" s="41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7"/>
        <v/>
      </c>
      <c r="AG17" s="76"/>
      <c r="AH17" s="21" t="str">
        <f>IF(C17=0,"",ROUNDUP($C7/C17,0))</f>
        <v/>
      </c>
      <c r="AI17" s="21" t="str">
        <f>IF(D17=0,"",ROUNDUP($D7/D17,0))</f>
        <v/>
      </c>
      <c r="AJ17" s="21" t="str">
        <f>IF(E17=0,"",ROUNDUP($E7/E17,0))</f>
        <v/>
      </c>
      <c r="AK17" s="21" t="str">
        <f>IF(F17=0,"",ROUNDUP($F7/F17,0))</f>
        <v/>
      </c>
      <c r="AL17" s="21" t="str">
        <f>IF(G17=0,"",ROUNDUP($G7/G17,0))</f>
        <v/>
      </c>
      <c r="AM17" s="21" t="str">
        <f>IF(H17=0,"",ROUNDUP($H7/H17,0))</f>
        <v/>
      </c>
      <c r="AN17" s="21" t="str">
        <f>IF(I17=0,"",ROUNDUP($I7/I17,0))</f>
        <v/>
      </c>
      <c r="AO17" s="21" t="str">
        <f>IF(J17=0,"",ROUNDUP($J7/J17,0))</f>
        <v/>
      </c>
      <c r="AP17" s="21" t="str">
        <f>IF(K17=0,"",ROUNDUP($K7/K17,0))</f>
        <v/>
      </c>
      <c r="AQ17" s="21" t="str">
        <f>IF(L17=0,"",ROUNDUP($L7/L17,0))</f>
        <v/>
      </c>
      <c r="AR17" s="21" t="str">
        <f>IF(M17=0,"",ROUNDUP($M7/M17,0))</f>
        <v/>
      </c>
      <c r="AS17" s="21" t="str">
        <f>IF(N17=0,"",ROUNDUP($N7/N17,0))</f>
        <v/>
      </c>
      <c r="AT17" s="21" t="str">
        <f>IF(O17=0,"",ROUNDUP($O7/O17,0))</f>
        <v/>
      </c>
      <c r="AU17" s="21" t="str">
        <f>IF(P17=0,"",ROUNDUP($P7/P17,0))</f>
        <v/>
      </c>
      <c r="AV17" s="21" t="str">
        <f>IF(Q17=0,"",ROUNDUP($Q7/Q17,0))</f>
        <v/>
      </c>
      <c r="AW17" s="21" t="str">
        <f t="shared" si="6"/>
        <v/>
      </c>
      <c r="AX17" s="21" t="str">
        <f t="shared" si="6"/>
        <v/>
      </c>
      <c r="AY17" s="21" t="str">
        <f t="shared" si="6"/>
        <v/>
      </c>
      <c r="AZ17" s="21" t="str">
        <f t="shared" si="6"/>
        <v/>
      </c>
      <c r="BA17" s="21" t="str">
        <f t="shared" si="6"/>
        <v/>
      </c>
      <c r="BB17" s="21" t="str">
        <f t="shared" si="6"/>
        <v/>
      </c>
      <c r="BC17" s="21" t="str">
        <f t="shared" si="6"/>
        <v/>
      </c>
      <c r="BD17" s="21" t="str">
        <f t="shared" si="6"/>
        <v/>
      </c>
      <c r="BE17" s="21" t="str">
        <f t="shared" si="6"/>
        <v/>
      </c>
      <c r="BF17" s="21" t="str">
        <f t="shared" si="6"/>
        <v/>
      </c>
      <c r="BG17" s="34"/>
    </row>
    <row r="18" spans="1:59" customFormat="1">
      <c r="A18" s="84"/>
      <c r="B18" s="41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7"/>
        <v/>
      </c>
      <c r="AG18" s="76"/>
      <c r="AH18" s="21" t="str">
        <f>IF(C18=0,"",ROUNDUP($C7/C18,0))</f>
        <v/>
      </c>
      <c r="AI18" s="21" t="str">
        <f>IF(D18=0,"",ROUNDUP($D7/D18,0))</f>
        <v/>
      </c>
      <c r="AJ18" s="21" t="str">
        <f>IF(E18=0,"",ROUNDUP($E7/E18,0))</f>
        <v/>
      </c>
      <c r="AK18" s="21" t="str">
        <f>IF(F18=0,"",ROUNDUP($F7/F18,0))</f>
        <v/>
      </c>
      <c r="AL18" s="21" t="str">
        <f>IF(G18=0,"",ROUNDUP($G7/G18,0))</f>
        <v/>
      </c>
      <c r="AM18" s="21" t="str">
        <f>IF(H18=0,"",ROUNDUP($H7/H18,0))</f>
        <v/>
      </c>
      <c r="AN18" s="21" t="str">
        <f>IF(I18=0,"",ROUNDUP($I7/I18,0))</f>
        <v/>
      </c>
      <c r="AO18" s="21" t="str">
        <f>IF(J18=0,"",ROUNDUP($J7/J18,0))</f>
        <v/>
      </c>
      <c r="AP18" s="21" t="str">
        <f>IF(K18=0,"",ROUNDUP($K7/K18,0))</f>
        <v/>
      </c>
      <c r="AQ18" s="21" t="str">
        <f>IF(L18=0,"",ROUNDUP($L7/L18,0))</f>
        <v/>
      </c>
      <c r="AR18" s="21" t="str">
        <f>IF(M18=0,"",ROUNDUP($M7/M18,0))</f>
        <v/>
      </c>
      <c r="AS18" s="21" t="str">
        <f>IF(N18=0,"",ROUNDUP($N7/N18,0))</f>
        <v/>
      </c>
      <c r="AT18" s="21" t="str">
        <f>IF(O18=0,"",ROUNDUP($O7/O18,0))</f>
        <v/>
      </c>
      <c r="AU18" s="21" t="str">
        <f>IF(P18=0,"",ROUNDUP($P7/P18,0))</f>
        <v/>
      </c>
      <c r="AV18" s="21" t="str">
        <f>IF(Q18=0,"",ROUNDUP($Q7/Q18,0))</f>
        <v/>
      </c>
      <c r="AW18" s="21" t="str">
        <f t="shared" si="6"/>
        <v/>
      </c>
      <c r="AX18" s="21" t="str">
        <f t="shared" si="6"/>
        <v/>
      </c>
      <c r="AY18" s="21" t="str">
        <f t="shared" si="6"/>
        <v/>
      </c>
      <c r="AZ18" s="21" t="str">
        <f t="shared" si="6"/>
        <v/>
      </c>
      <c r="BA18" s="21" t="str">
        <f t="shared" si="6"/>
        <v/>
      </c>
      <c r="BB18" s="21" t="str">
        <f t="shared" si="6"/>
        <v/>
      </c>
      <c r="BC18" s="21" t="str">
        <f t="shared" si="6"/>
        <v/>
      </c>
      <c r="BD18" s="21" t="str">
        <f t="shared" si="6"/>
        <v/>
      </c>
      <c r="BE18" s="21" t="str">
        <f t="shared" si="6"/>
        <v/>
      </c>
      <c r="BF18" s="21" t="str">
        <f t="shared" si="6"/>
        <v/>
      </c>
      <c r="BG18" s="34"/>
    </row>
    <row r="19" spans="1:59" customFormat="1">
      <c r="A19" s="84"/>
      <c r="B19" s="41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7"/>
        <v/>
      </c>
      <c r="AG19" s="76"/>
      <c r="AH19" s="21" t="str">
        <f>IF(C19=0,"",ROUNDUP($C7/C19,0))</f>
        <v/>
      </c>
      <c r="AI19" s="21" t="str">
        <f>IF(D19=0,"",ROUNDUP($D7/D19,0))</f>
        <v/>
      </c>
      <c r="AJ19" s="21" t="str">
        <f>IF(E19=0,"",ROUNDUP($E7/E19,0))</f>
        <v/>
      </c>
      <c r="AK19" s="21" t="str">
        <f>IF(F19=0,"",ROUNDUP($F7/F19,0))</f>
        <v/>
      </c>
      <c r="AL19" s="21" t="str">
        <f>IF(G19=0,"",ROUNDUP($G7/G19,0))</f>
        <v/>
      </c>
      <c r="AM19" s="21" t="str">
        <f>IF(H19=0,"",ROUNDUP($H7/H19,0))</f>
        <v/>
      </c>
      <c r="AN19" s="21" t="str">
        <f>IF(I19=0,"",ROUNDUP($I7/I19,0))</f>
        <v/>
      </c>
      <c r="AO19" s="21" t="str">
        <f>IF(J19=0,"",ROUNDUP($J7/J19,0))</f>
        <v/>
      </c>
      <c r="AP19" s="21" t="str">
        <f>IF(K19=0,"",ROUNDUP($K7/K19,0))</f>
        <v/>
      </c>
      <c r="AQ19" s="21" t="str">
        <f>IF(L19=0,"",ROUNDUP($L7/L19,0))</f>
        <v/>
      </c>
      <c r="AR19" s="21" t="str">
        <f>IF(M19=0,"",ROUNDUP($M7/M19,0))</f>
        <v/>
      </c>
      <c r="AS19" s="21" t="str">
        <f>IF(N19=0,"",ROUNDUP($N7/N19,0))</f>
        <v/>
      </c>
      <c r="AT19" s="21" t="str">
        <f>IF(O19=0,"",ROUNDUP($O7/O19,0))</f>
        <v/>
      </c>
      <c r="AU19" s="21" t="str">
        <f>IF(P19=0,"",ROUNDUP($P7/P19,0))</f>
        <v/>
      </c>
      <c r="AV19" s="21" t="str">
        <f>IF(Q19=0,"",ROUNDUP($Q7/Q19,0))</f>
        <v/>
      </c>
      <c r="AW19" s="21" t="str">
        <f t="shared" si="6"/>
        <v/>
      </c>
      <c r="AX19" s="21" t="str">
        <f t="shared" si="6"/>
        <v/>
      </c>
      <c r="AY19" s="21" t="str">
        <f t="shared" si="6"/>
        <v/>
      </c>
      <c r="AZ19" s="21" t="str">
        <f t="shared" si="6"/>
        <v/>
      </c>
      <c r="BA19" s="21" t="str">
        <f t="shared" si="6"/>
        <v/>
      </c>
      <c r="BB19" s="21" t="str">
        <f t="shared" si="6"/>
        <v/>
      </c>
      <c r="BC19" s="21" t="str">
        <f t="shared" si="6"/>
        <v/>
      </c>
      <c r="BD19" s="21" t="str">
        <f t="shared" si="6"/>
        <v/>
      </c>
      <c r="BE19" s="21" t="str">
        <f t="shared" si="6"/>
        <v/>
      </c>
      <c r="BF19" s="21" t="str">
        <f t="shared" si="6"/>
        <v/>
      </c>
      <c r="BG19" s="34"/>
    </row>
    <row r="20" spans="1:59" customFormat="1">
      <c r="A20" s="84"/>
      <c r="B20" s="41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7"/>
        <v/>
      </c>
      <c r="AG20" s="76"/>
      <c r="AH20" s="21" t="str">
        <f>IF(C20=0,"",ROUNDUP($C7/C20,0))</f>
        <v/>
      </c>
      <c r="AI20" s="21" t="str">
        <f>IF(D20=0,"",ROUNDUP($D7/D20,0))</f>
        <v/>
      </c>
      <c r="AJ20" s="21" t="str">
        <f>IF(E20=0,"",ROUNDUP($E7/E20,0))</f>
        <v/>
      </c>
      <c r="AK20" s="21" t="str">
        <f>IF(F20=0,"",ROUNDUP($F7/F20,0))</f>
        <v/>
      </c>
      <c r="AL20" s="21" t="str">
        <f>IF(G20=0,"",ROUNDUP($G7/G20,0))</f>
        <v/>
      </c>
      <c r="AM20" s="21" t="str">
        <f>IF(H20=0,"",ROUNDUP($H7/H20,0))</f>
        <v/>
      </c>
      <c r="AN20" s="21" t="str">
        <f>IF(I20=0,"",ROUNDUP($I7/I20,0))</f>
        <v/>
      </c>
      <c r="AO20" s="21" t="str">
        <f>IF(J20=0,"",ROUNDUP($J7/J20,0))</f>
        <v/>
      </c>
      <c r="AP20" s="21" t="str">
        <f>IF(K20=0,"",ROUNDUP($K7/K20,0))</f>
        <v/>
      </c>
      <c r="AQ20" s="21" t="str">
        <f>IF(L20=0,"",ROUNDUP($L7/L20,0))</f>
        <v/>
      </c>
      <c r="AR20" s="21" t="str">
        <f>IF(M20=0,"",ROUNDUP($M7/M20,0))</f>
        <v/>
      </c>
      <c r="AS20" s="21" t="str">
        <f>IF(N20=0,"",ROUNDUP($N7/N20,0))</f>
        <v/>
      </c>
      <c r="AT20" s="21" t="str">
        <f>IF(O20=0,"",ROUNDUP($O7/O20,0))</f>
        <v/>
      </c>
      <c r="AU20" s="21" t="str">
        <f>IF(P20=0,"",ROUNDUP($P7/P20,0))</f>
        <v/>
      </c>
      <c r="AV20" s="21" t="str">
        <f>IF(Q20=0,"",ROUNDUP($Q7/Q20,0))</f>
        <v/>
      </c>
      <c r="AW20" s="21" t="str">
        <f t="shared" si="6"/>
        <v/>
      </c>
      <c r="AX20" s="21" t="str">
        <f t="shared" si="6"/>
        <v/>
      </c>
      <c r="AY20" s="21" t="str">
        <f t="shared" si="6"/>
        <v/>
      </c>
      <c r="AZ20" s="21" t="str">
        <f t="shared" si="6"/>
        <v/>
      </c>
      <c r="BA20" s="21" t="str">
        <f t="shared" si="6"/>
        <v/>
      </c>
      <c r="BB20" s="21" t="str">
        <f t="shared" si="6"/>
        <v/>
      </c>
      <c r="BC20" s="21" t="str">
        <f t="shared" si="6"/>
        <v/>
      </c>
      <c r="BD20" s="21" t="str">
        <f t="shared" si="6"/>
        <v/>
      </c>
      <c r="BE20" s="21" t="str">
        <f t="shared" si="6"/>
        <v/>
      </c>
      <c r="BF20" s="21" t="str">
        <f t="shared" si="6"/>
        <v/>
      </c>
      <c r="BG20" s="34"/>
    </row>
    <row r="21" spans="1:59" customFormat="1">
      <c r="A21" s="84"/>
      <c r="B21" s="41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7"/>
        <v/>
      </c>
      <c r="AG21" s="76"/>
      <c r="AH21" s="21" t="str">
        <f>IF(C21=0,"",ROUNDUP($C7/C21,0))</f>
        <v/>
      </c>
      <c r="AI21" s="21" t="str">
        <f>IF(D21=0,"",ROUNDUP($D7/D21,0))</f>
        <v/>
      </c>
      <c r="AJ21" s="21" t="str">
        <f>IF(E21=0,"",ROUNDUP($E7/E21,0))</f>
        <v/>
      </c>
      <c r="AK21" s="21" t="str">
        <f>IF(F21=0,"",ROUNDUP($F7/F21,0))</f>
        <v/>
      </c>
      <c r="AL21" s="21" t="str">
        <f>IF(G21=0,"",ROUNDUP($G7/G21,0))</f>
        <v/>
      </c>
      <c r="AM21" s="21" t="str">
        <f>IF(H21=0,"",ROUNDUP($H7/H21,0))</f>
        <v/>
      </c>
      <c r="AN21" s="21" t="str">
        <f>IF(I21=0,"",ROUNDUP($I7/I21,0))</f>
        <v/>
      </c>
      <c r="AO21" s="21" t="str">
        <f>IF(J21=0,"",ROUNDUP($J7/J21,0))</f>
        <v/>
      </c>
      <c r="AP21" s="21" t="str">
        <f>IF(K21=0,"",ROUNDUP($K7/K21,0))</f>
        <v/>
      </c>
      <c r="AQ21" s="21" t="str">
        <f>IF(L21=0,"",ROUNDUP($L7/L21,0))</f>
        <v/>
      </c>
      <c r="AR21" s="21" t="str">
        <f>IF(M21=0,"",ROUNDUP($M7/M21,0))</f>
        <v/>
      </c>
      <c r="AS21" s="21" t="str">
        <f>IF(N21=0,"",ROUNDUP($N7/N21,0))</f>
        <v/>
      </c>
      <c r="AT21" s="21" t="str">
        <f>IF(O21=0,"",ROUNDUP($O7/O21,0))</f>
        <v/>
      </c>
      <c r="AU21" s="21" t="str">
        <f>IF(P21=0,"",ROUNDUP($P7/P21,0))</f>
        <v/>
      </c>
      <c r="AV21" s="21" t="str">
        <f>IF(Q21=0,"",ROUNDUP($Q7/Q21,0))</f>
        <v/>
      </c>
      <c r="AW21" s="21" t="str">
        <f t="shared" si="6"/>
        <v/>
      </c>
      <c r="AX21" s="21" t="str">
        <f t="shared" si="6"/>
        <v/>
      </c>
      <c r="AY21" s="21" t="str">
        <f t="shared" si="6"/>
        <v/>
      </c>
      <c r="AZ21" s="21" t="str">
        <f t="shared" si="6"/>
        <v/>
      </c>
      <c r="BA21" s="21" t="str">
        <f t="shared" si="6"/>
        <v/>
      </c>
      <c r="BB21" s="21" t="str">
        <f t="shared" si="6"/>
        <v/>
      </c>
      <c r="BC21" s="21" t="str">
        <f t="shared" si="6"/>
        <v/>
      </c>
      <c r="BD21" s="21" t="str">
        <f t="shared" si="6"/>
        <v/>
      </c>
      <c r="BE21" s="21" t="str">
        <f t="shared" si="6"/>
        <v/>
      </c>
      <c r="BF21" s="21" t="str">
        <f t="shared" si="6"/>
        <v/>
      </c>
      <c r="BG21" s="34"/>
    </row>
    <row r="22" spans="1:59" customFormat="1">
      <c r="A22" s="84"/>
      <c r="B22" s="41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7"/>
        <v/>
      </c>
      <c r="AG22" s="76"/>
      <c r="AH22" s="21" t="str">
        <f>IF(C22=0,"",ROUNDUP($C7/C22,0))</f>
        <v/>
      </c>
      <c r="AI22" s="21" t="str">
        <f>IF(D22=0,"",ROUNDUP($D7/D22,0))</f>
        <v/>
      </c>
      <c r="AJ22" s="21" t="str">
        <f>IF(E22=0,"",ROUNDUP($E7/E22,0))</f>
        <v/>
      </c>
      <c r="AK22" s="21" t="str">
        <f>IF(F22=0,"",ROUNDUP($F7/F22,0))</f>
        <v/>
      </c>
      <c r="AL22" s="21" t="str">
        <f>IF(G22=0,"",ROUNDUP($G7/G22,0))</f>
        <v/>
      </c>
      <c r="AM22" s="21" t="str">
        <f>IF(H22=0,"",ROUNDUP($H7/H22,0))</f>
        <v/>
      </c>
      <c r="AN22" s="21" t="str">
        <f>IF(I22=0,"",ROUNDUP($I7/I22,0))</f>
        <v/>
      </c>
      <c r="AO22" s="21" t="str">
        <f>IF(J22=0,"",ROUNDUP($J7/J22,0))</f>
        <v/>
      </c>
      <c r="AP22" s="21" t="str">
        <f>IF(K22=0,"",ROUNDUP($K7/K22,0))</f>
        <v/>
      </c>
      <c r="AQ22" s="21" t="str">
        <f>IF(L22=0,"",ROUNDUP($L7/L22,0))</f>
        <v/>
      </c>
      <c r="AR22" s="21" t="str">
        <f>IF(M22=0,"",ROUNDUP($M7/M22,0))</f>
        <v/>
      </c>
      <c r="AS22" s="21" t="str">
        <f>IF(N22=0,"",ROUNDUP($N7/N22,0))</f>
        <v/>
      </c>
      <c r="AT22" s="21" t="str">
        <f>IF(O22=0,"",ROUNDUP($O7/O22,0))</f>
        <v/>
      </c>
      <c r="AU22" s="21" t="str">
        <f>IF(P22=0,"",ROUNDUP($P7/P22,0))</f>
        <v/>
      </c>
      <c r="AV22" s="21" t="str">
        <f>IF(Q22=0,"",ROUNDUP($Q7/Q22,0))</f>
        <v/>
      </c>
      <c r="AW22" s="21" t="str">
        <f t="shared" si="6"/>
        <v/>
      </c>
      <c r="AX22" s="21" t="str">
        <f t="shared" si="6"/>
        <v/>
      </c>
      <c r="AY22" s="21" t="str">
        <f t="shared" si="6"/>
        <v/>
      </c>
      <c r="AZ22" s="21" t="str">
        <f t="shared" si="6"/>
        <v/>
      </c>
      <c r="BA22" s="21" t="str">
        <f t="shared" si="6"/>
        <v/>
      </c>
      <c r="BB22" s="21" t="str">
        <f t="shared" si="6"/>
        <v/>
      </c>
      <c r="BC22" s="21" t="str">
        <f t="shared" si="6"/>
        <v/>
      </c>
      <c r="BD22" s="21" t="str">
        <f t="shared" si="6"/>
        <v/>
      </c>
      <c r="BE22" s="21" t="str">
        <f t="shared" si="6"/>
        <v/>
      </c>
      <c r="BF22" s="21" t="str">
        <f t="shared" si="6"/>
        <v/>
      </c>
      <c r="BG22" s="34"/>
    </row>
    <row r="23" spans="1:59" customFormat="1">
      <c r="A23" s="84"/>
      <c r="B23" s="41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7"/>
        <v/>
      </c>
      <c r="AG23" s="76"/>
      <c r="AH23" s="21" t="str">
        <f>IF(C23=0,"",ROUNDUP($C7/C23,0))</f>
        <v/>
      </c>
      <c r="AI23" s="21" t="str">
        <f>IF(D23=0,"",ROUNDUP($D7/D23,0))</f>
        <v/>
      </c>
      <c r="AJ23" s="21" t="str">
        <f>IF(E23=0,"",ROUNDUP($E7/E23,0))</f>
        <v/>
      </c>
      <c r="AK23" s="21" t="str">
        <f>IF(F23=0,"",ROUNDUP($F7/F23,0))</f>
        <v/>
      </c>
      <c r="AL23" s="21" t="str">
        <f>IF(G23=0,"",ROUNDUP($G7/G23,0))</f>
        <v/>
      </c>
      <c r="AM23" s="21" t="str">
        <f>IF(H23=0,"",ROUNDUP($H7/H23,0))</f>
        <v/>
      </c>
      <c r="AN23" s="21" t="str">
        <f>IF(I23=0,"",ROUNDUP($I7/I23,0))</f>
        <v/>
      </c>
      <c r="AO23" s="21" t="str">
        <f>IF(J23=0,"",ROUNDUP($J7/J23,0))</f>
        <v/>
      </c>
      <c r="AP23" s="21" t="str">
        <f>IF(K23=0,"",ROUNDUP($K7/K23,0))</f>
        <v/>
      </c>
      <c r="AQ23" s="21" t="str">
        <f>IF(L23=0,"",ROUNDUP($L7/L23,0))</f>
        <v/>
      </c>
      <c r="AR23" s="21" t="str">
        <f>IF(M23=0,"",ROUNDUP($M7/M23,0))</f>
        <v/>
      </c>
      <c r="AS23" s="21" t="str">
        <f>IF(N23=0,"",ROUNDUP($N7/N23,0))</f>
        <v/>
      </c>
      <c r="AT23" s="21" t="str">
        <f>IF(O23=0,"",ROUNDUP($O7/O23,0))</f>
        <v/>
      </c>
      <c r="AU23" s="21" t="str">
        <f>IF(P23=0,"",ROUNDUP($P7/P23,0))</f>
        <v/>
      </c>
      <c r="AV23" s="21" t="str">
        <f>IF(Q23=0,"",ROUNDUP($Q7/Q23,0))</f>
        <v/>
      </c>
      <c r="AW23" s="21" t="str">
        <f t="shared" si="6"/>
        <v/>
      </c>
      <c r="AX23" s="21" t="str">
        <f t="shared" si="6"/>
        <v/>
      </c>
      <c r="AY23" s="21" t="str">
        <f t="shared" si="6"/>
        <v/>
      </c>
      <c r="AZ23" s="21" t="str">
        <f t="shared" si="6"/>
        <v/>
      </c>
      <c r="BA23" s="21" t="str">
        <f t="shared" si="6"/>
        <v/>
      </c>
      <c r="BB23" s="21" t="str">
        <f t="shared" si="6"/>
        <v/>
      </c>
      <c r="BC23" s="21" t="str">
        <f t="shared" si="6"/>
        <v/>
      </c>
      <c r="BD23" s="21" t="str">
        <f t="shared" si="6"/>
        <v/>
      </c>
      <c r="BE23" s="21" t="str">
        <f t="shared" si="6"/>
        <v/>
      </c>
      <c r="BF23" s="21" t="str">
        <f t="shared" si="6"/>
        <v/>
      </c>
      <c r="BG23" s="34"/>
    </row>
    <row r="24" spans="1:59" customFormat="1">
      <c r="A24" s="85"/>
      <c r="B24" s="41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7"/>
        <v/>
      </c>
      <c r="AG24" s="77"/>
      <c r="AH24" s="21" t="str">
        <f>IF(C24=0,"",ROUNDUP($C7/C24,0))</f>
        <v/>
      </c>
      <c r="AI24" s="21" t="str">
        <f>IF(D24=0,"",ROUNDUP($D7/D24,0))</f>
        <v/>
      </c>
      <c r="AJ24" s="21" t="str">
        <f>IF(E24=0,"",ROUNDUP($E7/E24,0))</f>
        <v/>
      </c>
      <c r="AK24" s="21" t="str">
        <f>IF(F24=0,"",ROUNDUP($F7/F24,0))</f>
        <v/>
      </c>
      <c r="AL24" s="21" t="str">
        <f>IF(G24=0,"",ROUNDUP($G7/G24,0))</f>
        <v/>
      </c>
      <c r="AM24" s="21" t="str">
        <f>IF(H24=0,"",ROUNDUP($H7/H24,0))</f>
        <v/>
      </c>
      <c r="AN24" s="21" t="str">
        <f>IF(I24=0,"",ROUNDUP($I7/I24,0))</f>
        <v/>
      </c>
      <c r="AO24" s="21" t="str">
        <f>IF(J24=0,"",ROUNDUP($J7/J24,0))</f>
        <v/>
      </c>
      <c r="AP24" s="21" t="str">
        <f>IF(K24=0,"",ROUNDUP($K7/K24,0))</f>
        <v/>
      </c>
      <c r="AQ24" s="21" t="str">
        <f>IF(L24=0,"",ROUNDUP($L7/L24,0))</f>
        <v/>
      </c>
      <c r="AR24" s="21" t="str">
        <f>IF(M24=0,"",ROUNDUP($M7/M24,0))</f>
        <v/>
      </c>
      <c r="AS24" s="21" t="str">
        <f>IF(N24=0,"",ROUNDUP($N7/N24,0))</f>
        <v/>
      </c>
      <c r="AT24" s="21" t="str">
        <f>IF(O24=0,"",ROUNDUP($O7/O24,0))</f>
        <v/>
      </c>
      <c r="AU24" s="21" t="str">
        <f>IF(P24=0,"",ROUNDUP($P7/P24,0))</f>
        <v/>
      </c>
      <c r="AV24" s="21" t="str">
        <f>IF(Q24=0,"",ROUNDUP($Q7/Q24,0))</f>
        <v/>
      </c>
      <c r="AW24" s="21" t="str">
        <f t="shared" si="6"/>
        <v/>
      </c>
      <c r="AX24" s="21" t="str">
        <f t="shared" si="6"/>
        <v/>
      </c>
      <c r="AY24" s="21" t="str">
        <f t="shared" si="6"/>
        <v/>
      </c>
      <c r="AZ24" s="21" t="str">
        <f t="shared" si="6"/>
        <v/>
      </c>
      <c r="BA24" s="21" t="str">
        <f t="shared" si="6"/>
        <v/>
      </c>
      <c r="BB24" s="21" t="str">
        <f t="shared" si="6"/>
        <v/>
      </c>
      <c r="BC24" s="21" t="str">
        <f t="shared" si="6"/>
        <v/>
      </c>
      <c r="BD24" s="21" t="str">
        <f t="shared" si="6"/>
        <v/>
      </c>
      <c r="BE24" s="21" t="str">
        <f t="shared" si="6"/>
        <v/>
      </c>
      <c r="BF24" s="21" t="str">
        <f t="shared" si="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8" t="s">
        <v>586</v>
      </c>
      <c r="AB25" s="78"/>
      <c r="AC25" s="23">
        <f>SUM(AC10:AC24)</f>
        <v>0</v>
      </c>
      <c r="AD25" s="78" t="s">
        <v>592</v>
      </c>
      <c r="AE25" s="78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C4:AA4"/>
    <mergeCell ref="AB4:AB5"/>
    <mergeCell ref="AC4:AD4"/>
    <mergeCell ref="AE4:AF4"/>
    <mergeCell ref="AG4:AG24"/>
    <mergeCell ref="M3:N3"/>
    <mergeCell ref="O3:P3"/>
    <mergeCell ref="AB3:AU3"/>
    <mergeCell ref="A1:AF1"/>
    <mergeCell ref="AH1:AK1"/>
    <mergeCell ref="B2:E2"/>
    <mergeCell ref="G2:J2"/>
    <mergeCell ref="K2:L2"/>
  </mergeCells>
  <phoneticPr fontId="15" type="noConversion"/>
  <conditionalFormatting sqref="AE6:AF6 AC7">
    <cfRule type="cellIs" dxfId="28" priority="14" operator="lessThanOrEqual">
      <formula>0</formula>
    </cfRule>
  </conditionalFormatting>
  <conditionalFormatting sqref="AF10:AF25 AC10:AC25 B10:B24 AB6 AE5:AF5 C7:AB7 AW10:BF24 AH5:BF5">
    <cfRule type="notContainsBlanks" dxfId="27" priority="15">
      <formula>LEN(TRIM(B5))&gt;0</formula>
    </cfRule>
  </conditionalFormatting>
  <conditionalFormatting sqref="AE6:AF6">
    <cfRule type="cellIs" dxfId="26" priority="12" operator="greaterThanOrEqual">
      <formula>20</formula>
    </cfRule>
    <cfRule type="cellIs" dxfId="25" priority="13" operator="greaterThanOrEqual">
      <formula>1</formula>
    </cfRule>
  </conditionalFormatting>
  <conditionalFormatting sqref="AE7 AH1 A10 AD10:AE24 C5:AA6 C10:AB24 B2:B5 G2 AE4">
    <cfRule type="containsBlanks" dxfId="24" priority="16">
      <formula>LEN(TRIM(A1))=0</formula>
    </cfRule>
    <cfRule type="notContainsBlanks" dxfId="23" priority="17">
      <formula>LEN(TRIM(A1))&gt;0</formula>
    </cfRule>
  </conditionalFormatting>
  <conditionalFormatting sqref="F3">
    <cfRule type="containsBlanks" dxfId="22" priority="8">
      <formula>LEN(TRIM(F3))=0</formula>
    </cfRule>
    <cfRule type="notContainsBlanks" dxfId="21" priority="9">
      <formula>LEN(TRIM(F3))&gt;0</formula>
    </cfRule>
  </conditionalFormatting>
  <conditionalFormatting sqref="K3">
    <cfRule type="containsBlanks" dxfId="20" priority="6">
      <formula>LEN(TRIM(K3))=0</formula>
    </cfRule>
    <cfRule type="notContainsBlanks" dxfId="19" priority="7">
      <formula>LEN(TRIM(K3))&gt;0</formula>
    </cfRule>
  </conditionalFormatting>
  <conditionalFormatting sqref="M2">
    <cfRule type="notContainsBlanks" dxfId="18" priority="4">
      <formula>LEN(TRIM(M2))&gt;0</formula>
    </cfRule>
  </conditionalFormatting>
  <conditionalFormatting sqref="O3">
    <cfRule type="containsBlanks" dxfId="17" priority="2">
      <formula>LEN(TRIM(O3))=0</formula>
    </cfRule>
    <cfRule type="notContainsBlanks" dxfId="16" priority="3">
      <formula>LEN(TRIM(O3))&gt;0</formula>
    </cfRule>
  </conditionalFormatting>
  <conditionalFormatting sqref="AH10:AV24">
    <cfRule type="notContainsBlanks" dxfId="3" priority="1">
      <formula>LEN(TRIM(AH10))&gt;0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/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3" t="s">
        <v>595</v>
      </c>
      <c r="D1" s="64"/>
      <c r="E1" s="65"/>
      <c r="F1" s="66"/>
      <c r="G1" s="67"/>
      <c r="H1" s="68"/>
      <c r="I1" s="63" t="s">
        <v>594</v>
      </c>
      <c r="J1" s="65"/>
      <c r="K1" s="69"/>
      <c r="L1" s="70"/>
      <c r="M1" s="63" t="s">
        <v>597</v>
      </c>
      <c r="N1" s="65"/>
      <c r="O1" s="69"/>
      <c r="P1" s="70"/>
      <c r="Q1" s="48"/>
      <c r="R1" s="48"/>
      <c r="S1" s="48"/>
      <c r="T1" s="48"/>
      <c r="U1" s="48"/>
      <c r="V1" s="48"/>
      <c r="W1" s="48"/>
      <c r="X1" s="48"/>
      <c r="Y1" s="48"/>
      <c r="Z1" s="48"/>
      <c r="AA1" s="49"/>
      <c r="AB1" s="50"/>
      <c r="AC1" s="50"/>
      <c r="AD1" s="50"/>
      <c r="AE1" s="50"/>
      <c r="AF1" s="50"/>
      <c r="AG1" s="50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2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3" t="s">
        <v>589</v>
      </c>
      <c r="B2" s="12"/>
      <c r="C2" s="61" t="s">
        <v>577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72" t="s">
        <v>590</v>
      </c>
      <c r="AC2" s="61" t="s">
        <v>579</v>
      </c>
      <c r="AD2" s="61"/>
      <c r="AE2" s="73"/>
      <c r="AF2" s="74"/>
      <c r="AG2" s="75"/>
      <c r="AH2" s="58" t="s">
        <v>577</v>
      </c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60"/>
      <c r="BG2" s="34"/>
    </row>
    <row r="3" spans="1:59" customFormat="1" ht="15">
      <c r="A3" s="45" t="s">
        <v>7</v>
      </c>
      <c r="B3" s="1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72"/>
      <c r="AC3" s="61" t="s">
        <v>580</v>
      </c>
      <c r="AD3" s="61"/>
      <c r="AE3" s="62">
        <f>SUM(AF8:AF22)</f>
        <v>0</v>
      </c>
      <c r="AF3" s="62"/>
      <c r="AG3" s="76"/>
      <c r="AH3" s="44" t="str">
        <f t="shared" ref="AH3:AU3" si="0">IF(C3="", "", C3)</f>
        <v/>
      </c>
      <c r="AI3" s="44" t="str">
        <f t="shared" si="0"/>
        <v/>
      </c>
      <c r="AJ3" s="44" t="str">
        <f t="shared" si="0"/>
        <v/>
      </c>
      <c r="AK3" s="44" t="str">
        <f t="shared" si="0"/>
        <v/>
      </c>
      <c r="AL3" s="44" t="str">
        <f t="shared" si="0"/>
        <v/>
      </c>
      <c r="AM3" s="44" t="str">
        <f t="shared" si="0"/>
        <v/>
      </c>
      <c r="AN3" s="44" t="str">
        <f t="shared" si="0"/>
        <v/>
      </c>
      <c r="AO3" s="44" t="str">
        <f t="shared" si="0"/>
        <v/>
      </c>
      <c r="AP3" s="44" t="str">
        <f t="shared" si="0"/>
        <v/>
      </c>
      <c r="AQ3" s="44" t="str">
        <f t="shared" si="0"/>
        <v/>
      </c>
      <c r="AR3" s="44" t="str">
        <f t="shared" si="0"/>
        <v/>
      </c>
      <c r="AS3" s="44" t="str">
        <f t="shared" si="0"/>
        <v/>
      </c>
      <c r="AT3" s="44" t="str">
        <f t="shared" si="0"/>
        <v/>
      </c>
      <c r="AU3" s="44" t="str">
        <f t="shared" si="0"/>
        <v/>
      </c>
      <c r="AV3" s="44" t="str">
        <f>IF(Q3="", "", Q3)</f>
        <v/>
      </c>
      <c r="AW3" s="44" t="str">
        <f t="shared" ref="AW3:BF3" si="1">IF(R3="", "", R3)</f>
        <v/>
      </c>
      <c r="AX3" s="44" t="str">
        <f t="shared" si="1"/>
        <v/>
      </c>
      <c r="AY3" s="44" t="str">
        <f t="shared" si="1"/>
        <v/>
      </c>
      <c r="AZ3" s="44" t="str">
        <f t="shared" si="1"/>
        <v/>
      </c>
      <c r="BA3" s="44" t="str">
        <f t="shared" si="1"/>
        <v/>
      </c>
      <c r="BB3" s="44" t="str">
        <f t="shared" si="1"/>
        <v/>
      </c>
      <c r="BC3" s="44" t="str">
        <f t="shared" si="1"/>
        <v/>
      </c>
      <c r="BD3" s="44" t="str">
        <f t="shared" si="1"/>
        <v/>
      </c>
      <c r="BE3" s="44" t="str">
        <f t="shared" si="1"/>
        <v/>
      </c>
      <c r="BF3" s="44" t="str">
        <f t="shared" si="1"/>
        <v/>
      </c>
      <c r="BG3" s="34"/>
    </row>
    <row r="4" spans="1:59" customFormat="1" ht="15">
      <c r="A4" s="79" t="s">
        <v>581</v>
      </c>
      <c r="B4" s="79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19">
        <f>SUM(C4:AA4)</f>
        <v>0</v>
      </c>
      <c r="AC4" s="80" t="str">
        <f>IF(AE4&lt;5,"NO ",IF(AE4=5,"OK",IF(AE4&gt;5,"OK")))</f>
        <v xml:space="preserve">NO </v>
      </c>
      <c r="AD4" s="80"/>
      <c r="AE4" s="62">
        <f>AE2-AE3-AE5</f>
        <v>0</v>
      </c>
      <c r="AF4" s="62"/>
      <c r="AG4" s="76"/>
      <c r="AH4" s="71" t="s">
        <v>593</v>
      </c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34"/>
    </row>
    <row r="5" spans="1:59" customFormat="1" ht="15">
      <c r="A5" s="79" t="s">
        <v>588</v>
      </c>
      <c r="B5" s="79"/>
      <c r="C5" s="47" t="str">
        <f t="shared" ref="C5:AA5" si="2">IF(C3="","",C4-C8*$AB8-C9*$AB9-C10*$AB10-C11*$AB11-C12*$AB12-C13*$AB13-C14*$AB14-C15*$AB15-C16*$AB16-C17*$AB17-C18*$AB18-C19*$AB19-C20*$AB20-C21*$AB21-C22*$AB22)</f>
        <v/>
      </c>
      <c r="D5" s="47" t="str">
        <f t="shared" si="2"/>
        <v/>
      </c>
      <c r="E5" s="47" t="str">
        <f t="shared" si="2"/>
        <v/>
      </c>
      <c r="F5" s="47" t="str">
        <f t="shared" si="2"/>
        <v/>
      </c>
      <c r="G5" s="47" t="str">
        <f t="shared" si="2"/>
        <v/>
      </c>
      <c r="H5" s="47" t="str">
        <f t="shared" si="2"/>
        <v/>
      </c>
      <c r="I5" s="47" t="str">
        <f t="shared" si="2"/>
        <v/>
      </c>
      <c r="J5" s="47" t="str">
        <f t="shared" si="2"/>
        <v/>
      </c>
      <c r="K5" s="47" t="str">
        <f t="shared" si="2"/>
        <v/>
      </c>
      <c r="L5" s="47" t="str">
        <f t="shared" si="2"/>
        <v/>
      </c>
      <c r="M5" s="47" t="str">
        <f t="shared" si="2"/>
        <v/>
      </c>
      <c r="N5" s="47" t="str">
        <f t="shared" si="2"/>
        <v/>
      </c>
      <c r="O5" s="47" t="str">
        <f t="shared" si="2"/>
        <v/>
      </c>
      <c r="P5" s="47" t="str">
        <f t="shared" si="2"/>
        <v/>
      </c>
      <c r="Q5" s="47" t="str">
        <f t="shared" si="2"/>
        <v/>
      </c>
      <c r="R5" s="47" t="str">
        <f t="shared" si="2"/>
        <v/>
      </c>
      <c r="S5" s="47" t="str">
        <f t="shared" si="2"/>
        <v/>
      </c>
      <c r="T5" s="47" t="str">
        <f t="shared" si="2"/>
        <v/>
      </c>
      <c r="U5" s="47" t="str">
        <f t="shared" si="2"/>
        <v/>
      </c>
      <c r="V5" s="47" t="str">
        <f t="shared" si="2"/>
        <v/>
      </c>
      <c r="W5" s="47" t="str">
        <f t="shared" si="2"/>
        <v/>
      </c>
      <c r="X5" s="47" t="str">
        <f t="shared" si="2"/>
        <v/>
      </c>
      <c r="Y5" s="47" t="str">
        <f t="shared" si="2"/>
        <v/>
      </c>
      <c r="Z5" s="47" t="str">
        <f t="shared" si="2"/>
        <v/>
      </c>
      <c r="AA5" s="47" t="str">
        <f t="shared" si="2"/>
        <v/>
      </c>
      <c r="AB5" s="47">
        <f>SUM(C5:AA5)</f>
        <v>0</v>
      </c>
      <c r="AC5" s="61" t="s">
        <v>587</v>
      </c>
      <c r="AD5" s="61"/>
      <c r="AE5" s="74"/>
      <c r="AF5" s="74"/>
      <c r="AG5" s="76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34"/>
    </row>
    <row r="6" spans="1:59" customFormat="1" ht="15">
      <c r="A6" s="81" t="s">
        <v>591</v>
      </c>
      <c r="B6" s="61" t="s">
        <v>10</v>
      </c>
      <c r="C6" s="61" t="s">
        <v>0</v>
      </c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 t="s">
        <v>8</v>
      </c>
      <c r="AC6" s="81" t="s">
        <v>581</v>
      </c>
      <c r="AD6" s="81" t="s">
        <v>582</v>
      </c>
      <c r="AE6" s="81"/>
      <c r="AF6" s="82" t="s">
        <v>583</v>
      </c>
      <c r="AG6" s="76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34"/>
    </row>
    <row r="7" spans="1:59" customFormat="1" ht="1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81"/>
      <c r="AD7" s="46" t="s">
        <v>584</v>
      </c>
      <c r="AE7" s="46" t="s">
        <v>585</v>
      </c>
      <c r="AF7" s="82"/>
      <c r="AG7" s="76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34"/>
    </row>
    <row r="8" spans="1:59" customFormat="1">
      <c r="A8" s="83"/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20" t="str">
        <f t="shared" ref="AC8:AC22" si="3">IF(AB8="","",SUM(C8:AA8)*AB8)</f>
        <v/>
      </c>
      <c r="AD8" s="42"/>
      <c r="AE8" s="42"/>
      <c r="AF8" s="19" t="str">
        <f>IF(AB8="","",(AD8+(AE8/36))*AB8)</f>
        <v/>
      </c>
      <c r="AG8" s="76"/>
      <c r="AH8" s="21" t="str">
        <f>IF(C8=0,"",ROUNDUP($C5/C8,0))</f>
        <v/>
      </c>
      <c r="AI8" s="21" t="str">
        <f>IF(D8=0,"",ROUNDUP($D5/D8,0))</f>
        <v/>
      </c>
      <c r="AJ8" s="21" t="str">
        <f>IF(E8=0,"",ROUNDUP($E5/E8,0))</f>
        <v/>
      </c>
      <c r="AK8" s="21" t="str">
        <f>IF(F8=0,"",ROUNDUP($F5/F8,0))</f>
        <v/>
      </c>
      <c r="AL8" s="21" t="str">
        <f>IF(G8=0,"",ROUNDUP($G5/G8,0))</f>
        <v/>
      </c>
      <c r="AM8" s="21" t="str">
        <f>IF(H8=0,"",ROUNDUP($H5/H8,0))</f>
        <v/>
      </c>
      <c r="AN8" s="21" t="str">
        <f>IF(I8=0,"",ROUNDUP($I5/I8,0))</f>
        <v/>
      </c>
      <c r="AO8" s="21" t="str">
        <f>IF(J8=0,"",ROUNDUP($J5/J8,0))</f>
        <v/>
      </c>
      <c r="AP8" s="21" t="str">
        <f>IF(K8=0,"",ROUNDUP($K5/K8,0))</f>
        <v/>
      </c>
      <c r="AQ8" s="21" t="str">
        <f>IF(L8=0,"",ROUNDUP($L5/L8,0))</f>
        <v/>
      </c>
      <c r="AR8" s="21" t="str">
        <f>IF(M8=0,"",ROUNDUP($M5/M8,0))</f>
        <v/>
      </c>
      <c r="AS8" s="21" t="str">
        <f>IF(N8=0,"",ROUNDUP($N5/N8,0))</f>
        <v/>
      </c>
      <c r="AT8" s="21" t="str">
        <f>IF(O8=0,"",ROUNDUP($O5/O8,0))</f>
        <v/>
      </c>
      <c r="AU8" s="21" t="str">
        <f>IF(P8=0,"",ROUNDUP($P5/P8,0))</f>
        <v/>
      </c>
      <c r="AV8" s="21" t="str">
        <f>IF(Q8=0,"",ROUNDUP($Q5/Q8,0))</f>
        <v/>
      </c>
      <c r="AW8" s="21" t="str">
        <f t="shared" ref="AH8:AW22" si="4">IF(R8=0,"",ROUNDUP(R$5/R8,0))</f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84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20" t="str">
        <f t="shared" si="3"/>
        <v/>
      </c>
      <c r="AD9" s="42"/>
      <c r="AE9" s="42"/>
      <c r="AF9" s="19" t="str">
        <f>IF(AB9="","",(AD9+(AE9/36))*AB9)</f>
        <v/>
      </c>
      <c r="AG9" s="76"/>
      <c r="AH9" s="21" t="str">
        <f>IF(C9=0,"",ROUNDUP($C5/C9,0))</f>
        <v/>
      </c>
      <c r="AI9" s="21" t="str">
        <f>IF(D9=0,"",ROUNDUP($D5/D9,0))</f>
        <v/>
      </c>
      <c r="AJ9" s="21" t="str">
        <f>IF(E9=0,"",ROUNDUP($E5/E9,0))</f>
        <v/>
      </c>
      <c r="AK9" s="21" t="str">
        <f>IF(F9=0,"",ROUNDUP($F5/F9,0))</f>
        <v/>
      </c>
      <c r="AL9" s="21" t="str">
        <f>IF(G9=0,"",ROUNDUP($G5/G9,0))</f>
        <v/>
      </c>
      <c r="AM9" s="21" t="str">
        <f>IF(H9=0,"",ROUNDUP($H5/H9,0))</f>
        <v/>
      </c>
      <c r="AN9" s="21" t="str">
        <f>IF(I9=0,"",ROUNDUP($I5/I9,0))</f>
        <v/>
      </c>
      <c r="AO9" s="21" t="str">
        <f>IF(J9=0,"",ROUNDUP($J5/J9,0))</f>
        <v/>
      </c>
      <c r="AP9" s="21" t="str">
        <f>IF(K9=0,"",ROUNDUP($K5/K9,0))</f>
        <v/>
      </c>
      <c r="AQ9" s="21" t="str">
        <f>IF(L9=0,"",ROUNDUP($L5/L9,0))</f>
        <v/>
      </c>
      <c r="AR9" s="21" t="str">
        <f>IF(M9=0,"",ROUNDUP($M5/M9,0))</f>
        <v/>
      </c>
      <c r="AS9" s="21" t="str">
        <f>IF(N9=0,"",ROUNDUP($N5/N9,0))</f>
        <v/>
      </c>
      <c r="AT9" s="21" t="str">
        <f>IF(O9=0,"",ROUNDUP($O5/O9,0))</f>
        <v/>
      </c>
      <c r="AU9" s="21" t="str">
        <f>IF(P9=0,"",ROUNDUP($P5/P9,0))</f>
        <v/>
      </c>
      <c r="AV9" s="21" t="str">
        <f>IF(Q9=0,"",ROUNDUP($Q5/Q9,0))</f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84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20" t="str">
        <f t="shared" si="3"/>
        <v/>
      </c>
      <c r="AD10" s="42"/>
      <c r="AE10" s="42"/>
      <c r="AF10" s="19" t="str">
        <f>IF(AB10="","",(AD10+(AE10/36))*AB10)</f>
        <v/>
      </c>
      <c r="AG10" s="76"/>
      <c r="AH10" s="21" t="str">
        <f>IF(C10=0,"",ROUNDUP($C5/C10,0))</f>
        <v/>
      </c>
      <c r="AI10" s="21" t="str">
        <f>IF(D10=0,"",ROUNDUP($D5/D10,0))</f>
        <v/>
      </c>
      <c r="AJ10" s="21" t="str">
        <f>IF(E10=0,"",ROUNDUP($E5/E10,0))</f>
        <v/>
      </c>
      <c r="AK10" s="21" t="str">
        <f>IF(F10=0,"",ROUNDUP($F5/F10,0))</f>
        <v/>
      </c>
      <c r="AL10" s="21" t="str">
        <f>IF(G10=0,"",ROUNDUP($G5/G10,0))</f>
        <v/>
      </c>
      <c r="AM10" s="21" t="str">
        <f>IF(H10=0,"",ROUNDUP($H5/H10,0))</f>
        <v/>
      </c>
      <c r="AN10" s="21" t="str">
        <f>IF(I10=0,"",ROUNDUP($I5/I10,0))</f>
        <v/>
      </c>
      <c r="AO10" s="21" t="str">
        <f>IF(J10=0,"",ROUNDUP($J5/J10,0))</f>
        <v/>
      </c>
      <c r="AP10" s="21" t="str">
        <f>IF(K10=0,"",ROUNDUP($K5/K10,0))</f>
        <v/>
      </c>
      <c r="AQ10" s="21" t="str">
        <f>IF(L10=0,"",ROUNDUP($L5/L10,0))</f>
        <v/>
      </c>
      <c r="AR10" s="21" t="str">
        <f>IF(M10=0,"",ROUNDUP($M5/M10,0))</f>
        <v/>
      </c>
      <c r="AS10" s="21" t="str">
        <f>IF(N10=0,"",ROUNDUP($N5/N10,0))</f>
        <v/>
      </c>
      <c r="AT10" s="21" t="str">
        <f>IF(O10=0,"",ROUNDUP($O5/O10,0))</f>
        <v/>
      </c>
      <c r="AU10" s="21" t="str">
        <f>IF(P10=0,"",ROUNDUP($P5/P10,0))</f>
        <v/>
      </c>
      <c r="AV10" s="21" t="str">
        <f>IF(Q10=0,"",ROUNDUP($Q5/Q10,0))</f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84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20" t="str">
        <f t="shared" si="3"/>
        <v/>
      </c>
      <c r="AD11" s="42"/>
      <c r="AE11" s="42"/>
      <c r="AF11" s="19" t="str">
        <f>IF(AB11="","",(AD11+(AE11/36))*AB11)</f>
        <v/>
      </c>
      <c r="AG11" s="76"/>
      <c r="AH11" s="21" t="str">
        <f>IF(C11=0,"",ROUNDUP($C5/C11,0))</f>
        <v/>
      </c>
      <c r="AI11" s="21" t="str">
        <f>IF(D11=0,"",ROUNDUP($D5/D11,0))</f>
        <v/>
      </c>
      <c r="AJ11" s="21" t="str">
        <f>IF(E11=0,"",ROUNDUP($E5/E11,0))</f>
        <v/>
      </c>
      <c r="AK11" s="21" t="str">
        <f>IF(F11=0,"",ROUNDUP($F5/F11,0))</f>
        <v/>
      </c>
      <c r="AL11" s="21" t="str">
        <f>IF(G11=0,"",ROUNDUP($G5/G11,0))</f>
        <v/>
      </c>
      <c r="AM11" s="21" t="str">
        <f>IF(H11=0,"",ROUNDUP($H5/H11,0))</f>
        <v/>
      </c>
      <c r="AN11" s="21" t="str">
        <f>IF(I11=0,"",ROUNDUP($I5/I11,0))</f>
        <v/>
      </c>
      <c r="AO11" s="21" t="str">
        <f>IF(J11=0,"",ROUNDUP($J5/J11,0))</f>
        <v/>
      </c>
      <c r="AP11" s="21" t="str">
        <f>IF(K11=0,"",ROUNDUP($K5/K11,0))</f>
        <v/>
      </c>
      <c r="AQ11" s="21" t="str">
        <f>IF(L11=0,"",ROUNDUP($L5/L11,0))</f>
        <v/>
      </c>
      <c r="AR11" s="21" t="str">
        <f>IF(M11=0,"",ROUNDUP($M5/M11,0))</f>
        <v/>
      </c>
      <c r="AS11" s="21" t="str">
        <f>IF(N11=0,"",ROUNDUP($N5/N11,0))</f>
        <v/>
      </c>
      <c r="AT11" s="21" t="str">
        <f>IF(O11=0,"",ROUNDUP($O5/O11,0))</f>
        <v/>
      </c>
      <c r="AU11" s="21" t="str">
        <f>IF(P11=0,"",ROUNDUP($P5/P11,0))</f>
        <v/>
      </c>
      <c r="AV11" s="21" t="str">
        <f>IF(Q11=0,"",ROUNDUP($Q5/Q11,0))</f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84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20" t="str">
        <f t="shared" si="3"/>
        <v/>
      </c>
      <c r="AD12" s="42"/>
      <c r="AE12" s="42"/>
      <c r="AF12" s="19" t="str">
        <f>IF(AB12="","",(AD12+(AE12/36))*AB12)</f>
        <v/>
      </c>
      <c r="AG12" s="76"/>
      <c r="AH12" s="21" t="str">
        <f>IF(C12=0,"",ROUNDUP($C5/C12,0))</f>
        <v/>
      </c>
      <c r="AI12" s="21" t="str">
        <f>IF(D12=0,"",ROUNDUP($D5/D12,0))</f>
        <v/>
      </c>
      <c r="AJ12" s="21" t="str">
        <f>IF(E12=0,"",ROUNDUP($E5/E12,0))</f>
        <v/>
      </c>
      <c r="AK12" s="21" t="str">
        <f>IF(F12=0,"",ROUNDUP($F5/F12,0))</f>
        <v/>
      </c>
      <c r="AL12" s="21" t="str">
        <f>IF(G12=0,"",ROUNDUP($G5/G12,0))</f>
        <v/>
      </c>
      <c r="AM12" s="21" t="str">
        <f>IF(H12=0,"",ROUNDUP($H5/H12,0))</f>
        <v/>
      </c>
      <c r="AN12" s="21" t="str">
        <f>IF(I12=0,"",ROUNDUP($I5/I12,0))</f>
        <v/>
      </c>
      <c r="AO12" s="21" t="str">
        <f>IF(J12=0,"",ROUNDUP($J5/J12,0))</f>
        <v/>
      </c>
      <c r="AP12" s="21" t="str">
        <f>IF(K12=0,"",ROUNDUP($K5/K12,0))</f>
        <v/>
      </c>
      <c r="AQ12" s="21" t="str">
        <f>IF(L12=0,"",ROUNDUP($L5/L12,0))</f>
        <v/>
      </c>
      <c r="AR12" s="21" t="str">
        <f>IF(M12=0,"",ROUNDUP($M5/M12,0))</f>
        <v/>
      </c>
      <c r="AS12" s="21" t="str">
        <f>IF(N12=0,"",ROUNDUP($N5/N12,0))</f>
        <v/>
      </c>
      <c r="AT12" s="21" t="str">
        <f>IF(O12=0,"",ROUNDUP($O5/O12,0))</f>
        <v/>
      </c>
      <c r="AU12" s="21" t="str">
        <f>IF(P12=0,"",ROUNDUP($P5/P12,0))</f>
        <v/>
      </c>
      <c r="AV12" s="21" t="str">
        <f>IF(Q12=0,"",ROUNDUP($Q5/Q12,0))</f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84"/>
      <c r="B13" s="41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6"/>
      <c r="AH13" s="21" t="str">
        <f>IF(C13=0,"",ROUNDUP($C5/C13,0))</f>
        <v/>
      </c>
      <c r="AI13" s="21" t="str">
        <f>IF(D13=0,"",ROUNDUP($D5/D13,0))</f>
        <v/>
      </c>
      <c r="AJ13" s="21" t="str">
        <f>IF(E13=0,"",ROUNDUP($E5/E13,0))</f>
        <v/>
      </c>
      <c r="AK13" s="21" t="str">
        <f>IF(F13=0,"",ROUNDUP($F5/F13,0))</f>
        <v/>
      </c>
      <c r="AL13" s="21" t="str">
        <f>IF(G13=0,"",ROUNDUP($G5/G13,0))</f>
        <v/>
      </c>
      <c r="AM13" s="21" t="str">
        <f>IF(H13=0,"",ROUNDUP($H5/H13,0))</f>
        <v/>
      </c>
      <c r="AN13" s="21" t="str">
        <f>IF(I13=0,"",ROUNDUP($I5/I13,0))</f>
        <v/>
      </c>
      <c r="AO13" s="21" t="str">
        <f>IF(J13=0,"",ROUNDUP($J5/J13,0))</f>
        <v/>
      </c>
      <c r="AP13" s="21" t="str">
        <f>IF(K13=0,"",ROUNDUP($K5/K13,0))</f>
        <v/>
      </c>
      <c r="AQ13" s="21" t="str">
        <f>IF(L13=0,"",ROUNDUP($L5/L13,0))</f>
        <v/>
      </c>
      <c r="AR13" s="21" t="str">
        <f>IF(M13=0,"",ROUNDUP($M5/M13,0))</f>
        <v/>
      </c>
      <c r="AS13" s="21" t="str">
        <f>IF(N13=0,"",ROUNDUP($N5/N13,0))</f>
        <v/>
      </c>
      <c r="AT13" s="21" t="str">
        <f>IF(O13=0,"",ROUNDUP($O5/O13,0))</f>
        <v/>
      </c>
      <c r="AU13" s="21" t="str">
        <f>IF(P13=0,"",ROUNDUP($P5/P13,0))</f>
        <v/>
      </c>
      <c r="AV13" s="21" t="str">
        <f>IF(Q13=0,"",ROUNDUP($Q5/Q13,0))</f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84"/>
      <c r="B14" s="41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20" t="str">
        <f t="shared" si="3"/>
        <v/>
      </c>
      <c r="AD14" s="13"/>
      <c r="AE14" s="13"/>
      <c r="AF14" s="19" t="str">
        <f t="shared" si="6"/>
        <v/>
      </c>
      <c r="AG14" s="76"/>
      <c r="AH14" s="21" t="str">
        <f>IF(C14=0,"",ROUNDUP($C5/C14,0))</f>
        <v/>
      </c>
      <c r="AI14" s="21" t="str">
        <f>IF(D14=0,"",ROUNDUP($D5/D14,0))</f>
        <v/>
      </c>
      <c r="AJ14" s="21" t="str">
        <f>IF(E14=0,"",ROUNDUP($E5/E14,0))</f>
        <v/>
      </c>
      <c r="AK14" s="21" t="str">
        <f>IF(F14=0,"",ROUNDUP($F5/F14,0))</f>
        <v/>
      </c>
      <c r="AL14" s="21" t="str">
        <f>IF(G14=0,"",ROUNDUP($G5/G14,0))</f>
        <v/>
      </c>
      <c r="AM14" s="21" t="str">
        <f>IF(H14=0,"",ROUNDUP($H5/H14,0))</f>
        <v/>
      </c>
      <c r="AN14" s="21" t="str">
        <f>IF(I14=0,"",ROUNDUP($I5/I14,0))</f>
        <v/>
      </c>
      <c r="AO14" s="21" t="str">
        <f>IF(J14=0,"",ROUNDUP($J5/J14,0))</f>
        <v/>
      </c>
      <c r="AP14" s="21" t="str">
        <f>IF(K14=0,"",ROUNDUP($K5/K14,0))</f>
        <v/>
      </c>
      <c r="AQ14" s="21" t="str">
        <f>IF(L14=0,"",ROUNDUP($L5/L14,0))</f>
        <v/>
      </c>
      <c r="AR14" s="21" t="str">
        <f>IF(M14=0,"",ROUNDUP($M5/M14,0))</f>
        <v/>
      </c>
      <c r="AS14" s="21" t="str">
        <f>IF(N14=0,"",ROUNDUP($N5/N14,0))</f>
        <v/>
      </c>
      <c r="AT14" s="21" t="str">
        <f>IF(O14=0,"",ROUNDUP($O5/O14,0))</f>
        <v/>
      </c>
      <c r="AU14" s="21" t="str">
        <f>IF(P14=0,"",ROUNDUP($P5/P14,0))</f>
        <v/>
      </c>
      <c r="AV14" s="21" t="str">
        <f>IF(Q14=0,"",ROUNDUP($Q5/Q14,0))</f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84"/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20" t="str">
        <f t="shared" si="3"/>
        <v/>
      </c>
      <c r="AD15" s="13"/>
      <c r="AE15" s="13"/>
      <c r="AF15" s="19" t="str">
        <f t="shared" si="6"/>
        <v/>
      </c>
      <c r="AG15" s="76"/>
      <c r="AH15" s="21" t="str">
        <f>IF(C15=0,"",ROUNDUP($C5/C15,0))</f>
        <v/>
      </c>
      <c r="AI15" s="21" t="str">
        <f>IF(D15=0,"",ROUNDUP($D5/D15,0))</f>
        <v/>
      </c>
      <c r="AJ15" s="21" t="str">
        <f>IF(E15=0,"",ROUNDUP($E5/E15,0))</f>
        <v/>
      </c>
      <c r="AK15" s="21" t="str">
        <f>IF(F15=0,"",ROUNDUP($F5/F15,0))</f>
        <v/>
      </c>
      <c r="AL15" s="21" t="str">
        <f>IF(G15=0,"",ROUNDUP($G5/G15,0))</f>
        <v/>
      </c>
      <c r="AM15" s="21" t="str">
        <f>IF(H15=0,"",ROUNDUP($H5/H15,0))</f>
        <v/>
      </c>
      <c r="AN15" s="21" t="str">
        <f>IF(I15=0,"",ROUNDUP($I5/I15,0))</f>
        <v/>
      </c>
      <c r="AO15" s="21" t="str">
        <f>IF(J15=0,"",ROUNDUP($J5/J15,0))</f>
        <v/>
      </c>
      <c r="AP15" s="21" t="str">
        <f>IF(K15=0,"",ROUNDUP($K5/K15,0))</f>
        <v/>
      </c>
      <c r="AQ15" s="21" t="str">
        <f>IF(L15=0,"",ROUNDUP($L5/L15,0))</f>
        <v/>
      </c>
      <c r="AR15" s="21" t="str">
        <f>IF(M15=0,"",ROUNDUP($M5/M15,0))</f>
        <v/>
      </c>
      <c r="AS15" s="21" t="str">
        <f>IF(N15=0,"",ROUNDUP($N5/N15,0))</f>
        <v/>
      </c>
      <c r="AT15" s="21" t="str">
        <f>IF(O15=0,"",ROUNDUP($O5/O15,0))</f>
        <v/>
      </c>
      <c r="AU15" s="21" t="str">
        <f>IF(P15=0,"",ROUNDUP($P5/P15,0))</f>
        <v/>
      </c>
      <c r="AV15" s="21" t="str">
        <f>IF(Q15=0,"",ROUNDUP($Q5/Q15,0))</f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84"/>
      <c r="B16" s="41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20" t="str">
        <f t="shared" si="3"/>
        <v/>
      </c>
      <c r="AD16" s="13"/>
      <c r="AE16" s="13"/>
      <c r="AF16" s="19" t="str">
        <f t="shared" si="6"/>
        <v/>
      </c>
      <c r="AG16" s="76"/>
      <c r="AH16" s="21" t="str">
        <f>IF(C16=0,"",ROUNDUP($C5/C16,0))</f>
        <v/>
      </c>
      <c r="AI16" s="21" t="str">
        <f>IF(D16=0,"",ROUNDUP($D5/D16,0))</f>
        <v/>
      </c>
      <c r="AJ16" s="21" t="str">
        <f>IF(E16=0,"",ROUNDUP($E5/E16,0))</f>
        <v/>
      </c>
      <c r="AK16" s="21" t="str">
        <f>IF(F16=0,"",ROUNDUP($F5/F16,0))</f>
        <v/>
      </c>
      <c r="AL16" s="21" t="str">
        <f>IF(G16=0,"",ROUNDUP($G5/G16,0))</f>
        <v/>
      </c>
      <c r="AM16" s="21" t="str">
        <f>IF(H16=0,"",ROUNDUP($H5/H16,0))</f>
        <v/>
      </c>
      <c r="AN16" s="21" t="str">
        <f>IF(I16=0,"",ROUNDUP($I5/I16,0))</f>
        <v/>
      </c>
      <c r="AO16" s="21" t="str">
        <f>IF(J16=0,"",ROUNDUP($J5/J16,0))</f>
        <v/>
      </c>
      <c r="AP16" s="21" t="str">
        <f>IF(K16=0,"",ROUNDUP($K5/K16,0))</f>
        <v/>
      </c>
      <c r="AQ16" s="21" t="str">
        <f>IF(L16=0,"",ROUNDUP($L5/L16,0))</f>
        <v/>
      </c>
      <c r="AR16" s="21" t="str">
        <f>IF(M16=0,"",ROUNDUP($M5/M16,0))</f>
        <v/>
      </c>
      <c r="AS16" s="21" t="str">
        <f>IF(N16=0,"",ROUNDUP($N5/N16,0))</f>
        <v/>
      </c>
      <c r="AT16" s="21" t="str">
        <f>IF(O16=0,"",ROUNDUP($O5/O16,0))</f>
        <v/>
      </c>
      <c r="AU16" s="21" t="str">
        <f>IF(P16=0,"",ROUNDUP($P5/P16,0))</f>
        <v/>
      </c>
      <c r="AV16" s="21" t="str">
        <f>IF(Q16=0,"",ROUNDUP($Q5/Q16,0))</f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84"/>
      <c r="B17" s="41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20" t="str">
        <f t="shared" si="3"/>
        <v/>
      </c>
      <c r="AD17" s="13"/>
      <c r="AE17" s="13"/>
      <c r="AF17" s="19" t="str">
        <f t="shared" si="6"/>
        <v/>
      </c>
      <c r="AG17" s="76"/>
      <c r="AH17" s="21" t="str">
        <f>IF(C17=0,"",ROUNDUP($C5/C17,0))</f>
        <v/>
      </c>
      <c r="AI17" s="21" t="str">
        <f>IF(D17=0,"",ROUNDUP($D5/D17,0))</f>
        <v/>
      </c>
      <c r="AJ17" s="21" t="str">
        <f>IF(E17=0,"",ROUNDUP($E5/E17,0))</f>
        <v/>
      </c>
      <c r="AK17" s="21" t="str">
        <f>IF(F17=0,"",ROUNDUP($F5/F17,0))</f>
        <v/>
      </c>
      <c r="AL17" s="21" t="str">
        <f>IF(G17=0,"",ROUNDUP($G5/G17,0))</f>
        <v/>
      </c>
      <c r="AM17" s="21" t="str">
        <f>IF(H17=0,"",ROUNDUP($H5/H17,0))</f>
        <v/>
      </c>
      <c r="AN17" s="21" t="str">
        <f>IF(I17=0,"",ROUNDUP($I5/I17,0))</f>
        <v/>
      </c>
      <c r="AO17" s="21" t="str">
        <f>IF(J17=0,"",ROUNDUP($J5/J17,0))</f>
        <v/>
      </c>
      <c r="AP17" s="21" t="str">
        <f>IF(K17=0,"",ROUNDUP($K5/K17,0))</f>
        <v/>
      </c>
      <c r="AQ17" s="21" t="str">
        <f>IF(L17=0,"",ROUNDUP($L5/L17,0))</f>
        <v/>
      </c>
      <c r="AR17" s="21" t="str">
        <f>IF(M17=0,"",ROUNDUP($M5/M17,0))</f>
        <v/>
      </c>
      <c r="AS17" s="21" t="str">
        <f>IF(N17=0,"",ROUNDUP($N5/N17,0))</f>
        <v/>
      </c>
      <c r="AT17" s="21" t="str">
        <f>IF(O17=0,"",ROUNDUP($O5/O17,0))</f>
        <v/>
      </c>
      <c r="AU17" s="21" t="str">
        <f>IF(P17=0,"",ROUNDUP($P5/P17,0))</f>
        <v/>
      </c>
      <c r="AV17" s="21" t="str">
        <f>IF(Q17=0,"",ROUNDUP($Q5/Q17,0))</f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84"/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25"/>
      <c r="Z18" s="42"/>
      <c r="AA18" s="42"/>
      <c r="AB18" s="42"/>
      <c r="AC18" s="20" t="str">
        <f t="shared" si="3"/>
        <v/>
      </c>
      <c r="AD18" s="13"/>
      <c r="AE18" s="13"/>
      <c r="AF18" s="19" t="str">
        <f t="shared" si="6"/>
        <v/>
      </c>
      <c r="AG18" s="76"/>
      <c r="AH18" s="21" t="str">
        <f>IF(C18=0,"",ROUNDUP($C5/C18,0))</f>
        <v/>
      </c>
      <c r="AI18" s="21" t="str">
        <f>IF(D18=0,"",ROUNDUP($D5/D18,0))</f>
        <v/>
      </c>
      <c r="AJ18" s="21" t="str">
        <f>IF(E18=0,"",ROUNDUP($E5/E18,0))</f>
        <v/>
      </c>
      <c r="AK18" s="21" t="str">
        <f>IF(F18=0,"",ROUNDUP($F5/F18,0))</f>
        <v/>
      </c>
      <c r="AL18" s="21" t="str">
        <f>IF(G18=0,"",ROUNDUP($G5/G18,0))</f>
        <v/>
      </c>
      <c r="AM18" s="21" t="str">
        <f>IF(H18=0,"",ROUNDUP($H5/H18,0))</f>
        <v/>
      </c>
      <c r="AN18" s="21" t="str">
        <f>IF(I18=0,"",ROUNDUP($I5/I18,0))</f>
        <v/>
      </c>
      <c r="AO18" s="21" t="str">
        <f>IF(J18=0,"",ROUNDUP($J5/J18,0))</f>
        <v/>
      </c>
      <c r="AP18" s="21" t="str">
        <f>IF(K18=0,"",ROUNDUP($K5/K18,0))</f>
        <v/>
      </c>
      <c r="AQ18" s="21" t="str">
        <f>IF(L18=0,"",ROUNDUP($L5/L18,0))</f>
        <v/>
      </c>
      <c r="AR18" s="21" t="str">
        <f>IF(M18=0,"",ROUNDUP($M5/M18,0))</f>
        <v/>
      </c>
      <c r="AS18" s="21" t="str">
        <f>IF(N18=0,"",ROUNDUP($N5/N18,0))</f>
        <v/>
      </c>
      <c r="AT18" s="21" t="str">
        <f>IF(O18=0,"",ROUNDUP($O5/O18,0))</f>
        <v/>
      </c>
      <c r="AU18" s="21" t="str">
        <f>IF(P18=0,"",ROUNDUP($P5/P18,0))</f>
        <v/>
      </c>
      <c r="AV18" s="21" t="str">
        <f>IF(Q18=0,"",ROUNDUP($Q5/Q18,0))</f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84"/>
      <c r="B19" s="41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20" t="str">
        <f t="shared" si="3"/>
        <v/>
      </c>
      <c r="AD19" s="13"/>
      <c r="AE19" s="13"/>
      <c r="AF19" s="19" t="str">
        <f t="shared" si="6"/>
        <v/>
      </c>
      <c r="AG19" s="76"/>
      <c r="AH19" s="21" t="str">
        <f>IF(C19=0,"",ROUNDUP($C5/C19,0))</f>
        <v/>
      </c>
      <c r="AI19" s="21" t="str">
        <f>IF(D19=0,"",ROUNDUP($D5/D19,0))</f>
        <v/>
      </c>
      <c r="AJ19" s="21" t="str">
        <f>IF(E19=0,"",ROUNDUP($E5/E19,0))</f>
        <v/>
      </c>
      <c r="AK19" s="21" t="str">
        <f>IF(F19=0,"",ROUNDUP($F5/F19,0))</f>
        <v/>
      </c>
      <c r="AL19" s="21" t="str">
        <f>IF(G19=0,"",ROUNDUP($G5/G19,0))</f>
        <v/>
      </c>
      <c r="AM19" s="21" t="str">
        <f>IF(H19=0,"",ROUNDUP($H5/H19,0))</f>
        <v/>
      </c>
      <c r="AN19" s="21" t="str">
        <f>IF(I19=0,"",ROUNDUP($I5/I19,0))</f>
        <v/>
      </c>
      <c r="AO19" s="21" t="str">
        <f>IF(J19=0,"",ROUNDUP($J5/J19,0))</f>
        <v/>
      </c>
      <c r="AP19" s="21" t="str">
        <f>IF(K19=0,"",ROUNDUP($K5/K19,0))</f>
        <v/>
      </c>
      <c r="AQ19" s="21" t="str">
        <f>IF(L19=0,"",ROUNDUP($L5/L19,0))</f>
        <v/>
      </c>
      <c r="AR19" s="21" t="str">
        <f>IF(M19=0,"",ROUNDUP($M5/M19,0))</f>
        <v/>
      </c>
      <c r="AS19" s="21" t="str">
        <f>IF(N19=0,"",ROUNDUP($N5/N19,0))</f>
        <v/>
      </c>
      <c r="AT19" s="21" t="str">
        <f>IF(O19=0,"",ROUNDUP($O5/O19,0))</f>
        <v/>
      </c>
      <c r="AU19" s="21" t="str">
        <f>IF(P19=0,"",ROUNDUP($P5/P19,0))</f>
        <v/>
      </c>
      <c r="AV19" s="21" t="str">
        <f>IF(Q19=0,"",ROUNDUP($Q5/Q19,0))</f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84"/>
      <c r="B20" s="41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20" t="str">
        <f t="shared" si="3"/>
        <v/>
      </c>
      <c r="AD20" s="13"/>
      <c r="AE20" s="13"/>
      <c r="AF20" s="19" t="str">
        <f t="shared" si="6"/>
        <v/>
      </c>
      <c r="AG20" s="76"/>
      <c r="AH20" s="21" t="str">
        <f>IF(C20=0,"",ROUNDUP($C5/C20,0))</f>
        <v/>
      </c>
      <c r="AI20" s="21" t="str">
        <f>IF(D20=0,"",ROUNDUP($D5/D20,0))</f>
        <v/>
      </c>
      <c r="AJ20" s="21" t="str">
        <f>IF(E20=0,"",ROUNDUP($E5/E20,0))</f>
        <v/>
      </c>
      <c r="AK20" s="21" t="str">
        <f>IF(F20=0,"",ROUNDUP($F5/F20,0))</f>
        <v/>
      </c>
      <c r="AL20" s="21" t="str">
        <f>IF(G20=0,"",ROUNDUP($G5/G20,0))</f>
        <v/>
      </c>
      <c r="AM20" s="21" t="str">
        <f>IF(H20=0,"",ROUNDUP($H5/H20,0))</f>
        <v/>
      </c>
      <c r="AN20" s="21" t="str">
        <f>IF(I20=0,"",ROUNDUP($I5/I20,0))</f>
        <v/>
      </c>
      <c r="AO20" s="21" t="str">
        <f>IF(J20=0,"",ROUNDUP($J5/J20,0))</f>
        <v/>
      </c>
      <c r="AP20" s="21" t="str">
        <f>IF(K20=0,"",ROUNDUP($K5/K20,0))</f>
        <v/>
      </c>
      <c r="AQ20" s="21" t="str">
        <f>IF(L20=0,"",ROUNDUP($L5/L20,0))</f>
        <v/>
      </c>
      <c r="AR20" s="21" t="str">
        <f>IF(M20=0,"",ROUNDUP($M5/M20,0))</f>
        <v/>
      </c>
      <c r="AS20" s="21" t="str">
        <f>IF(N20=0,"",ROUNDUP($N5/N20,0))</f>
        <v/>
      </c>
      <c r="AT20" s="21" t="str">
        <f>IF(O20=0,"",ROUNDUP($O5/O20,0))</f>
        <v/>
      </c>
      <c r="AU20" s="21" t="str">
        <f>IF(P20=0,"",ROUNDUP($P5/P20,0))</f>
        <v/>
      </c>
      <c r="AV20" s="21" t="str">
        <f>IF(Q20=0,"",ROUNDUP($Q5/Q20,0))</f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84"/>
      <c r="B21" s="41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20" t="str">
        <f t="shared" si="3"/>
        <v/>
      </c>
      <c r="AD21" s="13"/>
      <c r="AE21" s="13"/>
      <c r="AF21" s="19" t="str">
        <f t="shared" si="6"/>
        <v/>
      </c>
      <c r="AG21" s="76"/>
      <c r="AH21" s="21" t="str">
        <f>IF(C21=0,"",ROUNDUP($C5/C21,0))</f>
        <v/>
      </c>
      <c r="AI21" s="21" t="str">
        <f>IF(D21=0,"",ROUNDUP($D5/D21,0))</f>
        <v/>
      </c>
      <c r="AJ21" s="21" t="str">
        <f>IF(E21=0,"",ROUNDUP($E5/E21,0))</f>
        <v/>
      </c>
      <c r="AK21" s="21" t="str">
        <f>IF(F21=0,"",ROUNDUP($F5/F21,0))</f>
        <v/>
      </c>
      <c r="AL21" s="21" t="str">
        <f>IF(G21=0,"",ROUNDUP($G5/G21,0))</f>
        <v/>
      </c>
      <c r="AM21" s="21" t="str">
        <f>IF(H21=0,"",ROUNDUP($H5/H21,0))</f>
        <v/>
      </c>
      <c r="AN21" s="21" t="str">
        <f>IF(I21=0,"",ROUNDUP($I5/I21,0))</f>
        <v/>
      </c>
      <c r="AO21" s="21" t="str">
        <f>IF(J21=0,"",ROUNDUP($J5/J21,0))</f>
        <v/>
      </c>
      <c r="AP21" s="21" t="str">
        <f>IF(K21=0,"",ROUNDUP($K5/K21,0))</f>
        <v/>
      </c>
      <c r="AQ21" s="21" t="str">
        <f>IF(L21=0,"",ROUNDUP($L5/L21,0))</f>
        <v/>
      </c>
      <c r="AR21" s="21" t="str">
        <f>IF(M21=0,"",ROUNDUP($M5/M21,0))</f>
        <v/>
      </c>
      <c r="AS21" s="21" t="str">
        <f>IF(N21=0,"",ROUNDUP($N5/N21,0))</f>
        <v/>
      </c>
      <c r="AT21" s="21" t="str">
        <f>IF(O21=0,"",ROUNDUP($O5/O21,0))</f>
        <v/>
      </c>
      <c r="AU21" s="21" t="str">
        <f>IF(P21=0,"",ROUNDUP($P5/P21,0))</f>
        <v/>
      </c>
      <c r="AV21" s="21" t="str">
        <f>IF(Q21=0,"",ROUNDUP($Q5/Q21,0))</f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85"/>
      <c r="B22" s="41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20" t="str">
        <f t="shared" si="3"/>
        <v/>
      </c>
      <c r="AD22" s="13"/>
      <c r="AE22" s="13"/>
      <c r="AF22" s="19" t="str">
        <f t="shared" si="6"/>
        <v/>
      </c>
      <c r="AG22" s="77"/>
      <c r="AH22" s="21" t="str">
        <f>IF(C22=0,"",ROUNDUP($C5/C22,0))</f>
        <v/>
      </c>
      <c r="AI22" s="21" t="str">
        <f>IF(D22=0,"",ROUNDUP($D5/D22,0))</f>
        <v/>
      </c>
      <c r="AJ22" s="21" t="str">
        <f>IF(E22=0,"",ROUNDUP($E5/E22,0))</f>
        <v/>
      </c>
      <c r="AK22" s="21" t="str">
        <f>IF(F22=0,"",ROUNDUP($F5/F22,0))</f>
        <v/>
      </c>
      <c r="AL22" s="21" t="str">
        <f>IF(G22=0,"",ROUNDUP($G5/G22,0))</f>
        <v/>
      </c>
      <c r="AM22" s="21" t="str">
        <f>IF(H22=0,"",ROUNDUP($H5/H22,0))</f>
        <v/>
      </c>
      <c r="AN22" s="21" t="str">
        <f>IF(I22=0,"",ROUNDUP($I5/I22,0))</f>
        <v/>
      </c>
      <c r="AO22" s="21" t="str">
        <f>IF(J22=0,"",ROUNDUP($J5/J22,0))</f>
        <v/>
      </c>
      <c r="AP22" s="21" t="str">
        <f>IF(K22=0,"",ROUNDUP($K5/K22,0))</f>
        <v/>
      </c>
      <c r="AQ22" s="21" t="str">
        <f>IF(L22=0,"",ROUNDUP($L5/L22,0))</f>
        <v/>
      </c>
      <c r="AR22" s="21" t="str">
        <f>IF(M22=0,"",ROUNDUP($M5/M22,0))</f>
        <v/>
      </c>
      <c r="AS22" s="21" t="str">
        <f>IF(N22=0,"",ROUNDUP($N5/N22,0))</f>
        <v/>
      </c>
      <c r="AT22" s="21" t="str">
        <f>IF(O22=0,"",ROUNDUP($O5/O22,0))</f>
        <v/>
      </c>
      <c r="AU22" s="21" t="str">
        <f>IF(P22=0,"",ROUNDUP($P5/P22,0))</f>
        <v/>
      </c>
      <c r="AV22" s="21" t="str">
        <f>IF(Q22=0,"",ROUNDUP($Q5/Q22,0))</f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78" t="s">
        <v>586</v>
      </c>
      <c r="AB23" s="78"/>
      <c r="AC23" s="23">
        <f>SUM(AC8:AC22)</f>
        <v>0</v>
      </c>
      <c r="AD23" s="78" t="s">
        <v>592</v>
      </c>
      <c r="AE23" s="78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AF6:AF7"/>
    <mergeCell ref="AB1:AU1"/>
    <mergeCell ref="C2:AA2"/>
    <mergeCell ref="AB2:AB3"/>
    <mergeCell ref="AC2:AD2"/>
    <mergeCell ref="AE2:AF2"/>
    <mergeCell ref="AG2:AG22"/>
    <mergeCell ref="AH2:BF2"/>
    <mergeCell ref="AC3:AD3"/>
    <mergeCell ref="AE3:AF3"/>
    <mergeCell ref="AB6:AB7"/>
    <mergeCell ref="C1:E1"/>
    <mergeCell ref="F1:H1"/>
    <mergeCell ref="I1:J1"/>
    <mergeCell ref="K1:L1"/>
    <mergeCell ref="AH4:BF7"/>
    <mergeCell ref="M1:N1"/>
    <mergeCell ref="O1:P1"/>
    <mergeCell ref="AA23:AB23"/>
    <mergeCell ref="AD23:AE23"/>
    <mergeCell ref="A8:A22"/>
    <mergeCell ref="A4:B4"/>
    <mergeCell ref="AC4:AD4"/>
    <mergeCell ref="AE4:AF4"/>
    <mergeCell ref="A5:B5"/>
    <mergeCell ref="AC5:AD5"/>
    <mergeCell ref="AE5:AF5"/>
    <mergeCell ref="A6:A7"/>
    <mergeCell ref="B6:B7"/>
    <mergeCell ref="C6:AA7"/>
    <mergeCell ref="AC6:AC7"/>
    <mergeCell ref="AD6:AE6"/>
  </mergeCells>
  <phoneticPr fontId="15" type="noConversion"/>
  <conditionalFormatting sqref="AE4:AF4 AC5">
    <cfRule type="cellIs" dxfId="15" priority="12" operator="lessThanOrEqual">
      <formula>0</formula>
    </cfRule>
  </conditionalFormatting>
  <conditionalFormatting sqref="AF8:AF23 AC8:AC23 B8:B22 AB4 AE3:AF3 C5:AB5 AW8:BF22 AH3:BF3">
    <cfRule type="notContainsBlanks" dxfId="14" priority="13">
      <formula>LEN(TRIM(B3))&gt;0</formula>
    </cfRule>
  </conditionalFormatting>
  <conditionalFormatting sqref="AE4:AF4">
    <cfRule type="cellIs" dxfId="13" priority="10" operator="greaterThanOrEqual">
      <formula>20</formula>
    </cfRule>
    <cfRule type="cellIs" dxfId="12" priority="11" operator="greaterThanOrEqual">
      <formula>1</formula>
    </cfRule>
  </conditionalFormatting>
  <conditionalFormatting sqref="AE5 A8 AD8:AE22 C3:AA4 C8:AB22 AE2 B1:B3">
    <cfRule type="containsBlanks" dxfId="11" priority="14">
      <formula>LEN(TRIM(A1))=0</formula>
    </cfRule>
    <cfRule type="notContainsBlanks" dxfId="10" priority="15">
      <formula>LEN(TRIM(A1))&gt;0</formula>
    </cfRule>
  </conditionalFormatting>
  <conditionalFormatting sqref="F1">
    <cfRule type="containsBlanks" dxfId="9" priority="8">
      <formula>LEN(TRIM(F1))=0</formula>
    </cfRule>
    <cfRule type="notContainsBlanks" dxfId="8" priority="9">
      <formula>LEN(TRIM(F1))&gt;0</formula>
    </cfRule>
  </conditionalFormatting>
  <conditionalFormatting sqref="K1">
    <cfRule type="containsBlanks" dxfId="7" priority="6">
      <formula>LEN(TRIM(K1))=0</formula>
    </cfRule>
    <cfRule type="notContainsBlanks" dxfId="6" priority="7">
      <formula>LEN(TRIM(K1))&gt;0</formula>
    </cfRule>
  </conditionalFormatting>
  <conditionalFormatting sqref="O1">
    <cfRule type="containsBlanks" dxfId="5" priority="2">
      <formula>LEN(TRIM(O1))=0</formula>
    </cfRule>
    <cfRule type="notContainsBlanks" dxfId="4" priority="3">
      <formula>LEN(TRIM(O1))&gt;0</formula>
    </cfRule>
  </conditionalFormatting>
  <conditionalFormatting sqref="AH8:AV22">
    <cfRule type="notContainsBlanks" dxfId="1" priority="1">
      <formula>LEN(TRIM(AH8))&gt;0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JackHsu許弘彬7269</cp:lastModifiedBy>
  <cp:lastPrinted>2024-02-22T02:24:19Z</cp:lastPrinted>
  <dcterms:created xsi:type="dcterms:W3CDTF">1996-12-17T01:32:42Z</dcterms:created>
  <dcterms:modified xsi:type="dcterms:W3CDTF">2025-04-08T01:21:14Z</dcterms:modified>
</cp:coreProperties>
</file>