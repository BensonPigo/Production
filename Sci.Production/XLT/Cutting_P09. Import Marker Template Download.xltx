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8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8" l="1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AM22" i="58"/>
  <c r="AL22" i="58"/>
  <c r="AK22" i="58"/>
  <c r="AJ22" i="58"/>
  <c r="AI22" i="58"/>
  <c r="AH22" i="58"/>
  <c r="AF22" i="58"/>
  <c r="AC22" i="58"/>
  <c r="B22" i="58" s="1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F21" i="58"/>
  <c r="AC21" i="58"/>
  <c r="B21" i="58" s="1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AM20" i="58"/>
  <c r="AL20" i="58"/>
  <c r="AK20" i="58"/>
  <c r="AJ20" i="58"/>
  <c r="AI20" i="58"/>
  <c r="AH20" i="58"/>
  <c r="AF20" i="58"/>
  <c r="AC20" i="58"/>
  <c r="B20" i="58" s="1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AM19" i="58"/>
  <c r="AL19" i="58"/>
  <c r="AK19" i="58"/>
  <c r="AJ19" i="58"/>
  <c r="AI19" i="58"/>
  <c r="AH19" i="58"/>
  <c r="AF19" i="58"/>
  <c r="AC19" i="58"/>
  <c r="B19" i="58" s="1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AM18" i="58"/>
  <c r="AL18" i="58"/>
  <c r="AK18" i="58"/>
  <c r="AJ18" i="58"/>
  <c r="AI18" i="58"/>
  <c r="AH18" i="58"/>
  <c r="AF18" i="58"/>
  <c r="AC18" i="58"/>
  <c r="B18" i="58" s="1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AM17" i="58"/>
  <c r="AL17" i="58"/>
  <c r="AK17" i="58"/>
  <c r="AJ17" i="58"/>
  <c r="AI17" i="58"/>
  <c r="AH17" i="58"/>
  <c r="AF17" i="58"/>
  <c r="AC17" i="58"/>
  <c r="B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AM16" i="58"/>
  <c r="AL16" i="58"/>
  <c r="AK16" i="58"/>
  <c r="AJ16" i="58"/>
  <c r="AI16" i="58"/>
  <c r="AH16" i="58"/>
  <c r="AF16" i="58"/>
  <c r="AC16" i="58"/>
  <c r="B16" i="58" s="1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AM15" i="58"/>
  <c r="AL15" i="58"/>
  <c r="AK15" i="58"/>
  <c r="AJ15" i="58"/>
  <c r="AI15" i="58"/>
  <c r="AH15" i="58"/>
  <c r="AF15" i="58"/>
  <c r="AC15" i="58"/>
  <c r="B15" i="58" s="1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H14" i="58"/>
  <c r="AF14" i="58"/>
  <c r="AC14" i="58"/>
  <c r="B14" i="58" s="1"/>
  <c r="BF13" i="58"/>
  <c r="BE13" i="58"/>
  <c r="BD13" i="58"/>
  <c r="BC13" i="58"/>
  <c r="BB13" i="58"/>
  <c r="BA13" i="58"/>
  <c r="AZ13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F13" i="58"/>
  <c r="AC13" i="58"/>
  <c r="B13" i="58" s="1"/>
  <c r="BF12" i="58"/>
  <c r="BE12" i="58"/>
  <c r="BD12" i="58"/>
  <c r="BC12" i="58"/>
  <c r="BB12" i="58"/>
  <c r="BA12" i="58"/>
  <c r="AZ12" i="58"/>
  <c r="AY12" i="58"/>
  <c r="AX12" i="58"/>
  <c r="AW12" i="58"/>
  <c r="AV12" i="58"/>
  <c r="AU12" i="58"/>
  <c r="AT12" i="58"/>
  <c r="AS12" i="58"/>
  <c r="AR12" i="58"/>
  <c r="AQ12" i="58"/>
  <c r="AP12" i="58"/>
  <c r="AO12" i="58"/>
  <c r="AN12" i="58"/>
  <c r="AM12" i="58"/>
  <c r="AL12" i="58"/>
  <c r="AK12" i="58"/>
  <c r="AJ12" i="58"/>
  <c r="AI12" i="58"/>
  <c r="AH12" i="58"/>
  <c r="AF12" i="58"/>
  <c r="AC12" i="58"/>
  <c r="B12" i="58"/>
  <c r="BF11" i="58"/>
  <c r="BE11" i="58"/>
  <c r="BD11" i="58"/>
  <c r="BC11" i="58"/>
  <c r="BB11" i="58"/>
  <c r="BA11" i="58"/>
  <c r="AZ11" i="58"/>
  <c r="AY11" i="58"/>
  <c r="AX11" i="58"/>
  <c r="AW11" i="58"/>
  <c r="AV11" i="58"/>
  <c r="AU11" i="58"/>
  <c r="AT11" i="58"/>
  <c r="AS11" i="58"/>
  <c r="AR11" i="58"/>
  <c r="AQ11" i="58"/>
  <c r="AP11" i="58"/>
  <c r="AO11" i="58"/>
  <c r="AN11" i="58"/>
  <c r="AM11" i="58"/>
  <c r="AL11" i="58"/>
  <c r="AK11" i="58"/>
  <c r="AJ11" i="58"/>
  <c r="AI11" i="58"/>
  <c r="AH11" i="58"/>
  <c r="AF11" i="58"/>
  <c r="AC11" i="58"/>
  <c r="B11" i="58" s="1"/>
  <c r="BF10" i="58"/>
  <c r="BE10" i="58"/>
  <c r="BD10" i="58"/>
  <c r="BC10" i="58"/>
  <c r="BB10" i="58"/>
  <c r="BA10" i="58"/>
  <c r="AZ10" i="58"/>
  <c r="AY10" i="58"/>
  <c r="AX10" i="58"/>
  <c r="AV10" i="58"/>
  <c r="AU10" i="58"/>
  <c r="AT10" i="58"/>
  <c r="AS10" i="58"/>
  <c r="AR10" i="58"/>
  <c r="AQ10" i="58"/>
  <c r="AP10" i="58"/>
  <c r="AO10" i="58"/>
  <c r="AN10" i="58"/>
  <c r="AM10" i="58"/>
  <c r="AL10" i="58"/>
  <c r="AK10" i="58"/>
  <c r="AJ10" i="58"/>
  <c r="AI10" i="58"/>
  <c r="AH10" i="58"/>
  <c r="AF10" i="58"/>
  <c r="AC10" i="58"/>
  <c r="B10" i="58" s="1"/>
  <c r="BF9" i="58"/>
  <c r="BE9" i="58"/>
  <c r="BD9" i="58"/>
  <c r="BC9" i="58"/>
  <c r="BB9" i="58"/>
  <c r="BA9" i="58"/>
  <c r="AZ9" i="58"/>
  <c r="AY9" i="58"/>
  <c r="AX9" i="58"/>
  <c r="AW9" i="58"/>
  <c r="AV9" i="58"/>
  <c r="AU9" i="58"/>
  <c r="AT9" i="58"/>
  <c r="AS9" i="58"/>
  <c r="AR9" i="58"/>
  <c r="AQ9" i="58"/>
  <c r="AP9" i="58"/>
  <c r="AO9" i="58"/>
  <c r="AN9" i="58"/>
  <c r="AM9" i="58"/>
  <c r="AL9" i="58"/>
  <c r="AK9" i="58"/>
  <c r="AJ9" i="58"/>
  <c r="AI9" i="58"/>
  <c r="AH9" i="58"/>
  <c r="AF9" i="58"/>
  <c r="AC9" i="58"/>
  <c r="B9" i="58" s="1"/>
  <c r="BF8" i="58"/>
  <c r="BE8" i="58"/>
  <c r="BD8" i="58"/>
  <c r="BC8" i="58"/>
  <c r="BB8" i="58"/>
  <c r="BA8" i="58"/>
  <c r="AZ8" i="58"/>
  <c r="AY8" i="58"/>
  <c r="AX8" i="58"/>
  <c r="AW8" i="58"/>
  <c r="AV8" i="58"/>
  <c r="AU8" i="58"/>
  <c r="AT8" i="58"/>
  <c r="AS8" i="58"/>
  <c r="AR8" i="58"/>
  <c r="AQ8" i="58"/>
  <c r="AP8" i="58"/>
  <c r="AO8" i="58"/>
  <c r="AN8" i="58"/>
  <c r="AM8" i="58"/>
  <c r="AL8" i="58"/>
  <c r="AK8" i="58"/>
  <c r="AJ8" i="58"/>
  <c r="AI8" i="58"/>
  <c r="AH8" i="58"/>
  <c r="AF8" i="58"/>
  <c r="AC8" i="58"/>
  <c r="AA5" i="58"/>
  <c r="Z5" i="58"/>
  <c r="Y5" i="58"/>
  <c r="X5" i="58"/>
  <c r="W5" i="58"/>
  <c r="V5" i="58"/>
  <c r="U5" i="58"/>
  <c r="T5" i="58"/>
  <c r="S5" i="58"/>
  <c r="R5" i="58"/>
  <c r="AW10" i="58" s="1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AB4" i="58"/>
  <c r="BF3" i="58"/>
  <c r="BE3" i="58"/>
  <c r="BD3" i="58"/>
  <c r="BC3" i="58"/>
  <c r="BB3" i="58"/>
  <c r="BA3" i="58"/>
  <c r="AZ3" i="58"/>
  <c r="AY3" i="58"/>
  <c r="AX3" i="58"/>
  <c r="AW3" i="58"/>
  <c r="AV3" i="58"/>
  <c r="AU3" i="58"/>
  <c r="AT3" i="58"/>
  <c r="AS3" i="58"/>
  <c r="AR3" i="58"/>
  <c r="AQ3" i="58"/>
  <c r="AP3" i="58"/>
  <c r="AO3" i="58"/>
  <c r="AN3" i="58"/>
  <c r="AM3" i="58"/>
  <c r="AL3" i="58"/>
  <c r="AK3" i="58"/>
  <c r="AJ3" i="58"/>
  <c r="AI3" i="58"/>
  <c r="AH3" i="58"/>
  <c r="AF23" i="58" l="1"/>
  <c r="AB5" i="58"/>
  <c r="AC23" i="58"/>
  <c r="AE3" i="58"/>
  <c r="AE4" i="58" s="1"/>
  <c r="AC4" i="58" s="1"/>
  <c r="B8" i="58"/>
  <c r="BF24" i="56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<sst xmlns="http://schemas.openxmlformats.org/spreadsheetml/2006/main" count="635" uniqueCount="599">
  <si>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</si>
  <si>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</si>
  <si>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</si>
  <si>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</si>
  <si>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</si>
  <si>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</si>
  <si>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</si>
  <si>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</si>
  <si>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</si>
  <si>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</si>
  <si>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</si>
  <si>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</si>
  <si>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</si>
  <si>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</si>
  <si>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</si>
  <si>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</si>
  <si>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</si>
  <si>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</si>
  <si>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</si>
  <si>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</si>
  <si>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</si>
  <si>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</si>
  <si>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</si>
  <si>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</si>
  <si>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</si>
  <si>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</si>
  <si>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</si>
  <si>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</si>
  <si>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</si>
  <si>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</si>
  <si>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</si>
  <si>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</si>
  <si>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</si>
  <si>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</si>
  <si>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</si>
  <si>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</si>
  <si>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</si>
  <si>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</si>
  <si>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</si>
  <si>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</si>
  <si>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</si>
  <si>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</si>
  <si>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</si>
  <si>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</si>
  <si>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</si>
  <si>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</si>
  <si>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</si>
  <si>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</si>
  <si>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</si>
  <si>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</si>
  <si>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</si>
  <si>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</si>
  <si>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</si>
  <si>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</si>
  <si>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</si>
  <si>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</si>
  <si>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</si>
  <si>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</si>
  <si>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</si>
  <si>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</si>
  <si>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</si>
  <si>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</si>
  <si>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</si>
  <si>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</si>
  <si>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</si>
  <si>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</si>
  <si>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</si>
  <si>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</si>
  <si>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</si>
  <si>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</si>
  <si>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</si>
  <si>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</si>
  <si>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</si>
  <si>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</si>
  <si>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</si>
  <si>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</si>
  <si>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</si>
  <si>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</si>
  <si>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</si>
  <si>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</si>
  <si>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</si>
  <si>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</si>
  <si>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</si>
  <si>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</si>
  <si>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</si>
  <si>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</si>
  <si>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</si>
  <si>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</si>
  <si>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</si>
  <si>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</si>
  <si>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</si>
  <si>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</si>
  <si>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</si>
  <si>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</si>
  <si>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</si>
  <si>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</si>
  <si>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</si>
  <si>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</si>
  <si>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</si>
  <si>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</si>
  <si>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</si>
  <si>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</si>
  <si>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</si>
  <si>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</si>
  <si>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</si>
  <si>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</si>
  <si>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</si>
  <si>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</si>
  <si>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</si>
  <si>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</si>
  <si>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</si>
  <si>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</si>
  <si>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</si>
  <si>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</si>
  <si>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</si>
  <si>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</si>
  <si>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</si>
  <si>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</si>
  <si>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</si>
  <si>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</si>
  <si>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</si>
  <si>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</si>
  <si>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</si>
  <si>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</si>
  <si>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</si>
  <si>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</si>
  <si>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</si>
  <si>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</si>
  <si>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</si>
  <si>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</si>
  <si>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</si>
  <si>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</si>
  <si>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</si>
  <si>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</si>
  <si>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</si>
  <si>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</si>
  <si>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</si>
  <si>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</si>
  <si>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</si>
  <si>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</si>
  <si>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</si>
  <si>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</si>
  <si>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</si>
  <si>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</si>
  <si>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</si>
  <si>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</si>
  <si>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</si>
  <si>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</si>
  <si>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</si>
  <si>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</si>
  <si>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</si>
  <si>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</si>
  <si>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</si>
  <si>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</si>
  <si>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</si>
  <si>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</si>
  <si>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</si>
  <si>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</si>
  <si>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</si>
  <si>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</si>
  <si>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</si>
  <si>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</si>
  <si>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</si>
  <si>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</si>
  <si>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</si>
  <si>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</si>
  <si>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</si>
  <si>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</si>
  <si>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</si>
  <si>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</si>
  <si>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</si>
  <si>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</si>
  <si>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</si>
  <si>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</si>
  <si>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</si>
  <si>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</si>
  <si>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</si>
  <si>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</si>
  <si>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</si>
  <si>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</si>
  <si>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</si>
  <si>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</si>
  <si>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</si>
  <si>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</si>
  <si>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</si>
  <si>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</si>
  <si>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</si>
  <si>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</si>
  <si>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</si>
  <si>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</si>
  <si>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</si>
  <si>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</si>
  <si>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</si>
  <si>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</si>
  <si>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</si>
  <si>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</si>
  <si>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</si>
  <si>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</si>
  <si>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</si>
  <si>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</si>
  <si>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</si>
  <si>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</si>
  <si>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</si>
  <si>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</si>
  <si>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</si>
  <si>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</si>
  <si>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</si>
  <si>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</si>
  <si>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</si>
  <si>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</si>
  <si>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</si>
  <si>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</si>
  <si>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</si>
  <si>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</si>
  <si>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</si>
  <si>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</si>
  <si>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</si>
  <si>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</si>
  <si>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</si>
  <si>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</si>
  <si>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</si>
  <si>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</si>
  <si>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</si>
  <si>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</si>
  <si>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</si>
  <si>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</si>
  <si>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</si>
  <si>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</si>
  <si>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</si>
  <si>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</si>
  <si>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</si>
  <si>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</si>
  <si>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</si>
  <si>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</si>
  <si>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</si>
  <si>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</si>
  <si>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</si>
  <si>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</si>
  <si>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</si>
  <si>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</si>
  <si>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</si>
  <si>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</si>
  <si>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</si>
  <si>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</si>
  <si>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</si>
  <si>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</si>
  <si>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</si>
  <si>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</si>
  <si>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</si>
  <si>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</si>
  <si>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</si>
  <si>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</si>
  <si>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</si>
  <si>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</si>
  <si>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</si>
  <si>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</si>
  <si>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</si>
  <si>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</si>
  <si>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</si>
  <si>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</si>
  <si>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</si>
  <si>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</si>
  <si>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</si>
  <si>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</si>
  <si>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</si>
  <si>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</si>
  <si>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</si>
  <si>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</si>
  <si>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</si>
  <si>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</si>
  <si>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</si>
  <si>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</si>
  <si>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</si>
  <si>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</si>
  <si>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</si>
  <si>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</si>
  <si>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</si>
  <si>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</si>
  <si>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</si>
  <si>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</si>
  <si>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</si>
  <si>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</si>
  <si>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</si>
  <si>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</si>
  <si>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</si>
  <si>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</si>
  <si>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</si>
  <si>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</si>
  <si>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</si>
  <si>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</si>
  <si>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</si>
  <si>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</si>
  <si>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</si>
  <si>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</si>
  <si>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</si>
  <si>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</si>
  <si>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</si>
  <si>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</si>
  <si>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</si>
  <si>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</si>
  <si>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</si>
  <si>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</si>
  <si>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</si>
  <si>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</si>
  <si>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</si>
  <si>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</si>
  <si>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</si>
  <si>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</si>
  <si>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</si>
  <si>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</si>
  <si>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</si>
  <si>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</si>
  <si>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</si>
  <si>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</si>
  <si>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</si>
  <si>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</si>
  <si>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</si>
  <si>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</si>
  <si>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</si>
  <si>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</si>
  <si>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</si>
  <si>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</si>
  <si>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</si>
  <si>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</si>
  <si>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</si>
  <si>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</si>
  <si>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</si>
  <si>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</si>
  <si>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</si>
  <si>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</si>
  <si>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</si>
  <si>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</si>
  <si>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</si>
  <si>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</si>
  <si>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</si>
  <si>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</si>
  <si>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</si>
  <si>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</si>
  <si>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</si>
  <si>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</si>
  <si>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</si>
  <si>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</si>
  <si>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</si>
  <si>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</si>
  <si>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</si>
  <si>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</si>
  <si>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</si>
  <si>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</si>
  <si>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</si>
  <si>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</si>
  <si>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</si>
  <si>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</si>
  <si>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</si>
  <si>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</si>
  <si>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</si>
  <si>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</si>
  <si>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</si>
  <si>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</si>
  <si>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</si>
  <si>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</si>
  <si>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</si>
  <si>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</si>
  <si>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</si>
  <si>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</si>
  <si>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</si>
  <si>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</si>
  <si>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</si>
  <si>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</si>
  <si>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</si>
  <si>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</si>
  <si>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</si>
  <si>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</si>
  <si>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</si>
  <si>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</si>
  <si>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</si>
  <si>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</si>
  <si>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</si>
  <si>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</si>
  <si>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</si>
  <si>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</si>
  <si>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</si>
  <si>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</si>
  <si>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</si>
  <si>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</si>
  <si>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</si>
  <si>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</si>
  <si>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</si>
  <si>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</si>
  <si>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</si>
  <si>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</si>
  <si>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</si>
  <si>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</si>
  <si>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</si>
  <si>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</si>
  <si>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</si>
  <si>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</si>
  <si>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</si>
  <si>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</si>
  <si>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</si>
  <si>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</si>
  <si>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</si>
  <si>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</si>
  <si>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</si>
  <si>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</si>
  <si>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</si>
  <si>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</si>
  <si>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</si>
  <si>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</si>
  <si>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</si>
  <si>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</si>
  <si>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</si>
  <si>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</si>
  <si>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</si>
  <si>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</si>
  <si>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</si>
  <si>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</si>
  <si>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</si>
  <si>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</si>
  <si>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</si>
  <si>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</si>
  <si>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</si>
  <si>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</si>
  <si>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</si>
  <si>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</si>
  <si>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</si>
  <si>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</si>
  <si>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</si>
  <si>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</si>
  <si>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</si>
  <si>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</si>
  <si>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</si>
  <si>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</si>
  <si>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</si>
  <si>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</si>
  <si>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</si>
  <si>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</si>
  <si>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</si>
  <si>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</si>
  <si>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</si>
  <si>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</si>
  <si>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</si>
  <si>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</si>
  <si>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</si>
  <si>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</si>
  <si>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</si>
  <si>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</si>
  <si>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</si>
  <si>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</si>
  <si>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</si>
  <si>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</si>
  <si>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</si>
  <si>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</si>
  <si>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</si>
  <si>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</si>
  <si>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</si>
  <si>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</si>
  <si>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</si>
  <si>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</si>
  <si>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</si>
  <si>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</si>
  <si>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</si>
  <si>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</si>
  <si>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</si>
  <si>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</si>
  <si>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</si>
  <si>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</si>
  <si>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</si>
  <si>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</si>
  <si>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</si>
  <si>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</si>
  <si>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</si>
  <si>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</si>
  <si>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</si>
  <si>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</si>
  <si>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</si>
  <si>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</si>
  <si>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</si>
  <si>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</si>
  <si>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</si>
  <si>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</si>
  <si>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</si>
  <si>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</si>
  <si>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</si>
  <si>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</si>
  <si>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</si>
  <si>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</si>
  <si>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</si>
  <si>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</si>
  <si>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</si>
  <si>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</si>
  <si>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</si>
  <si>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</si>
  <si>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</si>
  <si>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</si>
  <si>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</si>
  <si>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</si>
  <si>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</si>
  <si>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</si>
  <si>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</si>
  <si>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</si>
  <si>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</si>
  <si>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</si>
  <si>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</si>
  <si>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</si>
  <si>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</si>
  <si>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</si>
  <si>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</si>
  <si>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</si>
  <si>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</si>
  <si>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</si>
  <si>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</si>
  <si>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</si>
  <si>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</si>
  <si>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</si>
  <si>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</si>
  <si>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</si>
  <si>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</si>
  <si>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</si>
  <si>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</si>
  <si>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</si>
  <si>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</si>
  <si>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</si>
  <si>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</si>
  <si>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</si>
  <si>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</si>
  <si>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</si>
  <si>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</si>
  <si>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</si>
  <si>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</si>
  <si>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</si>
  <si>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</si>
  <si>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</si>
  <si>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</si>
  <si>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</si>
  <si>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</si>
  <si>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</si>
  <si>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</si>
  <si>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</si>
  <si>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</si>
  <si>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</si>
  <si>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</si>
  <si>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</si>
  <si>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</si>
  <si>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</si>
  <si>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</si>
  <si>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</si>
  <si>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</si>
  <si>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</si>
  <si>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</si>
  <si>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</si>
  <si>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</si>
  <si>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</si>
  <si>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</si>
  <si>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</si>
  <si>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</si>
  <si>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</si>
  <si>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</si>
  <si>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</si>
  <si>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</si>
  <si>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</si>
  <si>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</si>
  <si>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</si>
  <si>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</si>
  <si>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</si>
  <si>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</si>
  <si>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</si>
  <si>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</si>
  <si>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</si>
  <si>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</si>
  <si>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</si>
  <si>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</si>
  <si>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</si>
  <si>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</si>
  <si>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</si>
  <si>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</si>
  <si>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</si>
  <si>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</si>
  <si>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</si>
  <si>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</si>
  <si>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</si>
  <si>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</si>
  <si>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</si>
  <si>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</si>
  <si>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</si>
  <si>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</si>
  <si>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</si>
  <si>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</si>
  <si>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</si>
  <si>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</si>
  <si>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</si>
  <si>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</si>
  <si>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</si>
  <si>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</si>
  <si>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</si>
  <si>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</si>
  <si>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s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</si>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</sst>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&quot;MK-&quot;###"/>
    <numFmt numFmtId="181" formatCode="m&quot;月&quot;d&quot;日&quot;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6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</cellXfs>
  <cellStyles count="89">
    <cellStyle name="Comma 2" xfId="3"/>
    <cellStyle name="Comma 2 2" xfId="4"/>
    <cellStyle name="Comma 2 2 2" xfId="5"/>
    <cellStyle name="Comma 2 3" xfId="6"/>
    <cellStyle name="Hyperlink" xfId="1" builtinId="8"/>
    <cellStyle name="Normal" xfId="0" builtinId="0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</cellStyles>
  <dxfs count="25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78" t="s">
        <v>576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33" t="s">
        <v>1</v>
      </c>
      <c r="AH1" s="79"/>
      <c r="AI1" s="55"/>
      <c r="AJ1" s="55"/>
      <c r="AK1" s="5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80"/>
      <c r="C2" s="80"/>
      <c r="D2" s="80"/>
      <c r="E2" s="80"/>
      <c r="F2" s="26" t="s">
        <v>9</v>
      </c>
      <c r="G2" s="80"/>
      <c r="H2" s="80"/>
      <c r="I2" s="80"/>
      <c r="J2" s="80"/>
      <c r="K2" s="81"/>
      <c r="L2" s="82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4" t="s">
        <v>596</v>
      </c>
      <c r="D3" s="65"/>
      <c r="E3" s="66"/>
      <c r="F3" s="67"/>
      <c r="G3" s="68"/>
      <c r="H3" s="69"/>
      <c r="I3" s="64" t="s">
        <v>594</v>
      </c>
      <c r="J3" s="66"/>
      <c r="K3" s="70"/>
      <c r="L3" s="71"/>
      <c r="M3" s="64" t="s">
        <v>597</v>
      </c>
      <c r="N3" s="66"/>
      <c r="O3" s="70"/>
      <c r="P3" s="71"/>
      <c r="Q3" s="48"/>
      <c r="R3" s="48"/>
      <c r="S3" s="48"/>
      <c r="T3" s="48"/>
      <c r="U3" s="48"/>
      <c r="V3" s="48"/>
      <c r="W3" s="48"/>
      <c r="X3" s="48"/>
      <c r="Y3" s="48"/>
      <c r="Z3" s="48"/>
      <c r="AA3" s="49"/>
      <c r="AB3" s="83"/>
      <c r="AC3" s="83"/>
      <c r="AD3" s="83"/>
      <c r="AE3" s="83"/>
      <c r="AF3" s="83"/>
      <c r="AG3" s="83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5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54" t="s">
        <v>577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73" t="s">
        <v>590</v>
      </c>
      <c r="AC4" s="54" t="s">
        <v>579</v>
      </c>
      <c r="AD4" s="54"/>
      <c r="AE4" s="74"/>
      <c r="AF4" s="55"/>
      <c r="AG4" s="75"/>
      <c r="AH4" s="61" t="s">
        <v>577</v>
      </c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3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73"/>
      <c r="AC5" s="54" t="s">
        <v>580</v>
      </c>
      <c r="AD5" s="54"/>
      <c r="AE5" s="53">
        <f>SUM(AF10:AF24)</f>
        <v>0</v>
      </c>
      <c r="AF5" s="53"/>
      <c r="AG5" s="76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51" t="s">
        <v>581</v>
      </c>
      <c r="B6" s="5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52" t="str">
        <f>IF(AE6&lt;5,"NO ",IF(AE6=5,"OK",IF(AE6&gt;5,"OK")))</f>
        <v xml:space="preserve">NO </v>
      </c>
      <c r="AD6" s="52"/>
      <c r="AE6" s="53">
        <f>AE4-AE5-AE7</f>
        <v>0</v>
      </c>
      <c r="AF6" s="53"/>
      <c r="AG6" s="76"/>
      <c r="AH6" s="72" t="s">
        <v>593</v>
      </c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34"/>
    </row>
    <row r="7" spans="1:59" customFormat="1" ht="15">
      <c r="A7" s="51" t="s">
        <v>588</v>
      </c>
      <c r="B7" s="51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54" t="s">
        <v>587</v>
      </c>
      <c r="AD7" s="54"/>
      <c r="AE7" s="55"/>
      <c r="AF7" s="55"/>
      <c r="AG7" s="76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34"/>
    </row>
    <row r="8" spans="1:59" customFormat="1" ht="15">
      <c r="A8" s="56" t="s">
        <v>591</v>
      </c>
      <c r="B8" s="54" t="s">
        <v>10</v>
      </c>
      <c r="C8" s="54" t="s">
        <v>0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 t="s">
        <v>8</v>
      </c>
      <c r="AC8" s="56" t="s">
        <v>581</v>
      </c>
      <c r="AD8" s="56" t="s">
        <v>582</v>
      </c>
      <c r="AE8" s="56"/>
      <c r="AF8" s="57" t="s">
        <v>583</v>
      </c>
      <c r="AG8" s="76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34"/>
    </row>
    <row r="9" spans="1:59" customFormat="1" ht="1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6"/>
      <c r="AD9" s="27" t="s">
        <v>584</v>
      </c>
      <c r="AE9" s="27" t="s">
        <v>585</v>
      </c>
      <c r="AF9" s="57"/>
      <c r="AG9" s="76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34"/>
    </row>
    <row r="10" spans="1:59" customFormat="1">
      <c r="A10" s="58"/>
      <c r="B10" s="41" t="str">
        <f>IF(AC10="","",IF(AC10&gt;0,1,0))</f>
        <v/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6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59"/>
      <c r="B11" s="41" t="str">
        <f t="shared" ref="B11:B24" si="17">IF(AC11="","",IF(AC11=0,"",IF(B10="","",B10+1)))</f>
        <v/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6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59"/>
      <c r="B12" s="41" t="str">
        <f t="shared" si="17"/>
        <v/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 t="s">
        <v>595</v>
      </c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6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e">
        <f t="shared" si="16"/>
        <v>#VALUE!</v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59"/>
      <c r="B13" s="41" t="str">
        <f t="shared" si="17"/>
        <v/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6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59"/>
      <c r="B14" s="41" t="str">
        <f t="shared" si="17"/>
        <v/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6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59"/>
      <c r="B15" s="41" t="str">
        <f t="shared" si="17"/>
        <v/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8">IF(AB15="","",(AD15+(AE15/36))*AB15)</f>
        <v/>
      </c>
      <c r="AG15" s="76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59"/>
      <c r="B16" s="41" t="str">
        <f t="shared" si="17"/>
        <v/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8"/>
        <v/>
      </c>
      <c r="AG16" s="76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59"/>
      <c r="B17" s="41" t="str">
        <f t="shared" si="17"/>
        <v/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8"/>
        <v/>
      </c>
      <c r="AG17" s="76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59"/>
      <c r="B18" s="41" t="str">
        <f t="shared" si="17"/>
        <v/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8"/>
        <v/>
      </c>
      <c r="AG18" s="76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59"/>
      <c r="B19" s="41" t="str">
        <f t="shared" si="17"/>
        <v/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8"/>
        <v/>
      </c>
      <c r="AG19" s="76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59"/>
      <c r="B20" s="41" t="str">
        <f t="shared" si="17"/>
        <v/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8"/>
        <v/>
      </c>
      <c r="AG20" s="76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59"/>
      <c r="B21" s="41" t="str">
        <f t="shared" si="17"/>
        <v/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8"/>
        <v/>
      </c>
      <c r="AG21" s="76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59"/>
      <c r="B22" s="41" t="str">
        <f t="shared" si="17"/>
        <v/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8"/>
        <v/>
      </c>
      <c r="AG22" s="76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59"/>
      <c r="B23" s="41" t="str">
        <f t="shared" si="17"/>
        <v/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8"/>
        <v/>
      </c>
      <c r="AG23" s="76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60"/>
      <c r="B24" s="41" t="str">
        <f t="shared" si="17"/>
        <v/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8"/>
        <v/>
      </c>
      <c r="AG24" s="77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50" t="s">
        <v>586</v>
      </c>
      <c r="AB25" s="50"/>
      <c r="AC25" s="23">
        <f>SUM(AC10:AC24)</f>
        <v>0</v>
      </c>
      <c r="AD25" s="50" t="s">
        <v>592</v>
      </c>
      <c r="AE25" s="50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B3:AU3"/>
    <mergeCell ref="A1:AF1"/>
    <mergeCell ref="AH1:AK1"/>
    <mergeCell ref="B2:E2"/>
    <mergeCell ref="G2:J2"/>
    <mergeCell ref="K2:L2"/>
    <mergeCell ref="AH4:BF4"/>
    <mergeCell ref="AC5:AD5"/>
    <mergeCell ref="AE5:AF5"/>
    <mergeCell ref="AB8:AB9"/>
    <mergeCell ref="C3:E3"/>
    <mergeCell ref="F3:H3"/>
    <mergeCell ref="I3:J3"/>
    <mergeCell ref="K3:L3"/>
    <mergeCell ref="AH6:BF9"/>
    <mergeCell ref="C4:AA4"/>
    <mergeCell ref="AB4:AB5"/>
    <mergeCell ref="AC4:AD4"/>
    <mergeCell ref="AE4:AF4"/>
    <mergeCell ref="AG4:AG24"/>
    <mergeCell ref="M3:N3"/>
    <mergeCell ref="O3:P3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</mergeCells>
  <phoneticPr fontId="15" type="noConversion"/>
  <conditionalFormatting sqref="AE6:AF6 AC7">
    <cfRule type="cellIs" dxfId="24" priority="13" operator="lessThanOrEqual">
      <formula>0</formula>
    </cfRule>
  </conditionalFormatting>
  <conditionalFormatting sqref="AF10:AF25 AC10:AC25 B10:B24 AB6 AE5:AF5 C7:AB7 AH10:BF24 AH5:BF5">
    <cfRule type="notContainsBlanks" dxfId="23" priority="14">
      <formula>LEN(TRIM(B5))&gt;0</formula>
    </cfRule>
  </conditionalFormatting>
  <conditionalFormatting sqref="AE6:AF6">
    <cfRule type="cellIs" dxfId="22" priority="11" operator="greaterThanOrEqual">
      <formula>20</formula>
    </cfRule>
    <cfRule type="cellIs" dxfId="21" priority="12" operator="greaterThanOrEqual">
      <formula>1</formula>
    </cfRule>
  </conditionalFormatting>
  <conditionalFormatting sqref="AE7 AH1 A10 AD10:AE24 C5:AA6 C10:AB24 B2:B5 G2 AE4">
    <cfRule type="containsBlanks" dxfId="20" priority="15">
      <formula>LEN(TRIM(A1))=0</formula>
    </cfRule>
    <cfRule type="notContainsBlanks" dxfId="19" priority="16">
      <formula>LEN(TRIM(A1))&gt;0</formula>
    </cfRule>
  </conditionalFormatting>
  <conditionalFormatting sqref="F3">
    <cfRule type="containsBlanks" dxfId="18" priority="7">
      <formula>LEN(TRIM(F3))=0</formula>
    </cfRule>
    <cfRule type="notContainsBlanks" dxfId="17" priority="8">
      <formula>LEN(TRIM(F3))&gt;0</formula>
    </cfRule>
  </conditionalFormatting>
  <conditionalFormatting sqref="K3">
    <cfRule type="containsBlanks" dxfId="16" priority="5">
      <formula>LEN(TRIM(K3))=0</formula>
    </cfRule>
    <cfRule type="notContainsBlanks" dxfId="15" priority="6">
      <formula>LEN(TRIM(K3))&gt;0</formula>
    </cfRule>
  </conditionalFormatting>
  <conditionalFormatting sqref="M2">
    <cfRule type="notContainsBlanks" dxfId="14" priority="3">
      <formula>LEN(TRIM(M2))&gt;0</formula>
    </cfRule>
  </conditionalFormatting>
  <conditionalFormatting sqref="O3">
    <cfRule type="containsBlanks" dxfId="13" priority="1">
      <formula>LEN(TRIM(O3))=0</formula>
    </cfRule>
    <cfRule type="notContainsBlanks" dxfId="12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/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4" t="s">
        <v>596</v>
      </c>
      <c r="D1" s="65"/>
      <c r="E1" s="66"/>
      <c r="F1" s="67"/>
      <c r="G1" s="68"/>
      <c r="H1" s="69"/>
      <c r="I1" s="64" t="s">
        <v>594</v>
      </c>
      <c r="J1" s="66"/>
      <c r="K1" s="70"/>
      <c r="L1" s="71"/>
      <c r="M1" s="64" t="s">
        <v>598</v>
      </c>
      <c r="N1" s="66"/>
      <c r="O1" s="70"/>
      <c r="P1" s="71"/>
      <c r="Q1" s="48"/>
      <c r="R1" s="48"/>
      <c r="S1" s="48"/>
      <c r="T1" s="48"/>
      <c r="U1" s="48"/>
      <c r="V1" s="48"/>
      <c r="W1" s="48"/>
      <c r="X1" s="48"/>
      <c r="Y1" s="48"/>
      <c r="Z1" s="48"/>
      <c r="AA1" s="49"/>
      <c r="AB1" s="83"/>
      <c r="AC1" s="83"/>
      <c r="AD1" s="83"/>
      <c r="AE1" s="83"/>
      <c r="AF1" s="83"/>
      <c r="AG1" s="83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3" t="s">
        <v>589</v>
      </c>
      <c r="B2" s="12"/>
      <c r="C2" s="54" t="s">
        <v>577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73" t="s">
        <v>590</v>
      </c>
      <c r="AC2" s="54" t="s">
        <v>579</v>
      </c>
      <c r="AD2" s="54"/>
      <c r="AE2" s="74"/>
      <c r="AF2" s="55"/>
      <c r="AG2" s="75"/>
      <c r="AH2" s="61" t="s">
        <v>577</v>
      </c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3"/>
      <c r="BG2" s="34"/>
    </row>
    <row r="3" spans="1:59" customFormat="1" ht="15">
      <c r="A3" s="45" t="s">
        <v>7</v>
      </c>
      <c r="B3" s="1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73"/>
      <c r="AC3" s="54" t="s">
        <v>580</v>
      </c>
      <c r="AD3" s="54"/>
      <c r="AE3" s="53">
        <f>SUM(AF8:AF22)</f>
        <v>0</v>
      </c>
      <c r="AF3" s="53"/>
      <c r="AG3" s="76"/>
      <c r="AH3" s="44" t="str">
        <f t="shared" ref="AH3:AU3" si="0">IF(C3="", "", C3)</f>
        <v/>
      </c>
      <c r="AI3" s="44" t="str">
        <f t="shared" si="0"/>
        <v/>
      </c>
      <c r="AJ3" s="44" t="str">
        <f t="shared" si="0"/>
        <v/>
      </c>
      <c r="AK3" s="44" t="str">
        <f t="shared" si="0"/>
        <v/>
      </c>
      <c r="AL3" s="44" t="str">
        <f t="shared" si="0"/>
        <v/>
      </c>
      <c r="AM3" s="44" t="str">
        <f t="shared" si="0"/>
        <v/>
      </c>
      <c r="AN3" s="44" t="str">
        <f t="shared" si="0"/>
        <v/>
      </c>
      <c r="AO3" s="44" t="str">
        <f t="shared" si="0"/>
        <v/>
      </c>
      <c r="AP3" s="44" t="str">
        <f t="shared" si="0"/>
        <v/>
      </c>
      <c r="AQ3" s="44" t="str">
        <f t="shared" si="0"/>
        <v/>
      </c>
      <c r="AR3" s="44" t="str">
        <f t="shared" si="0"/>
        <v/>
      </c>
      <c r="AS3" s="44" t="str">
        <f t="shared" si="0"/>
        <v/>
      </c>
      <c r="AT3" s="44" t="str">
        <f t="shared" si="0"/>
        <v/>
      </c>
      <c r="AU3" s="44" t="str">
        <f t="shared" si="0"/>
        <v/>
      </c>
      <c r="AV3" s="44" t="str">
        <f>IF(Q3="", "", Q3)</f>
        <v/>
      </c>
      <c r="AW3" s="44" t="str">
        <f t="shared" ref="AW3:BF3" si="1">IF(R3="", "", R3)</f>
        <v/>
      </c>
      <c r="AX3" s="44" t="str">
        <f t="shared" si="1"/>
        <v/>
      </c>
      <c r="AY3" s="44" t="str">
        <f t="shared" si="1"/>
        <v/>
      </c>
      <c r="AZ3" s="44" t="str">
        <f t="shared" si="1"/>
        <v/>
      </c>
      <c r="BA3" s="44" t="str">
        <f t="shared" si="1"/>
        <v/>
      </c>
      <c r="BB3" s="44" t="str">
        <f t="shared" si="1"/>
        <v/>
      </c>
      <c r="BC3" s="44" t="str">
        <f t="shared" si="1"/>
        <v/>
      </c>
      <c r="BD3" s="44" t="str">
        <f t="shared" si="1"/>
        <v/>
      </c>
      <c r="BE3" s="44" t="str">
        <f t="shared" si="1"/>
        <v/>
      </c>
      <c r="BF3" s="44" t="str">
        <f t="shared" si="1"/>
        <v/>
      </c>
      <c r="BG3" s="34"/>
    </row>
    <row r="4" spans="1:59" customFormat="1" ht="15">
      <c r="A4" s="51" t="s">
        <v>581</v>
      </c>
      <c r="B4" s="5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19">
        <f>SUM(C4:AA4)</f>
        <v>0</v>
      </c>
      <c r="AC4" s="52" t="str">
        <f>IF(AE4&lt;5,"NO ",IF(AE4=5,"OK",IF(AE4&gt;5,"OK")))</f>
        <v xml:space="preserve">NO </v>
      </c>
      <c r="AD4" s="52"/>
      <c r="AE4" s="53">
        <f>AE2-AE3-AE5</f>
        <v>0</v>
      </c>
      <c r="AF4" s="53"/>
      <c r="AG4" s="76"/>
      <c r="AH4" s="72" t="s">
        <v>593</v>
      </c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34"/>
    </row>
    <row r="5" spans="1:59" customFormat="1" ht="15">
      <c r="A5" s="51" t="s">
        <v>588</v>
      </c>
      <c r="B5" s="51"/>
      <c r="C5" s="47" t="str">
        <f t="shared" ref="C5:AA5" si="2">IF(C3="","",C4-C8*$AB8-C9*$AB9-C10*$AB10-C11*$AB11-C12*$AB12-C13*$AB13-C14*$AB14-C15*$AB15-C16*$AB16-C17*$AB17-C18*$AB18-C19*$AB19-C20*$AB20-C21*$AB21-C22*$AB22)</f>
        <v/>
      </c>
      <c r="D5" s="47" t="str">
        <f t="shared" si="2"/>
        <v/>
      </c>
      <c r="E5" s="47" t="str">
        <f t="shared" si="2"/>
        <v/>
      </c>
      <c r="F5" s="47" t="str">
        <f t="shared" si="2"/>
        <v/>
      </c>
      <c r="G5" s="47" t="str">
        <f t="shared" si="2"/>
        <v/>
      </c>
      <c r="H5" s="47" t="str">
        <f t="shared" si="2"/>
        <v/>
      </c>
      <c r="I5" s="47" t="str">
        <f t="shared" si="2"/>
        <v/>
      </c>
      <c r="J5" s="47" t="str">
        <f t="shared" si="2"/>
        <v/>
      </c>
      <c r="K5" s="47" t="str">
        <f t="shared" si="2"/>
        <v/>
      </c>
      <c r="L5" s="47" t="str">
        <f t="shared" si="2"/>
        <v/>
      </c>
      <c r="M5" s="47" t="str">
        <f t="shared" si="2"/>
        <v/>
      </c>
      <c r="N5" s="47" t="str">
        <f t="shared" si="2"/>
        <v/>
      </c>
      <c r="O5" s="47" t="str">
        <f t="shared" si="2"/>
        <v/>
      </c>
      <c r="P5" s="47" t="str">
        <f t="shared" si="2"/>
        <v/>
      </c>
      <c r="Q5" s="47" t="str">
        <f t="shared" si="2"/>
        <v/>
      </c>
      <c r="R5" s="47" t="str">
        <f t="shared" si="2"/>
        <v/>
      </c>
      <c r="S5" s="47" t="str">
        <f t="shared" si="2"/>
        <v/>
      </c>
      <c r="T5" s="47" t="str">
        <f t="shared" si="2"/>
        <v/>
      </c>
      <c r="U5" s="47" t="str">
        <f t="shared" si="2"/>
        <v/>
      </c>
      <c r="V5" s="47" t="str">
        <f t="shared" si="2"/>
        <v/>
      </c>
      <c r="W5" s="47" t="str">
        <f t="shared" si="2"/>
        <v/>
      </c>
      <c r="X5" s="47" t="str">
        <f t="shared" si="2"/>
        <v/>
      </c>
      <c r="Y5" s="47" t="str">
        <f t="shared" si="2"/>
        <v/>
      </c>
      <c r="Z5" s="47" t="str">
        <f t="shared" si="2"/>
        <v/>
      </c>
      <c r="AA5" s="47" t="str">
        <f t="shared" si="2"/>
        <v/>
      </c>
      <c r="AB5" s="47">
        <f>SUM(C5:AA5)</f>
        <v>0</v>
      </c>
      <c r="AC5" s="54" t="s">
        <v>587</v>
      </c>
      <c r="AD5" s="54"/>
      <c r="AE5" s="55"/>
      <c r="AF5" s="55"/>
      <c r="AG5" s="76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34"/>
    </row>
    <row r="6" spans="1:59" customFormat="1" ht="15">
      <c r="A6" s="56" t="s">
        <v>591</v>
      </c>
      <c r="B6" s="54" t="s">
        <v>10</v>
      </c>
      <c r="C6" s="54" t="s">
        <v>0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 t="s">
        <v>8</v>
      </c>
      <c r="AC6" s="56" t="s">
        <v>581</v>
      </c>
      <c r="AD6" s="56" t="s">
        <v>582</v>
      </c>
      <c r="AE6" s="56"/>
      <c r="AF6" s="57" t="s">
        <v>583</v>
      </c>
      <c r="AG6" s="76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34"/>
    </row>
    <row r="7" spans="1:59" customFormat="1" ht="1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6"/>
      <c r="AD7" s="46" t="s">
        <v>584</v>
      </c>
      <c r="AE7" s="46" t="s">
        <v>585</v>
      </c>
      <c r="AF7" s="57"/>
      <c r="AG7" s="76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34"/>
    </row>
    <row r="8" spans="1:59" customFormat="1">
      <c r="A8" s="58"/>
      <c r="B8" s="41" t="str">
        <f>IF(AC8="","",IF(AC8&gt;0,1,0))</f>
        <v/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20" t="str">
        <f t="shared" ref="AC8:AC22" si="3">IF(AB8="","",SUM(C8:AA8)*AB8)</f>
        <v/>
      </c>
      <c r="AD8" s="42"/>
      <c r="AE8" s="42"/>
      <c r="AF8" s="19" t="str">
        <f>IF(AB8="","",(AD8+(AE8/36))*AB8)</f>
        <v/>
      </c>
      <c r="AG8" s="76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59"/>
      <c r="B9" s="41" t="str">
        <f t="shared" ref="B9:B22" si="6">IF(AC9="","",IF(AC9=0,"",IF(B8="","",B8+1)))</f>
        <v/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20" t="str">
        <f t="shared" si="3"/>
        <v/>
      </c>
      <c r="AD9" s="42"/>
      <c r="AE9" s="42"/>
      <c r="AF9" s="19" t="str">
        <f>IF(AB9="","",(AD9+(AE9/36))*AB9)</f>
        <v/>
      </c>
      <c r="AG9" s="76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59"/>
      <c r="B10" s="41" t="str">
        <f t="shared" si="6"/>
        <v/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 t="s">
        <v>595</v>
      </c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20" t="str">
        <f t="shared" si="3"/>
        <v/>
      </c>
      <c r="AD10" s="42"/>
      <c r="AE10" s="42"/>
      <c r="AF10" s="19" t="str">
        <f>IF(AB10="","",(AD10+(AE10/36))*AB10)</f>
        <v/>
      </c>
      <c r="AG10" s="76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e">
        <f t="shared" si="5"/>
        <v>#VALUE!</v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59"/>
      <c r="B11" s="41" t="str">
        <f t="shared" si="6"/>
        <v/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20" t="str">
        <f t="shared" si="3"/>
        <v/>
      </c>
      <c r="AD11" s="42"/>
      <c r="AE11" s="42"/>
      <c r="AF11" s="19" t="str">
        <f>IF(AB11="","",(AD11+(AE11/36))*AB11)</f>
        <v/>
      </c>
      <c r="AG11" s="76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59"/>
      <c r="B12" s="41" t="str">
        <f t="shared" si="6"/>
        <v/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20" t="str">
        <f t="shared" si="3"/>
        <v/>
      </c>
      <c r="AD12" s="42"/>
      <c r="AE12" s="42"/>
      <c r="AF12" s="19" t="str">
        <f>IF(AB12="","",(AD12+(AE12/36))*AB12)</f>
        <v/>
      </c>
      <c r="AG12" s="76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59"/>
      <c r="B13" s="41" t="str">
        <f t="shared" si="6"/>
        <v/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20" t="str">
        <f t="shared" si="3"/>
        <v/>
      </c>
      <c r="AD13" s="13"/>
      <c r="AE13" s="13"/>
      <c r="AF13" s="19" t="str">
        <f t="shared" ref="AF13:AF22" si="7">IF(AB13="","",(AD13+(AE13/36))*AB13)</f>
        <v/>
      </c>
      <c r="AG13" s="76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59"/>
      <c r="B14" s="41" t="str">
        <f t="shared" si="6"/>
        <v/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20" t="str">
        <f t="shared" si="3"/>
        <v/>
      </c>
      <c r="AD14" s="13"/>
      <c r="AE14" s="13"/>
      <c r="AF14" s="19" t="str">
        <f t="shared" si="7"/>
        <v/>
      </c>
      <c r="AG14" s="76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59"/>
      <c r="B15" s="41" t="str">
        <f t="shared" si="6"/>
        <v/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20" t="str">
        <f t="shared" si="3"/>
        <v/>
      </c>
      <c r="AD15" s="13"/>
      <c r="AE15" s="13"/>
      <c r="AF15" s="19" t="str">
        <f t="shared" si="7"/>
        <v/>
      </c>
      <c r="AG15" s="76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59"/>
      <c r="B16" s="41" t="str">
        <f t="shared" si="6"/>
        <v/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20" t="str">
        <f t="shared" si="3"/>
        <v/>
      </c>
      <c r="AD16" s="13"/>
      <c r="AE16" s="13"/>
      <c r="AF16" s="19" t="str">
        <f t="shared" si="7"/>
        <v/>
      </c>
      <c r="AG16" s="76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59"/>
      <c r="B17" s="41" t="str">
        <f t="shared" si="6"/>
        <v/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20" t="str">
        <f t="shared" si="3"/>
        <v/>
      </c>
      <c r="AD17" s="13"/>
      <c r="AE17" s="13"/>
      <c r="AF17" s="19" t="str">
        <f t="shared" si="7"/>
        <v/>
      </c>
      <c r="AG17" s="76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59"/>
      <c r="B18" s="41" t="str">
        <f t="shared" si="6"/>
        <v/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25"/>
      <c r="Z18" s="42"/>
      <c r="AA18" s="42"/>
      <c r="AB18" s="42"/>
      <c r="AC18" s="20" t="str">
        <f t="shared" si="3"/>
        <v/>
      </c>
      <c r="AD18" s="13"/>
      <c r="AE18" s="13"/>
      <c r="AF18" s="19" t="str">
        <f t="shared" si="7"/>
        <v/>
      </c>
      <c r="AG18" s="76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59"/>
      <c r="B19" s="41" t="str">
        <f t="shared" si="6"/>
        <v/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20" t="str">
        <f t="shared" si="3"/>
        <v/>
      </c>
      <c r="AD19" s="13"/>
      <c r="AE19" s="13"/>
      <c r="AF19" s="19" t="str">
        <f t="shared" si="7"/>
        <v/>
      </c>
      <c r="AG19" s="76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59"/>
      <c r="B20" s="41" t="str">
        <f t="shared" si="6"/>
        <v/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20" t="str">
        <f t="shared" si="3"/>
        <v/>
      </c>
      <c r="AD20" s="13"/>
      <c r="AE20" s="13"/>
      <c r="AF20" s="19" t="str">
        <f t="shared" si="7"/>
        <v/>
      </c>
      <c r="AG20" s="76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59"/>
      <c r="B21" s="41" t="str">
        <f t="shared" si="6"/>
        <v/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20" t="str">
        <f t="shared" si="3"/>
        <v/>
      </c>
      <c r="AD21" s="13"/>
      <c r="AE21" s="13"/>
      <c r="AF21" s="19" t="str">
        <f t="shared" si="7"/>
        <v/>
      </c>
      <c r="AG21" s="76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60"/>
      <c r="B22" s="41" t="str">
        <f t="shared" si="6"/>
        <v/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20" t="str">
        <f t="shared" si="3"/>
        <v/>
      </c>
      <c r="AD22" s="13"/>
      <c r="AE22" s="13"/>
      <c r="AF22" s="19" t="str">
        <f t="shared" si="7"/>
        <v/>
      </c>
      <c r="AG22" s="77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50" t="s">
        <v>586</v>
      </c>
      <c r="AB23" s="50"/>
      <c r="AC23" s="23">
        <f>SUM(AC8:AC22)</f>
        <v>0</v>
      </c>
      <c r="AD23" s="50" t="s">
        <v>592</v>
      </c>
      <c r="AE23" s="50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M1:N1"/>
    <mergeCell ref="O1:P1"/>
    <mergeCell ref="AA23:AB23"/>
    <mergeCell ref="AD23:AE23"/>
    <mergeCell ref="A8:A22"/>
    <mergeCell ref="A4:B4"/>
    <mergeCell ref="AC4:AD4"/>
    <mergeCell ref="AE4:AF4"/>
    <mergeCell ref="A5:B5"/>
    <mergeCell ref="AC5:AD5"/>
    <mergeCell ref="AE5:AF5"/>
    <mergeCell ref="A6:A7"/>
    <mergeCell ref="B6:B7"/>
    <mergeCell ref="C6:AA7"/>
    <mergeCell ref="AC6:AC7"/>
    <mergeCell ref="AD6:AE6"/>
    <mergeCell ref="AF6:AF7"/>
    <mergeCell ref="AB1:AU1"/>
    <mergeCell ref="C2:AA2"/>
    <mergeCell ref="AB2:AB3"/>
    <mergeCell ref="AC2:AD2"/>
    <mergeCell ref="AE2:AF2"/>
    <mergeCell ref="AG2:AG22"/>
    <mergeCell ref="AH2:BF2"/>
    <mergeCell ref="AC3:AD3"/>
    <mergeCell ref="AE3:AF3"/>
    <mergeCell ref="AB6:AB7"/>
    <mergeCell ref="C1:E1"/>
    <mergeCell ref="F1:H1"/>
    <mergeCell ref="I1:J1"/>
    <mergeCell ref="K1:L1"/>
    <mergeCell ref="AH4:BF7"/>
  </mergeCells>
  <phoneticPr fontId="15" type="noConversion"/>
  <conditionalFormatting sqref="AE4:AF4 AC5">
    <cfRule type="cellIs" dxfId="11" priority="11" operator="lessThanOrEqual">
      <formula>0</formula>
    </cfRule>
  </conditionalFormatting>
  <conditionalFormatting sqref="AF8:AF23 AC8:AC23 B8:B22 AB4 AE3:AF3 C5:AB5 AH8:BF22 AH3:BF3">
    <cfRule type="notContainsBlanks" dxfId="10" priority="12">
      <formula>LEN(TRIM(B3))&gt;0</formula>
    </cfRule>
  </conditionalFormatting>
  <conditionalFormatting sqref="AE4:AF4">
    <cfRule type="cellIs" dxfId="9" priority="9" operator="greaterThanOrEqual">
      <formula>20</formula>
    </cfRule>
    <cfRule type="cellIs" dxfId="8" priority="10" operator="greaterThanOrEqual">
      <formula>1</formula>
    </cfRule>
  </conditionalFormatting>
  <conditionalFormatting sqref="AE5 A8 AD8:AE22 C3:AA4 C8:AB22 AE2 B1:B3">
    <cfRule type="containsBlanks" dxfId="7" priority="13">
      <formula>LEN(TRIM(A1))=0</formula>
    </cfRule>
    <cfRule type="notContainsBlanks" dxfId="6" priority="14">
      <formula>LEN(TRIM(A1))&gt;0</formula>
    </cfRule>
  </conditionalFormatting>
  <conditionalFormatting sqref="F1">
    <cfRule type="containsBlanks" dxfId="5" priority="7">
      <formula>LEN(TRIM(F1))=0</formula>
    </cfRule>
    <cfRule type="notContainsBlanks" dxfId="4" priority="8">
      <formula>LEN(TRIM(F1))&gt;0</formula>
    </cfRule>
  </conditionalFormatting>
  <conditionalFormatting sqref="K1">
    <cfRule type="containsBlanks" dxfId="3" priority="5">
      <formula>LEN(TRIM(K1))=0</formula>
    </cfRule>
    <cfRule type="notContainsBlanks" dxfId="2" priority="6">
      <formula>LEN(TRIM(K1))&gt;0</formula>
    </cfRule>
  </conditionalFormatting>
  <conditionalFormatting sqref="O1">
    <cfRule type="containsBlanks" dxfId="1" priority="1">
      <formula>LEN(TRIM(O1))=0</formula>
    </cfRule>
    <cfRule type="notContainsBlanks" dxfId="0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JackHsu許弘彬7269</cp:lastModifiedBy>
  <cp:lastPrinted>2024-02-22T02:24:19Z</cp:lastPrinted>
  <dcterms:created xsi:type="dcterms:W3CDTF">1996-12-17T01:32:42Z</dcterms:created>
  <dcterms:modified xsi:type="dcterms:W3CDTF">2025-03-05T09:20:01Z</dcterms:modified>
</cp:coreProperties>
</file>