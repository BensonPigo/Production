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ystem2017\Production_Formal\Sci.Production\XLT\"/>
    </mc:Choice>
  </mc:AlternateContent>
  <bookViews>
    <workbookView xWindow="0" yWindow="0" windowWidth="23040" windowHeight="9750"/>
  </bookViews>
  <sheets>
    <sheet name="Upload" sheetId="56" r:id="rId1"/>
    <sheet name="Example" sheetId="55" state="hidden" r:id="rId2"/>
    <sheet name="MIX-0" sheetId="45" state="hidden" r:id="rId3"/>
    <sheet name="公式转换" sheetId="43" state="hidden" r:id="rId4"/>
  </sheets>
  <calcPr calcId="162913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F24" i="56" l="1"/>
  <c r="BE24" i="56"/>
  <c r="BD24" i="56"/>
  <c r="BC24" i="56"/>
  <c r="BB24" i="56"/>
  <c r="BA24" i="56"/>
  <c r="AZ24" i="56"/>
  <c r="AY24" i="56"/>
  <c r="AX24" i="56"/>
  <c r="AW24" i="56"/>
  <c r="AV24" i="56"/>
  <c r="AU24" i="56"/>
  <c r="AT24" i="56"/>
  <c r="AS24" i="56"/>
  <c r="AR24" i="56"/>
  <c r="AQ24" i="56"/>
  <c r="AP24" i="56"/>
  <c r="AO24" i="56"/>
  <c r="AN24" i="56"/>
  <c r="AM24" i="56"/>
  <c r="AL24" i="56"/>
  <c r="AK24" i="56"/>
  <c r="AJ24" i="56"/>
  <c r="AI24" i="56"/>
  <c r="AH24" i="56"/>
  <c r="AF24" i="56"/>
  <c r="AC24" i="56"/>
  <c r="B24" i="56"/>
  <c r="BF23" i="56"/>
  <c r="BE23" i="56"/>
  <c r="BD23" i="56"/>
  <c r="BC23" i="56"/>
  <c r="BB23" i="56"/>
  <c r="BA23" i="56"/>
  <c r="AZ23" i="56"/>
  <c r="AY23" i="56"/>
  <c r="AX23" i="56"/>
  <c r="AW23" i="56"/>
  <c r="AV23" i="56"/>
  <c r="AU23" i="56"/>
  <c r="AS23" i="56"/>
  <c r="AR23" i="56"/>
  <c r="AQ23" i="56"/>
  <c r="AP23" i="56"/>
  <c r="AO23" i="56"/>
  <c r="AN23" i="56"/>
  <c r="AM23" i="56"/>
  <c r="AL23" i="56"/>
  <c r="AK23" i="56"/>
  <c r="AJ23" i="56"/>
  <c r="AI23" i="56"/>
  <c r="AH23" i="56"/>
  <c r="AF23" i="56"/>
  <c r="AC23" i="56"/>
  <c r="B23" i="56" s="1"/>
  <c r="BF22" i="56"/>
  <c r="BE22" i="56"/>
  <c r="BD22" i="56"/>
  <c r="BC22" i="56"/>
  <c r="BB22" i="56"/>
  <c r="BA22" i="56"/>
  <c r="AZ22" i="56"/>
  <c r="AY22" i="56"/>
  <c r="AX22" i="56"/>
  <c r="AW22" i="56"/>
  <c r="AV22" i="56"/>
  <c r="AU22" i="56"/>
  <c r="AT22" i="56"/>
  <c r="AS22" i="56"/>
  <c r="AR22" i="56"/>
  <c r="AQ22" i="56"/>
  <c r="AP22" i="56"/>
  <c r="AO22" i="56"/>
  <c r="AN22" i="56"/>
  <c r="AM22" i="56"/>
  <c r="AL22" i="56"/>
  <c r="AK22" i="56"/>
  <c r="AJ22" i="56"/>
  <c r="AI22" i="56"/>
  <c r="AH22" i="56"/>
  <c r="AF22" i="56"/>
  <c r="AC22" i="56"/>
  <c r="B22" i="56" s="1"/>
  <c r="BF21" i="56"/>
  <c r="BE21" i="56"/>
  <c r="BD21" i="56"/>
  <c r="BC21" i="56"/>
  <c r="BB21" i="56"/>
  <c r="BA21" i="56"/>
  <c r="AZ21" i="56"/>
  <c r="AY21" i="56"/>
  <c r="AX21" i="56"/>
  <c r="AW21" i="56"/>
  <c r="AV21" i="56"/>
  <c r="AU21" i="56"/>
  <c r="AT21" i="56"/>
  <c r="AS21" i="56"/>
  <c r="AR21" i="56"/>
  <c r="AQ21" i="56"/>
  <c r="AP21" i="56"/>
  <c r="AO21" i="56"/>
  <c r="AN21" i="56"/>
  <c r="AM21" i="56"/>
  <c r="AL21" i="56"/>
  <c r="AK21" i="56"/>
  <c r="AJ21" i="56"/>
  <c r="AI21" i="56"/>
  <c r="AH21" i="56"/>
  <c r="AF21" i="56"/>
  <c r="AC21" i="56"/>
  <c r="B21" i="56" s="1"/>
  <c r="BF20" i="56"/>
  <c r="BE20" i="56"/>
  <c r="BD20" i="56"/>
  <c r="BC20" i="56"/>
  <c r="BB20" i="56"/>
  <c r="BA20" i="56"/>
  <c r="AZ20" i="56"/>
  <c r="AY20" i="56"/>
  <c r="AX20" i="56"/>
  <c r="AW20" i="56"/>
  <c r="AV20" i="56"/>
  <c r="AU20" i="56"/>
  <c r="AT20" i="56"/>
  <c r="AS20" i="56"/>
  <c r="AR20" i="56"/>
  <c r="AQ20" i="56"/>
  <c r="AP20" i="56"/>
  <c r="AO20" i="56"/>
  <c r="AN20" i="56"/>
  <c r="AM20" i="56"/>
  <c r="AL20" i="56"/>
  <c r="AK20" i="56"/>
  <c r="AJ20" i="56"/>
  <c r="AI20" i="56"/>
  <c r="AH20" i="56"/>
  <c r="AF20" i="56"/>
  <c r="AC20" i="56"/>
  <c r="B20" i="56" s="1"/>
  <c r="BF19" i="56"/>
  <c r="BE19" i="56"/>
  <c r="BD19" i="56"/>
  <c r="BC19" i="56"/>
  <c r="BB19" i="56"/>
  <c r="BA19" i="56"/>
  <c r="AZ19" i="56"/>
  <c r="AY19" i="56"/>
  <c r="AX19" i="56"/>
  <c r="AW19" i="56"/>
  <c r="AV19" i="56"/>
  <c r="AU19" i="56"/>
  <c r="AT19" i="56"/>
  <c r="AS19" i="56"/>
  <c r="AR19" i="56"/>
  <c r="AQ19" i="56"/>
  <c r="AP19" i="56"/>
  <c r="AO19" i="56"/>
  <c r="AN19" i="56"/>
  <c r="AM19" i="56"/>
  <c r="AL19" i="56"/>
  <c r="AK19" i="56"/>
  <c r="AJ19" i="56"/>
  <c r="AI19" i="56"/>
  <c r="AH19" i="56"/>
  <c r="AF19" i="56"/>
  <c r="AC19" i="56"/>
  <c r="B19" i="56" s="1"/>
  <c r="BF18" i="56"/>
  <c r="BE18" i="56"/>
  <c r="BD18" i="56"/>
  <c r="BC18" i="56"/>
  <c r="BB18" i="56"/>
  <c r="BA18" i="56"/>
  <c r="AZ18" i="56"/>
  <c r="AY18" i="56"/>
  <c r="AX18" i="56"/>
  <c r="AW18" i="56"/>
  <c r="AV18" i="56"/>
  <c r="AU18" i="56"/>
  <c r="AT18" i="56"/>
  <c r="AS18" i="56"/>
  <c r="AR18" i="56"/>
  <c r="AQ18" i="56"/>
  <c r="AP18" i="56"/>
  <c r="AO18" i="56"/>
  <c r="AN18" i="56"/>
  <c r="AM18" i="56"/>
  <c r="AL18" i="56"/>
  <c r="AK18" i="56"/>
  <c r="AJ18" i="56"/>
  <c r="AI18" i="56"/>
  <c r="AH18" i="56"/>
  <c r="AF18" i="56"/>
  <c r="AC18" i="56"/>
  <c r="B18" i="56" s="1"/>
  <c r="BF17" i="56"/>
  <c r="BE17" i="56"/>
  <c r="BD17" i="56"/>
  <c r="BC17" i="56"/>
  <c r="BB17" i="56"/>
  <c r="BA17" i="56"/>
  <c r="AZ17" i="56"/>
  <c r="AY17" i="56"/>
  <c r="AX17" i="56"/>
  <c r="AW17" i="56"/>
  <c r="AV17" i="56"/>
  <c r="AU17" i="56"/>
  <c r="AS17" i="56"/>
  <c r="AR17" i="56"/>
  <c r="AQ17" i="56"/>
  <c r="AP17" i="56"/>
  <c r="AN17" i="56"/>
  <c r="AM17" i="56"/>
  <c r="AL17" i="56"/>
  <c r="AK17" i="56"/>
  <c r="AJ17" i="56"/>
  <c r="AI17" i="56"/>
  <c r="AH17" i="56"/>
  <c r="AF17" i="56"/>
  <c r="AC17" i="56"/>
  <c r="B17" i="56" s="1"/>
  <c r="BF16" i="56"/>
  <c r="BE16" i="56"/>
  <c r="BD16" i="56"/>
  <c r="BC16" i="56"/>
  <c r="BB16" i="56"/>
  <c r="BA16" i="56"/>
  <c r="AZ16" i="56"/>
  <c r="AY16" i="56"/>
  <c r="AX16" i="56"/>
  <c r="AW16" i="56"/>
  <c r="AV16" i="56"/>
  <c r="AT16" i="56"/>
  <c r="AS16" i="56"/>
  <c r="AR16" i="56"/>
  <c r="AQ16" i="56"/>
  <c r="AP16" i="56"/>
  <c r="AO16" i="56"/>
  <c r="AN16" i="56"/>
  <c r="AM16" i="56"/>
  <c r="AL16" i="56"/>
  <c r="AK16" i="56"/>
  <c r="AJ16" i="56"/>
  <c r="AI16" i="56"/>
  <c r="AH16" i="56"/>
  <c r="AF16" i="56"/>
  <c r="AC16" i="56"/>
  <c r="B16" i="56" s="1"/>
  <c r="BF15" i="56"/>
  <c r="BE15" i="56"/>
  <c r="BD15" i="56"/>
  <c r="BC15" i="56"/>
  <c r="BB15" i="56"/>
  <c r="BA15" i="56"/>
  <c r="AZ15" i="56"/>
  <c r="AY15" i="56"/>
  <c r="AX15" i="56"/>
  <c r="AW15" i="56"/>
  <c r="AV15" i="56"/>
  <c r="AU15" i="56"/>
  <c r="AT15" i="56"/>
  <c r="AS15" i="56"/>
  <c r="AR15" i="56"/>
  <c r="AQ15" i="56"/>
  <c r="AP15" i="56"/>
  <c r="AO15" i="56"/>
  <c r="AN15" i="56"/>
  <c r="AM15" i="56"/>
  <c r="AL15" i="56"/>
  <c r="AK15" i="56"/>
  <c r="AJ15" i="56"/>
  <c r="AH15" i="56"/>
  <c r="AF15" i="56"/>
  <c r="AC15" i="56"/>
  <c r="B15" i="56" s="1"/>
  <c r="BF14" i="56"/>
  <c r="BE14" i="56"/>
  <c r="BD14" i="56"/>
  <c r="BC14" i="56"/>
  <c r="BB14" i="56"/>
  <c r="BA14" i="56"/>
  <c r="AZ14" i="56"/>
  <c r="AY14" i="56"/>
  <c r="AX14" i="56"/>
  <c r="AW14" i="56"/>
  <c r="AV14" i="56"/>
  <c r="AU14" i="56"/>
  <c r="AT14" i="56"/>
  <c r="AS14" i="56"/>
  <c r="AR14" i="56"/>
  <c r="AQ14" i="56"/>
  <c r="AP14" i="56"/>
  <c r="AO14" i="56"/>
  <c r="AM14" i="56"/>
  <c r="AK14" i="56"/>
  <c r="AJ14" i="56"/>
  <c r="AI14" i="56"/>
  <c r="AF14" i="56"/>
  <c r="AC14" i="56"/>
  <c r="BF13" i="56"/>
  <c r="BE13" i="56"/>
  <c r="BD13" i="56"/>
  <c r="BC13" i="56"/>
  <c r="BB13" i="56"/>
  <c r="BA13" i="56"/>
  <c r="AZ13" i="56"/>
  <c r="AY13" i="56"/>
  <c r="AX13" i="56"/>
  <c r="AW13" i="56"/>
  <c r="AV13" i="56"/>
  <c r="AU13" i="56"/>
  <c r="AT13" i="56"/>
  <c r="AS13" i="56"/>
  <c r="AR13" i="56"/>
  <c r="AP13" i="56"/>
  <c r="AO13" i="56"/>
  <c r="AL13" i="56"/>
  <c r="AJ13" i="56"/>
  <c r="AI13" i="56"/>
  <c r="AF13" i="56"/>
  <c r="AC13" i="56"/>
  <c r="BF12" i="56"/>
  <c r="BE12" i="56"/>
  <c r="BD12" i="56"/>
  <c r="BC12" i="56"/>
  <c r="BB12" i="56"/>
  <c r="BA12" i="56"/>
  <c r="AZ12" i="56"/>
  <c r="AY12" i="56"/>
  <c r="AX12" i="56"/>
  <c r="AT12" i="56"/>
  <c r="AS12" i="56"/>
  <c r="AR12" i="56"/>
  <c r="AQ12" i="56"/>
  <c r="AP12" i="56"/>
  <c r="AO12" i="56"/>
  <c r="AN12" i="56"/>
  <c r="AK12" i="56"/>
  <c r="AJ12" i="56"/>
  <c r="AH12" i="56"/>
  <c r="AF12" i="56"/>
  <c r="AC12" i="56"/>
  <c r="B12" i="56" s="1"/>
  <c r="BF11" i="56"/>
  <c r="BE11" i="56"/>
  <c r="BD11" i="56"/>
  <c r="BC11" i="56"/>
  <c r="BB11" i="56"/>
  <c r="AZ11" i="56"/>
  <c r="AY11" i="56"/>
  <c r="AX11" i="56"/>
  <c r="AU11" i="56"/>
  <c r="AT11" i="56"/>
  <c r="AS11" i="56"/>
  <c r="AR11" i="56"/>
  <c r="AQ11" i="56"/>
  <c r="AP11" i="56"/>
  <c r="AO11" i="56"/>
  <c r="AN11" i="56"/>
  <c r="AJ11" i="56"/>
  <c r="AI11" i="56"/>
  <c r="AF11" i="56"/>
  <c r="AC11" i="56"/>
  <c r="BF10" i="56"/>
  <c r="BE10" i="56"/>
  <c r="BD10" i="56"/>
  <c r="BC10" i="56"/>
  <c r="BB10" i="56"/>
  <c r="BA10" i="56"/>
  <c r="AZ10" i="56"/>
  <c r="AY10" i="56"/>
  <c r="AX10" i="56"/>
  <c r="AW10" i="56"/>
  <c r="AU10" i="56"/>
  <c r="AT10" i="56"/>
  <c r="AS10" i="56"/>
  <c r="AR10" i="56"/>
  <c r="AQ10" i="56"/>
  <c r="AP10" i="56"/>
  <c r="AO10" i="56"/>
  <c r="AN10" i="56"/>
  <c r="AK10" i="56"/>
  <c r="AJ10" i="56"/>
  <c r="AF10" i="56"/>
  <c r="AC10" i="56"/>
  <c r="B10" i="56" s="1"/>
  <c r="AA7" i="56"/>
  <c r="Z7" i="56"/>
  <c r="Y7" i="56"/>
  <c r="X7" i="56"/>
  <c r="W7" i="56"/>
  <c r="V7" i="56"/>
  <c r="BA11" i="56" s="1"/>
  <c r="U7" i="56"/>
  <c r="T7" i="56"/>
  <c r="S7" i="56"/>
  <c r="R7" i="56"/>
  <c r="AW11" i="56" s="1"/>
  <c r="Q7" i="56"/>
  <c r="AV11" i="56" s="1"/>
  <c r="P7" i="56"/>
  <c r="AU16" i="56" s="1"/>
  <c r="O7" i="56"/>
  <c r="AT17" i="56" s="1"/>
  <c r="N7" i="56"/>
  <c r="M7" i="56"/>
  <c r="L7" i="56"/>
  <c r="AQ13" i="56" s="1"/>
  <c r="K7" i="56"/>
  <c r="J7" i="56"/>
  <c r="AO17" i="56" s="1"/>
  <c r="I7" i="56"/>
  <c r="AN13" i="56" s="1"/>
  <c r="H7" i="56"/>
  <c r="AM13" i="56" s="1"/>
  <c r="G7" i="56"/>
  <c r="AL11" i="56" s="1"/>
  <c r="F7" i="56"/>
  <c r="AK11" i="56" s="1"/>
  <c r="E7" i="56"/>
  <c r="D7" i="56"/>
  <c r="AI10" i="56" s="1"/>
  <c r="C7" i="56"/>
  <c r="AH14" i="56" s="1"/>
  <c r="AB6" i="56"/>
  <c r="BF5" i="56"/>
  <c r="BE5" i="56"/>
  <c r="BD5" i="56"/>
  <c r="BC5" i="56"/>
  <c r="BB5" i="56"/>
  <c r="BA5" i="56"/>
  <c r="AZ5" i="56"/>
  <c r="AY5" i="56"/>
  <c r="AX5" i="56"/>
  <c r="AW5" i="56"/>
  <c r="AV5" i="56"/>
  <c r="AU5" i="56"/>
  <c r="AT5" i="56"/>
  <c r="AS5" i="56"/>
  <c r="AR5" i="56"/>
  <c r="AQ5" i="56"/>
  <c r="AP5" i="56"/>
  <c r="AO5" i="56"/>
  <c r="AN5" i="56"/>
  <c r="AM5" i="56"/>
  <c r="AL5" i="56"/>
  <c r="AK5" i="56"/>
  <c r="AJ5" i="56"/>
  <c r="AI5" i="56"/>
  <c r="AH5" i="56"/>
  <c r="AV5" i="55"/>
  <c r="BF24" i="55"/>
  <c r="BE24" i="55"/>
  <c r="BD24" i="55"/>
  <c r="BC24" i="55"/>
  <c r="BB24" i="55"/>
  <c r="BA24" i="55"/>
  <c r="AZ24" i="55"/>
  <c r="AY24" i="55"/>
  <c r="AX24" i="55"/>
  <c r="AW24" i="55"/>
  <c r="AV24" i="55"/>
  <c r="AU24" i="55"/>
  <c r="AT24" i="55"/>
  <c r="AS24" i="55"/>
  <c r="AR24" i="55"/>
  <c r="AQ24" i="55"/>
  <c r="AP24" i="55"/>
  <c r="AO24" i="55"/>
  <c r="AN24" i="55"/>
  <c r="AM24" i="55"/>
  <c r="AL24" i="55"/>
  <c r="AK24" i="55"/>
  <c r="AJ24" i="55"/>
  <c r="AI24" i="55"/>
  <c r="AH24" i="55"/>
  <c r="AF24" i="55"/>
  <c r="AC24" i="55"/>
  <c r="B24" i="55" s="1"/>
  <c r="BF23" i="55"/>
  <c r="BE23" i="55"/>
  <c r="BD23" i="55"/>
  <c r="BC23" i="55"/>
  <c r="BB23" i="55"/>
  <c r="BA23" i="55"/>
  <c r="AZ23" i="55"/>
  <c r="AY23" i="55"/>
  <c r="AX23" i="55"/>
  <c r="AW23" i="55"/>
  <c r="AV23" i="55"/>
  <c r="AU23" i="55"/>
  <c r="AT23" i="55"/>
  <c r="AS23" i="55"/>
  <c r="AR23" i="55"/>
  <c r="AQ23" i="55"/>
  <c r="AP23" i="55"/>
  <c r="AO23" i="55"/>
  <c r="AN23" i="55"/>
  <c r="AM23" i="55"/>
  <c r="AL23" i="55"/>
  <c r="AK23" i="55"/>
  <c r="AJ23" i="55"/>
  <c r="AI23" i="55"/>
  <c r="AH23" i="55"/>
  <c r="AF23" i="55"/>
  <c r="AC23" i="55"/>
  <c r="B23" i="55" s="1"/>
  <c r="BF22" i="55"/>
  <c r="BE22" i="55"/>
  <c r="BD22" i="55"/>
  <c r="BC22" i="55"/>
  <c r="BB22" i="55"/>
  <c r="BA22" i="55"/>
  <c r="AZ22" i="55"/>
  <c r="AY22" i="55"/>
  <c r="AX22" i="55"/>
  <c r="AW22" i="55"/>
  <c r="AV22" i="55"/>
  <c r="AU22" i="55"/>
  <c r="AT22" i="55"/>
  <c r="AS22" i="55"/>
  <c r="AR22" i="55"/>
  <c r="AQ22" i="55"/>
  <c r="AP22" i="55"/>
  <c r="AO22" i="55"/>
  <c r="AN22" i="55"/>
  <c r="AM22" i="55"/>
  <c r="AL22" i="55"/>
  <c r="AK22" i="55"/>
  <c r="AJ22" i="55"/>
  <c r="AI22" i="55"/>
  <c r="AH22" i="55"/>
  <c r="AF22" i="55"/>
  <c r="AC22" i="55"/>
  <c r="B22" i="55" s="1"/>
  <c r="BF21" i="55"/>
  <c r="BE21" i="55"/>
  <c r="BD21" i="55"/>
  <c r="BC21" i="55"/>
  <c r="BB21" i="55"/>
  <c r="BA21" i="55"/>
  <c r="AZ21" i="55"/>
  <c r="AY21" i="55"/>
  <c r="AX21" i="55"/>
  <c r="AW21" i="55"/>
  <c r="AV21" i="55"/>
  <c r="AU21" i="55"/>
  <c r="AT21" i="55"/>
  <c r="AS21" i="55"/>
  <c r="AR21" i="55"/>
  <c r="AQ21" i="55"/>
  <c r="AP21" i="55"/>
  <c r="AO21" i="55"/>
  <c r="AN21" i="55"/>
  <c r="AM21" i="55"/>
  <c r="AL21" i="55"/>
  <c r="AK21" i="55"/>
  <c r="AJ21" i="55"/>
  <c r="AI21" i="55"/>
  <c r="AH21" i="55"/>
  <c r="AF21" i="55"/>
  <c r="AC21" i="55"/>
  <c r="B21" i="55" s="1"/>
  <c r="BF20" i="55"/>
  <c r="BE20" i="55"/>
  <c r="BD20" i="55"/>
  <c r="BC20" i="55"/>
  <c r="BB20" i="55"/>
  <c r="BA20" i="55"/>
  <c r="AZ20" i="55"/>
  <c r="AY20" i="55"/>
  <c r="AX20" i="55"/>
  <c r="AW20" i="55"/>
  <c r="AV20" i="55"/>
  <c r="AU20" i="55"/>
  <c r="AT20" i="55"/>
  <c r="AS20" i="55"/>
  <c r="AR20" i="55"/>
  <c r="AQ20" i="55"/>
  <c r="AP20" i="55"/>
  <c r="AO20" i="55"/>
  <c r="AN20" i="55"/>
  <c r="AM20" i="55"/>
  <c r="AL20" i="55"/>
  <c r="AK20" i="55"/>
  <c r="AJ20" i="55"/>
  <c r="AI20" i="55"/>
  <c r="AH20" i="55"/>
  <c r="AF20" i="55"/>
  <c r="AC20" i="55"/>
  <c r="B20" i="55" s="1"/>
  <c r="BF19" i="55"/>
  <c r="BE19" i="55"/>
  <c r="BD19" i="55"/>
  <c r="BC19" i="55"/>
  <c r="BB19" i="55"/>
  <c r="BA19" i="55"/>
  <c r="AZ19" i="55"/>
  <c r="AY19" i="55"/>
  <c r="AX19" i="55"/>
  <c r="AW19" i="55"/>
  <c r="AV19" i="55"/>
  <c r="AU19" i="55"/>
  <c r="AT19" i="55"/>
  <c r="AS19" i="55"/>
  <c r="AR19" i="55"/>
  <c r="AQ19" i="55"/>
  <c r="AP19" i="55"/>
  <c r="AO19" i="55"/>
  <c r="AN19" i="55"/>
  <c r="AM19" i="55"/>
  <c r="AL19" i="55"/>
  <c r="AK19" i="55"/>
  <c r="AJ19" i="55"/>
  <c r="AI19" i="55"/>
  <c r="AH19" i="55"/>
  <c r="AF19" i="55"/>
  <c r="AC19" i="55"/>
  <c r="B19" i="55" s="1"/>
  <c r="BF18" i="55"/>
  <c r="BE18" i="55"/>
  <c r="BD18" i="55"/>
  <c r="BC18" i="55"/>
  <c r="BB18" i="55"/>
  <c r="BA18" i="55"/>
  <c r="AZ18" i="55"/>
  <c r="AY18" i="55"/>
  <c r="AX18" i="55"/>
  <c r="AW18" i="55"/>
  <c r="AV18" i="55"/>
  <c r="AU18" i="55"/>
  <c r="AT18" i="55"/>
  <c r="AS18" i="55"/>
  <c r="AR18" i="55"/>
  <c r="AQ18" i="55"/>
  <c r="AP18" i="55"/>
  <c r="AO18" i="55"/>
  <c r="AN18" i="55"/>
  <c r="AM18" i="55"/>
  <c r="AL18" i="55"/>
  <c r="AK18" i="55"/>
  <c r="AJ18" i="55"/>
  <c r="AI18" i="55"/>
  <c r="AH18" i="55"/>
  <c r="AF18" i="55"/>
  <c r="AC18" i="55"/>
  <c r="B18" i="55" s="1"/>
  <c r="BF17" i="55"/>
  <c r="BE17" i="55"/>
  <c r="BD17" i="55"/>
  <c r="BC17" i="55"/>
  <c r="BB17" i="55"/>
  <c r="BA17" i="55"/>
  <c r="AZ17" i="55"/>
  <c r="AY17" i="55"/>
  <c r="AX17" i="55"/>
  <c r="AW17" i="55"/>
  <c r="AV17" i="55"/>
  <c r="AU17" i="55"/>
  <c r="AT17" i="55"/>
  <c r="AS17" i="55"/>
  <c r="AR17" i="55"/>
  <c r="AQ17" i="55"/>
  <c r="AP17" i="55"/>
  <c r="AO17" i="55"/>
  <c r="AN17" i="55"/>
  <c r="AM17" i="55"/>
  <c r="AL17" i="55"/>
  <c r="AK17" i="55"/>
  <c r="AJ17" i="55"/>
  <c r="AH17" i="55"/>
  <c r="AF17" i="55"/>
  <c r="AC17" i="55"/>
  <c r="B17" i="55" s="1"/>
  <c r="BF16" i="55"/>
  <c r="BE16" i="55"/>
  <c r="BD16" i="55"/>
  <c r="BC16" i="55"/>
  <c r="BB16" i="55"/>
  <c r="BA16" i="55"/>
  <c r="AZ16" i="55"/>
  <c r="AY16" i="55"/>
  <c r="AX16" i="55"/>
  <c r="AW16" i="55"/>
  <c r="AV16" i="55"/>
  <c r="AU16" i="55"/>
  <c r="AT16" i="55"/>
  <c r="AS16" i="55"/>
  <c r="AR16" i="55"/>
  <c r="AQ16" i="55"/>
  <c r="AP16" i="55"/>
  <c r="AO16" i="55"/>
  <c r="AN16" i="55"/>
  <c r="AM16" i="55"/>
  <c r="AL16" i="55"/>
  <c r="AK16" i="55"/>
  <c r="AJ16" i="55"/>
  <c r="AI16" i="55"/>
  <c r="AH16" i="55"/>
  <c r="AF16" i="55"/>
  <c r="AC16" i="55"/>
  <c r="B16" i="55" s="1"/>
  <c r="BF15" i="55"/>
  <c r="BE15" i="55"/>
  <c r="BD15" i="55"/>
  <c r="BC15" i="55"/>
  <c r="BB15" i="55"/>
  <c r="BA15" i="55"/>
  <c r="AZ15" i="55"/>
  <c r="AY15" i="55"/>
  <c r="AX15" i="55"/>
  <c r="AW15" i="55"/>
  <c r="AV15" i="55"/>
  <c r="AU15" i="55"/>
  <c r="AT15" i="55"/>
  <c r="AS15" i="55"/>
  <c r="AR15" i="55"/>
  <c r="AQ15" i="55"/>
  <c r="AP15" i="55"/>
  <c r="AO15" i="55"/>
  <c r="AN15" i="55"/>
  <c r="AM15" i="55"/>
  <c r="AL15" i="55"/>
  <c r="AK15" i="55"/>
  <c r="AJ15" i="55"/>
  <c r="AI15" i="55"/>
  <c r="AH15" i="55"/>
  <c r="AF15" i="55"/>
  <c r="AC15" i="55"/>
  <c r="B15" i="55" s="1"/>
  <c r="BF14" i="55"/>
  <c r="BE14" i="55"/>
  <c r="BD14" i="55"/>
  <c r="BC14" i="55"/>
  <c r="BB14" i="55"/>
  <c r="BA14" i="55"/>
  <c r="AZ14" i="55"/>
  <c r="AY14" i="55"/>
  <c r="AX14" i="55"/>
  <c r="AW14" i="55"/>
  <c r="AV14" i="55"/>
  <c r="AU14" i="55"/>
  <c r="AT14" i="55"/>
  <c r="AS14" i="55"/>
  <c r="AR14" i="55"/>
  <c r="AQ14" i="55"/>
  <c r="AP14" i="55"/>
  <c r="AO14" i="55"/>
  <c r="AM14" i="55"/>
  <c r="AK14" i="55"/>
  <c r="AJ14" i="55"/>
  <c r="AI14" i="55"/>
  <c r="AF14" i="55"/>
  <c r="AC14" i="55"/>
  <c r="BF13" i="55"/>
  <c r="BE13" i="55"/>
  <c r="BD13" i="55"/>
  <c r="BC13" i="55"/>
  <c r="BB13" i="55"/>
  <c r="BA13" i="55"/>
  <c r="AZ13" i="55"/>
  <c r="AY13" i="55"/>
  <c r="AX13" i="55"/>
  <c r="AW13" i="55"/>
  <c r="AV13" i="55"/>
  <c r="AU13" i="55"/>
  <c r="AT13" i="55"/>
  <c r="AS13" i="55"/>
  <c r="AR13" i="55"/>
  <c r="AQ13" i="55"/>
  <c r="AP13" i="55"/>
  <c r="AO13" i="55"/>
  <c r="AL13" i="55"/>
  <c r="AK13" i="55"/>
  <c r="AJ13" i="55"/>
  <c r="AI13" i="55"/>
  <c r="AF13" i="55"/>
  <c r="AC13" i="55"/>
  <c r="BF12" i="55"/>
  <c r="BE12" i="55"/>
  <c r="BD12" i="55"/>
  <c r="BC12" i="55"/>
  <c r="BB12" i="55"/>
  <c r="BA12" i="55"/>
  <c r="AZ12" i="55"/>
  <c r="AY12" i="55"/>
  <c r="AX12" i="55"/>
  <c r="AW12" i="55"/>
  <c r="AV12" i="55"/>
  <c r="AU12" i="55"/>
  <c r="AT12" i="55"/>
  <c r="AS12" i="55"/>
  <c r="AR12" i="55"/>
  <c r="AQ12" i="55"/>
  <c r="AP12" i="55"/>
  <c r="AO12" i="55"/>
  <c r="AN12" i="55"/>
  <c r="AJ12" i="55"/>
  <c r="AI12" i="55"/>
  <c r="AH12" i="55"/>
  <c r="AF12" i="55"/>
  <c r="AC12" i="55"/>
  <c r="BF11" i="55"/>
  <c r="BE11" i="55"/>
  <c r="BD11" i="55"/>
  <c r="BC11" i="55"/>
  <c r="BB11" i="55"/>
  <c r="BA11" i="55"/>
  <c r="AZ11" i="55"/>
  <c r="AY11" i="55"/>
  <c r="AX11" i="55"/>
  <c r="AW11" i="55"/>
  <c r="AV11" i="55"/>
  <c r="AU11" i="55"/>
  <c r="AT11" i="55"/>
  <c r="AS11" i="55"/>
  <c r="AR11" i="55"/>
  <c r="AQ11" i="55"/>
  <c r="AP11" i="55"/>
  <c r="AO11" i="55"/>
  <c r="AN11" i="55"/>
  <c r="AJ11" i="55"/>
  <c r="AI11" i="55"/>
  <c r="AH11" i="55"/>
  <c r="AF11" i="55"/>
  <c r="AC11" i="55"/>
  <c r="BF10" i="55"/>
  <c r="BE10" i="55"/>
  <c r="BD10" i="55"/>
  <c r="BC10" i="55"/>
  <c r="BB10" i="55"/>
  <c r="BA10" i="55"/>
  <c r="AZ10" i="55"/>
  <c r="AY10" i="55"/>
  <c r="AX10" i="55"/>
  <c r="AW10" i="55"/>
  <c r="AV10" i="55"/>
  <c r="AU10" i="55"/>
  <c r="AT10" i="55"/>
  <c r="AS10" i="55"/>
  <c r="AR10" i="55"/>
  <c r="AQ10" i="55"/>
  <c r="AP10" i="55"/>
  <c r="AO10" i="55"/>
  <c r="AN10" i="55"/>
  <c r="AJ10" i="55"/>
  <c r="AH10" i="55"/>
  <c r="AF10" i="55"/>
  <c r="AC10" i="55"/>
  <c r="B10" i="55" s="1"/>
  <c r="AA7" i="55"/>
  <c r="Z7" i="55"/>
  <c r="Y7" i="55"/>
  <c r="X7" i="55"/>
  <c r="W7" i="55"/>
  <c r="V7" i="55"/>
  <c r="U7" i="55"/>
  <c r="T7" i="55"/>
  <c r="S7" i="55"/>
  <c r="R7" i="55"/>
  <c r="Q7" i="55"/>
  <c r="P7" i="55"/>
  <c r="O7" i="55"/>
  <c r="N7" i="55"/>
  <c r="M7" i="55"/>
  <c r="L7" i="55"/>
  <c r="K7" i="55"/>
  <c r="J7" i="55"/>
  <c r="I7" i="55"/>
  <c r="AN13" i="55" s="1"/>
  <c r="H7" i="55"/>
  <c r="AM13" i="55" s="1"/>
  <c r="G7" i="55"/>
  <c r="AL11" i="55" s="1"/>
  <c r="F7" i="55"/>
  <c r="AK11" i="55" s="1"/>
  <c r="E7" i="55"/>
  <c r="D7" i="55"/>
  <c r="AI10" i="55" s="1"/>
  <c r="C7" i="55"/>
  <c r="AH14" i="55" s="1"/>
  <c r="AB6" i="55"/>
  <c r="BF5" i="55"/>
  <c r="BE5" i="55"/>
  <c r="BD5" i="55"/>
  <c r="BC5" i="55"/>
  <c r="BB5" i="55"/>
  <c r="BA5" i="55"/>
  <c r="AZ5" i="55"/>
  <c r="AY5" i="55"/>
  <c r="AX5" i="55"/>
  <c r="AW5" i="55"/>
  <c r="AU5" i="55"/>
  <c r="AT5" i="55"/>
  <c r="AS5" i="55"/>
  <c r="AR5" i="55"/>
  <c r="AQ5" i="55"/>
  <c r="AP5" i="55"/>
  <c r="AO5" i="55"/>
  <c r="AN5" i="55"/>
  <c r="AM5" i="55"/>
  <c r="AL5" i="55"/>
  <c r="AK5" i="55"/>
  <c r="AJ5" i="55"/>
  <c r="AI5" i="55"/>
  <c r="AH5" i="55"/>
  <c r="AL10" i="55" l="1"/>
  <c r="AF25" i="55"/>
  <c r="AL14" i="55"/>
  <c r="AE5" i="55"/>
  <c r="AE6" i="55" s="1"/>
  <c r="AC6" i="55" s="1"/>
  <c r="AL12" i="55"/>
  <c r="AH13" i="55"/>
  <c r="AI12" i="56"/>
  <c r="AH11" i="56"/>
  <c r="AK13" i="56"/>
  <c r="AW12" i="56"/>
  <c r="AH10" i="56"/>
  <c r="AV10" i="56"/>
  <c r="AI17" i="55"/>
  <c r="AV12" i="56"/>
  <c r="AU12" i="56"/>
  <c r="AI15" i="56"/>
  <c r="AT23" i="56"/>
  <c r="AC25" i="55"/>
  <c r="AC25" i="56"/>
  <c r="AE5" i="56"/>
  <c r="AE6" i="56" s="1"/>
  <c r="AC6" i="56" s="1"/>
  <c r="AF25" i="56"/>
  <c r="AB7" i="56"/>
  <c r="AL10" i="56"/>
  <c r="AL12" i="56"/>
  <c r="AH13" i="56"/>
  <c r="AL14" i="56"/>
  <c r="B11" i="56"/>
  <c r="B13" i="56" s="1"/>
  <c r="B14" i="56" s="1"/>
  <c r="AM10" i="56"/>
  <c r="AM12" i="56"/>
  <c r="AN14" i="56"/>
  <c r="AM11" i="56"/>
  <c r="AK10" i="55"/>
  <c r="AK12" i="55"/>
  <c r="AB7" i="55"/>
  <c r="B11" i="55"/>
  <c r="B12" i="55" s="1"/>
  <c r="B13" i="55" s="1"/>
  <c r="B14" i="55" s="1"/>
  <c r="AM10" i="55"/>
  <c r="AM12" i="55"/>
  <c r="AN14" i="55"/>
  <c r="AM11" i="55"/>
  <c r="B5" i="43" l="1"/>
  <c r="N84" i="43" l="1"/>
  <c r="CC417" i="45" l="1"/>
  <c r="CB417" i="45"/>
  <c r="CA417" i="45"/>
  <c r="BZ417" i="45"/>
  <c r="BY417" i="45"/>
  <c r="BX417" i="45"/>
  <c r="BW417" i="45"/>
  <c r="BV417" i="45"/>
  <c r="BU417" i="45"/>
  <c r="BT417" i="45"/>
  <c r="BS417" i="45"/>
  <c r="BR417" i="45"/>
  <c r="BQ417" i="45"/>
  <c r="BP417" i="45"/>
  <c r="BO417" i="45"/>
  <c r="BN417" i="45"/>
  <c r="BM417" i="45"/>
  <c r="BL417" i="45"/>
  <c r="BK417" i="45"/>
  <c r="BJ417" i="45"/>
  <c r="BI417" i="45"/>
  <c r="BH417" i="45"/>
  <c r="BG417" i="45"/>
  <c r="BF417" i="45"/>
  <c r="BE417" i="45"/>
  <c r="BD417" i="45"/>
  <c r="BC417" i="45"/>
  <c r="BB417" i="45"/>
  <c r="BA417" i="45"/>
  <c r="AZ417" i="45"/>
  <c r="AY417" i="45"/>
  <c r="AX417" i="45"/>
  <c r="AW417" i="45"/>
  <c r="AV417" i="45"/>
  <c r="AU417" i="45"/>
  <c r="AT417" i="45"/>
  <c r="CC416" i="45"/>
  <c r="CB416" i="45"/>
  <c r="CA416" i="45"/>
  <c r="BZ416" i="45"/>
  <c r="BY416" i="45"/>
  <c r="BX416" i="45"/>
  <c r="BW416" i="45"/>
  <c r="BV416" i="45"/>
  <c r="BU416" i="45"/>
  <c r="BT416" i="45"/>
  <c r="BS416" i="45"/>
  <c r="BR416" i="45"/>
  <c r="BQ416" i="45"/>
  <c r="BP416" i="45"/>
  <c r="BO416" i="45"/>
  <c r="BN416" i="45"/>
  <c r="BM416" i="45"/>
  <c r="BL416" i="45"/>
  <c r="BK416" i="45"/>
  <c r="BJ416" i="45"/>
  <c r="BI416" i="45"/>
  <c r="BH416" i="45"/>
  <c r="BG416" i="45"/>
  <c r="BF416" i="45"/>
  <c r="BE416" i="45"/>
  <c r="BD416" i="45"/>
  <c r="BC416" i="45"/>
  <c r="BB416" i="45"/>
  <c r="BA416" i="45"/>
  <c r="AZ416" i="45"/>
  <c r="AY416" i="45"/>
  <c r="AX416" i="45"/>
  <c r="AW416" i="45"/>
  <c r="AV416" i="45"/>
  <c r="AU416" i="45"/>
  <c r="AT416" i="45"/>
  <c r="CC415" i="45"/>
  <c r="CB415" i="45"/>
  <c r="CA415" i="45"/>
  <c r="BZ415" i="45"/>
  <c r="BY415" i="45"/>
  <c r="BX415" i="45"/>
  <c r="BW415" i="45"/>
  <c r="BV415" i="45"/>
  <c r="BU415" i="45"/>
  <c r="BT415" i="45"/>
  <c r="BS415" i="45"/>
  <c r="BR415" i="45"/>
  <c r="BQ415" i="45"/>
  <c r="BP415" i="45"/>
  <c r="BO415" i="45"/>
  <c r="BN415" i="45"/>
  <c r="BM415" i="45"/>
  <c r="BL415" i="45"/>
  <c r="BK415" i="45"/>
  <c r="BJ415" i="45"/>
  <c r="BI415" i="45"/>
  <c r="BH415" i="45"/>
  <c r="BG415" i="45"/>
  <c r="BF415" i="45"/>
  <c r="BE415" i="45"/>
  <c r="BD415" i="45"/>
  <c r="BC415" i="45"/>
  <c r="BB415" i="45"/>
  <c r="BA415" i="45"/>
  <c r="AZ415" i="45"/>
  <c r="AY415" i="45"/>
  <c r="AX415" i="45"/>
  <c r="AW415" i="45"/>
  <c r="AV415" i="45"/>
  <c r="AU415" i="45"/>
  <c r="AT415" i="45"/>
  <c r="CC414" i="45"/>
  <c r="CB414" i="45"/>
  <c r="CA414" i="45"/>
  <c r="BZ414" i="45"/>
  <c r="BY414" i="45"/>
  <c r="BX414" i="45"/>
  <c r="BW414" i="45"/>
  <c r="BV414" i="45"/>
  <c r="BU414" i="45"/>
  <c r="BT414" i="45"/>
  <c r="BS414" i="45"/>
  <c r="BR414" i="45"/>
  <c r="BQ414" i="45"/>
  <c r="BP414" i="45"/>
  <c r="BO414" i="45"/>
  <c r="BN414" i="45"/>
  <c r="BM414" i="45"/>
  <c r="BL414" i="45"/>
  <c r="BK414" i="45"/>
  <c r="BJ414" i="45"/>
  <c r="BI414" i="45"/>
  <c r="BH414" i="45"/>
  <c r="BG414" i="45"/>
  <c r="BF414" i="45"/>
  <c r="BE414" i="45"/>
  <c r="BD414" i="45"/>
  <c r="BC414" i="45"/>
  <c r="BB414" i="45"/>
  <c r="BA414" i="45"/>
  <c r="AZ414" i="45"/>
  <c r="AY414" i="45"/>
  <c r="AX414" i="45"/>
  <c r="AW414" i="45"/>
  <c r="AV414" i="45"/>
  <c r="AU414" i="45"/>
  <c r="AT414" i="45"/>
  <c r="CC413" i="45"/>
  <c r="CB413" i="45"/>
  <c r="CA413" i="45"/>
  <c r="BZ413" i="45"/>
  <c r="BY413" i="45"/>
  <c r="BX413" i="45"/>
  <c r="BW413" i="45"/>
  <c r="BV413" i="45"/>
  <c r="BU413" i="45"/>
  <c r="BT413" i="45"/>
  <c r="BS413" i="45"/>
  <c r="BR413" i="45"/>
  <c r="BQ413" i="45"/>
  <c r="BP413" i="45"/>
  <c r="BO413" i="45"/>
  <c r="BN413" i="45"/>
  <c r="BM413" i="45"/>
  <c r="BL413" i="45"/>
  <c r="BK413" i="45"/>
  <c r="BJ413" i="45"/>
  <c r="BI413" i="45"/>
  <c r="BH413" i="45"/>
  <c r="BG413" i="45"/>
  <c r="BF413" i="45"/>
  <c r="BE413" i="45"/>
  <c r="BD413" i="45"/>
  <c r="BC413" i="45"/>
  <c r="BB413" i="45"/>
  <c r="BA413" i="45"/>
  <c r="AZ413" i="45"/>
  <c r="AY413" i="45"/>
  <c r="AX413" i="45"/>
  <c r="AW413" i="45"/>
  <c r="AV413" i="45"/>
  <c r="AU413" i="45"/>
  <c r="AT413" i="45"/>
  <c r="CC412" i="45"/>
  <c r="CB412" i="45"/>
  <c r="CA412" i="45"/>
  <c r="BZ412" i="45"/>
  <c r="BY412" i="45"/>
  <c r="BX412" i="45"/>
  <c r="BW412" i="45"/>
  <c r="BV412" i="45"/>
  <c r="BU412" i="45"/>
  <c r="BT412" i="45"/>
  <c r="BS412" i="45"/>
  <c r="BR412" i="45"/>
  <c r="BQ412" i="45"/>
  <c r="BP412" i="45"/>
  <c r="BO412" i="45"/>
  <c r="BN412" i="45"/>
  <c r="BM412" i="45"/>
  <c r="BL412" i="45"/>
  <c r="BK412" i="45"/>
  <c r="BJ412" i="45"/>
  <c r="BI412" i="45"/>
  <c r="BH412" i="45"/>
  <c r="BG412" i="45"/>
  <c r="BF412" i="45"/>
  <c r="BE412" i="45"/>
  <c r="BD412" i="45"/>
  <c r="BC412" i="45"/>
  <c r="BB412" i="45"/>
  <c r="BA412" i="45"/>
  <c r="AZ412" i="45"/>
  <c r="AY412" i="45"/>
  <c r="AX412" i="45"/>
  <c r="AW412" i="45"/>
  <c r="AV412" i="45"/>
  <c r="AU412" i="45"/>
  <c r="AT412" i="45"/>
  <c r="CC411" i="45"/>
  <c r="CB411" i="45"/>
  <c r="CA411" i="45"/>
  <c r="BZ411" i="45"/>
  <c r="BY411" i="45"/>
  <c r="BX411" i="45"/>
  <c r="BW411" i="45"/>
  <c r="BV411" i="45"/>
  <c r="BU411" i="45"/>
  <c r="BT411" i="45"/>
  <c r="BS411" i="45"/>
  <c r="BR411" i="45"/>
  <c r="BQ411" i="45"/>
  <c r="BP411" i="45"/>
  <c r="BO411" i="45"/>
  <c r="BN411" i="45"/>
  <c r="BM411" i="45"/>
  <c r="BL411" i="45"/>
  <c r="BK411" i="45"/>
  <c r="BJ411" i="45"/>
  <c r="BI411" i="45"/>
  <c r="BH411" i="45"/>
  <c r="BG411" i="45"/>
  <c r="BF411" i="45"/>
  <c r="BE411" i="45"/>
  <c r="BD411" i="45"/>
  <c r="BC411" i="45"/>
  <c r="BB411" i="45"/>
  <c r="BA411" i="45"/>
  <c r="AZ411" i="45"/>
  <c r="AY411" i="45"/>
  <c r="AX411" i="45"/>
  <c r="AW411" i="45"/>
  <c r="AV411" i="45"/>
  <c r="AU411" i="45"/>
  <c r="AT411" i="45"/>
  <c r="CC410" i="45"/>
  <c r="CB410" i="45"/>
  <c r="CA410" i="45"/>
  <c r="BZ410" i="45"/>
  <c r="BY410" i="45"/>
  <c r="BX410" i="45"/>
  <c r="BW410" i="45"/>
  <c r="BV410" i="45"/>
  <c r="BU410" i="45"/>
  <c r="BT410" i="45"/>
  <c r="BS410" i="45"/>
  <c r="BR410" i="45"/>
  <c r="BQ410" i="45"/>
  <c r="BP410" i="45"/>
  <c r="BO410" i="45"/>
  <c r="BN410" i="45"/>
  <c r="BM410" i="45"/>
  <c r="BL410" i="45"/>
  <c r="BK410" i="45"/>
  <c r="BJ410" i="45"/>
  <c r="BI410" i="45"/>
  <c r="BH410" i="45"/>
  <c r="BG410" i="45"/>
  <c r="BF410" i="45"/>
  <c r="BE410" i="45"/>
  <c r="BD410" i="45"/>
  <c r="BC410" i="45"/>
  <c r="BB410" i="45"/>
  <c r="BA410" i="45"/>
  <c r="AZ410" i="45"/>
  <c r="AY410" i="45"/>
  <c r="AX410" i="45"/>
  <c r="AW410" i="45"/>
  <c r="AV410" i="45"/>
  <c r="AU410" i="45"/>
  <c r="AT410" i="45"/>
  <c r="CC401" i="45"/>
  <c r="CB401" i="45"/>
  <c r="CA401" i="45"/>
  <c r="BZ401" i="45"/>
  <c r="BY401" i="45"/>
  <c r="BX401" i="45"/>
  <c r="BW401" i="45"/>
  <c r="BV401" i="45"/>
  <c r="BU401" i="45"/>
  <c r="BT401" i="45"/>
  <c r="BS401" i="45"/>
  <c r="BR401" i="45"/>
  <c r="BQ401" i="45"/>
  <c r="BP401" i="45"/>
  <c r="BO401" i="45"/>
  <c r="BN401" i="45"/>
  <c r="BM401" i="45"/>
  <c r="BL401" i="45"/>
  <c r="BK401" i="45"/>
  <c r="BJ401" i="45"/>
  <c r="BI401" i="45"/>
  <c r="BH401" i="45"/>
  <c r="BG401" i="45"/>
  <c r="BF401" i="45"/>
  <c r="BE401" i="45"/>
  <c r="BD401" i="45"/>
  <c r="BC401" i="45"/>
  <c r="BB401" i="45"/>
  <c r="BA401" i="45"/>
  <c r="AZ401" i="45"/>
  <c r="AY401" i="45"/>
  <c r="AX401" i="45"/>
  <c r="AW401" i="45"/>
  <c r="AV401" i="45"/>
  <c r="AU401" i="45"/>
  <c r="AT401" i="45"/>
  <c r="CC400" i="45"/>
  <c r="CB400" i="45"/>
  <c r="CA400" i="45"/>
  <c r="BZ400" i="45"/>
  <c r="BY400" i="45"/>
  <c r="BX400" i="45"/>
  <c r="BW400" i="45"/>
  <c r="BV400" i="45"/>
  <c r="BU400" i="45"/>
  <c r="BT400" i="45"/>
  <c r="BS400" i="45"/>
  <c r="BR400" i="45"/>
  <c r="BQ400" i="45"/>
  <c r="BP400" i="45"/>
  <c r="BO400" i="45"/>
  <c r="BN400" i="45"/>
  <c r="BM400" i="45"/>
  <c r="BL400" i="45"/>
  <c r="BK400" i="45"/>
  <c r="BJ400" i="45"/>
  <c r="BI400" i="45"/>
  <c r="BH400" i="45"/>
  <c r="BG400" i="45"/>
  <c r="BF400" i="45"/>
  <c r="BE400" i="45"/>
  <c r="BD400" i="45"/>
  <c r="BC400" i="45"/>
  <c r="BB400" i="45"/>
  <c r="BA400" i="45"/>
  <c r="AZ400" i="45"/>
  <c r="AY400" i="45"/>
  <c r="AX400" i="45"/>
  <c r="AW400" i="45"/>
  <c r="AV400" i="45"/>
  <c r="AU400" i="45"/>
  <c r="AT400" i="45"/>
  <c r="CC399" i="45"/>
  <c r="CB399" i="45"/>
  <c r="CA399" i="45"/>
  <c r="BZ399" i="45"/>
  <c r="BY399" i="45"/>
  <c r="BX399" i="45"/>
  <c r="BW399" i="45"/>
  <c r="BV399" i="45"/>
  <c r="BU399" i="45"/>
  <c r="BT399" i="45"/>
  <c r="BS399" i="45"/>
  <c r="BR399" i="45"/>
  <c r="BQ399" i="45"/>
  <c r="BP399" i="45"/>
  <c r="BO399" i="45"/>
  <c r="BN399" i="45"/>
  <c r="BM399" i="45"/>
  <c r="BL399" i="45"/>
  <c r="BK399" i="45"/>
  <c r="BJ399" i="45"/>
  <c r="BI399" i="45"/>
  <c r="BH399" i="45"/>
  <c r="BG399" i="45"/>
  <c r="BF399" i="45"/>
  <c r="BE399" i="45"/>
  <c r="BD399" i="45"/>
  <c r="BC399" i="45"/>
  <c r="BB399" i="45"/>
  <c r="BA399" i="45"/>
  <c r="AZ399" i="45"/>
  <c r="AY399" i="45"/>
  <c r="AX399" i="45"/>
  <c r="AW399" i="45"/>
  <c r="AV399" i="45"/>
  <c r="AU399" i="45"/>
  <c r="AT399" i="45"/>
  <c r="CC398" i="45"/>
  <c r="CB398" i="45"/>
  <c r="CA398" i="45"/>
  <c r="BZ398" i="45"/>
  <c r="BY398" i="45"/>
  <c r="BX398" i="45"/>
  <c r="BW398" i="45"/>
  <c r="BV398" i="45"/>
  <c r="BU398" i="45"/>
  <c r="BT398" i="45"/>
  <c r="BS398" i="45"/>
  <c r="BR398" i="45"/>
  <c r="BQ398" i="45"/>
  <c r="BP398" i="45"/>
  <c r="BO398" i="45"/>
  <c r="BN398" i="45"/>
  <c r="BM398" i="45"/>
  <c r="BL398" i="45"/>
  <c r="BK398" i="45"/>
  <c r="BJ398" i="45"/>
  <c r="BI398" i="45"/>
  <c r="BH398" i="45"/>
  <c r="BG398" i="45"/>
  <c r="BF398" i="45"/>
  <c r="BE398" i="45"/>
  <c r="BD398" i="45"/>
  <c r="BC398" i="45"/>
  <c r="BB398" i="45"/>
  <c r="BA398" i="45"/>
  <c r="AZ398" i="45"/>
  <c r="AY398" i="45"/>
  <c r="AX398" i="45"/>
  <c r="AW398" i="45"/>
  <c r="AV398" i="45"/>
  <c r="AU398" i="45"/>
  <c r="AT398" i="45"/>
  <c r="CC397" i="45"/>
  <c r="CB397" i="45"/>
  <c r="CA397" i="45"/>
  <c r="BZ397" i="45"/>
  <c r="BY397" i="45"/>
  <c r="BX397" i="45"/>
  <c r="BW397" i="45"/>
  <c r="BV397" i="45"/>
  <c r="BU397" i="45"/>
  <c r="BT397" i="45"/>
  <c r="BS397" i="45"/>
  <c r="BR397" i="45"/>
  <c r="BQ397" i="45"/>
  <c r="BP397" i="45"/>
  <c r="BO397" i="45"/>
  <c r="BN397" i="45"/>
  <c r="BM397" i="45"/>
  <c r="BL397" i="45"/>
  <c r="BK397" i="45"/>
  <c r="BJ397" i="45"/>
  <c r="BI397" i="45"/>
  <c r="BH397" i="45"/>
  <c r="BG397" i="45"/>
  <c r="BF397" i="45"/>
  <c r="BE397" i="45"/>
  <c r="BD397" i="45"/>
  <c r="BC397" i="45"/>
  <c r="BB397" i="45"/>
  <c r="BA397" i="45"/>
  <c r="AZ397" i="45"/>
  <c r="AY397" i="45"/>
  <c r="AX397" i="45"/>
  <c r="AW397" i="45"/>
  <c r="AV397" i="45"/>
  <c r="AU397" i="45"/>
  <c r="AT397" i="45"/>
  <c r="CC396" i="45"/>
  <c r="CB396" i="45"/>
  <c r="CA396" i="45"/>
  <c r="BZ396" i="45"/>
  <c r="BY396" i="45"/>
  <c r="BX396" i="45"/>
  <c r="BW396" i="45"/>
  <c r="BV396" i="45"/>
  <c r="BU396" i="45"/>
  <c r="BT396" i="45"/>
  <c r="BS396" i="45"/>
  <c r="BR396" i="45"/>
  <c r="BQ396" i="45"/>
  <c r="BP396" i="45"/>
  <c r="BO396" i="45"/>
  <c r="BN396" i="45"/>
  <c r="BM396" i="45"/>
  <c r="BL396" i="45"/>
  <c r="BK396" i="45"/>
  <c r="BJ396" i="45"/>
  <c r="BI396" i="45"/>
  <c r="BH396" i="45"/>
  <c r="BG396" i="45"/>
  <c r="BF396" i="45"/>
  <c r="BE396" i="45"/>
  <c r="BD396" i="45"/>
  <c r="BC396" i="45"/>
  <c r="BB396" i="45"/>
  <c r="BA396" i="45"/>
  <c r="AZ396" i="45"/>
  <c r="AY396" i="45"/>
  <c r="AX396" i="45"/>
  <c r="AW396" i="45"/>
  <c r="AV396" i="45"/>
  <c r="AU396" i="45"/>
  <c r="AT396" i="45"/>
  <c r="CC395" i="45"/>
  <c r="CB395" i="45"/>
  <c r="CA395" i="45"/>
  <c r="BZ395" i="45"/>
  <c r="BY395" i="45"/>
  <c r="BX395" i="45"/>
  <c r="BW395" i="45"/>
  <c r="BV395" i="45"/>
  <c r="BU395" i="45"/>
  <c r="BT395" i="45"/>
  <c r="BS395" i="45"/>
  <c r="BR395" i="45"/>
  <c r="BQ395" i="45"/>
  <c r="BP395" i="45"/>
  <c r="BO395" i="45"/>
  <c r="BN395" i="45"/>
  <c r="BM395" i="45"/>
  <c r="BL395" i="45"/>
  <c r="BK395" i="45"/>
  <c r="BJ395" i="45"/>
  <c r="BI395" i="45"/>
  <c r="BH395" i="45"/>
  <c r="BG395" i="45"/>
  <c r="BF395" i="45"/>
  <c r="BE395" i="45"/>
  <c r="BD395" i="45"/>
  <c r="BC395" i="45"/>
  <c r="BB395" i="45"/>
  <c r="BA395" i="45"/>
  <c r="AZ395" i="45"/>
  <c r="AY395" i="45"/>
  <c r="AX395" i="45"/>
  <c r="AW395" i="45"/>
  <c r="AV395" i="45"/>
  <c r="AU395" i="45"/>
  <c r="AT395" i="45"/>
  <c r="CC394" i="45"/>
  <c r="CB394" i="45"/>
  <c r="CA394" i="45"/>
  <c r="BZ394" i="45"/>
  <c r="BY394" i="45"/>
  <c r="BX394" i="45"/>
  <c r="BW394" i="45"/>
  <c r="BV394" i="45"/>
  <c r="BU394" i="45"/>
  <c r="BT394" i="45"/>
  <c r="BS394" i="45"/>
  <c r="BR394" i="45"/>
  <c r="BQ394" i="45"/>
  <c r="BP394" i="45"/>
  <c r="BO394" i="45"/>
  <c r="BN394" i="45"/>
  <c r="BM394" i="45"/>
  <c r="BL394" i="45"/>
  <c r="BK394" i="45"/>
  <c r="BJ394" i="45"/>
  <c r="BI394" i="45"/>
  <c r="BH394" i="45"/>
  <c r="BG394" i="45"/>
  <c r="BF394" i="45"/>
  <c r="BE394" i="45"/>
  <c r="BD394" i="45"/>
  <c r="BC394" i="45"/>
  <c r="BB394" i="45"/>
  <c r="BA394" i="45"/>
  <c r="AZ394" i="45"/>
  <c r="AY394" i="45"/>
  <c r="AX394" i="45"/>
  <c r="AW394" i="45"/>
  <c r="AV394" i="45"/>
  <c r="AU394" i="45"/>
  <c r="AT394" i="45"/>
  <c r="CC385" i="45"/>
  <c r="CB385" i="45"/>
  <c r="CA385" i="45"/>
  <c r="BZ385" i="45"/>
  <c r="BY385" i="45"/>
  <c r="BX385" i="45"/>
  <c r="BW385" i="45"/>
  <c r="BV385" i="45"/>
  <c r="BU385" i="45"/>
  <c r="BT385" i="45"/>
  <c r="BS385" i="45"/>
  <c r="BR385" i="45"/>
  <c r="BQ385" i="45"/>
  <c r="BP385" i="45"/>
  <c r="BO385" i="45"/>
  <c r="BN385" i="45"/>
  <c r="BM385" i="45"/>
  <c r="BL385" i="45"/>
  <c r="BK385" i="45"/>
  <c r="BJ385" i="45"/>
  <c r="BI385" i="45"/>
  <c r="BH385" i="45"/>
  <c r="BG385" i="45"/>
  <c r="BF385" i="45"/>
  <c r="BE385" i="45"/>
  <c r="BD385" i="45"/>
  <c r="BC385" i="45"/>
  <c r="BB385" i="45"/>
  <c r="BA385" i="45"/>
  <c r="AZ385" i="45"/>
  <c r="AY385" i="45"/>
  <c r="AX385" i="45"/>
  <c r="AW385" i="45"/>
  <c r="AV385" i="45"/>
  <c r="AU385" i="45"/>
  <c r="AT385" i="45"/>
  <c r="CC384" i="45"/>
  <c r="CB384" i="45"/>
  <c r="CA384" i="45"/>
  <c r="BZ384" i="45"/>
  <c r="BY384" i="45"/>
  <c r="BX384" i="45"/>
  <c r="BW384" i="45"/>
  <c r="BV384" i="45"/>
  <c r="BU384" i="45"/>
  <c r="BT384" i="45"/>
  <c r="BS384" i="45"/>
  <c r="BR384" i="45"/>
  <c r="BQ384" i="45"/>
  <c r="BP384" i="45"/>
  <c r="BO384" i="45"/>
  <c r="BN384" i="45"/>
  <c r="BM384" i="45"/>
  <c r="BL384" i="45"/>
  <c r="BK384" i="45"/>
  <c r="BJ384" i="45"/>
  <c r="BI384" i="45"/>
  <c r="BH384" i="45"/>
  <c r="BG384" i="45"/>
  <c r="BF384" i="45"/>
  <c r="BE384" i="45"/>
  <c r="BD384" i="45"/>
  <c r="BC384" i="45"/>
  <c r="BB384" i="45"/>
  <c r="BA384" i="45"/>
  <c r="AZ384" i="45"/>
  <c r="AY384" i="45"/>
  <c r="AX384" i="45"/>
  <c r="AW384" i="45"/>
  <c r="AV384" i="45"/>
  <c r="AU384" i="45"/>
  <c r="AT384" i="45"/>
  <c r="CC383" i="45"/>
  <c r="CB383" i="45"/>
  <c r="CA383" i="45"/>
  <c r="BZ383" i="45"/>
  <c r="BY383" i="45"/>
  <c r="BX383" i="45"/>
  <c r="BW383" i="45"/>
  <c r="BV383" i="45"/>
  <c r="BU383" i="45"/>
  <c r="BT383" i="45"/>
  <c r="BS383" i="45"/>
  <c r="BR383" i="45"/>
  <c r="BQ383" i="45"/>
  <c r="BP383" i="45"/>
  <c r="BO383" i="45"/>
  <c r="BN383" i="45"/>
  <c r="BM383" i="45"/>
  <c r="BL383" i="45"/>
  <c r="BK383" i="45"/>
  <c r="BJ383" i="45"/>
  <c r="BI383" i="45"/>
  <c r="BH383" i="45"/>
  <c r="BG383" i="45"/>
  <c r="BF383" i="45"/>
  <c r="BE383" i="45"/>
  <c r="BD383" i="45"/>
  <c r="BC383" i="45"/>
  <c r="BB383" i="45"/>
  <c r="BA383" i="45"/>
  <c r="AZ383" i="45"/>
  <c r="AY383" i="45"/>
  <c r="AX383" i="45"/>
  <c r="AW383" i="45"/>
  <c r="AV383" i="45"/>
  <c r="AU383" i="45"/>
  <c r="AT383" i="45"/>
  <c r="CC382" i="45"/>
  <c r="CB382" i="45"/>
  <c r="CA382" i="45"/>
  <c r="BZ382" i="45"/>
  <c r="BY382" i="45"/>
  <c r="BX382" i="45"/>
  <c r="BW382" i="45"/>
  <c r="BV382" i="45"/>
  <c r="BU382" i="45"/>
  <c r="BT382" i="45"/>
  <c r="BS382" i="45"/>
  <c r="BR382" i="45"/>
  <c r="BQ382" i="45"/>
  <c r="BP382" i="45"/>
  <c r="BO382" i="45"/>
  <c r="BN382" i="45"/>
  <c r="BM382" i="45"/>
  <c r="BL382" i="45"/>
  <c r="BK382" i="45"/>
  <c r="BJ382" i="45"/>
  <c r="BI382" i="45"/>
  <c r="BH382" i="45"/>
  <c r="BG382" i="45"/>
  <c r="BF382" i="45"/>
  <c r="BE382" i="45"/>
  <c r="BD382" i="45"/>
  <c r="BC382" i="45"/>
  <c r="BB382" i="45"/>
  <c r="BA382" i="45"/>
  <c r="AZ382" i="45"/>
  <c r="AY382" i="45"/>
  <c r="AX382" i="45"/>
  <c r="AW382" i="45"/>
  <c r="AV382" i="45"/>
  <c r="AU382" i="45"/>
  <c r="AT382" i="45"/>
  <c r="CC381" i="45"/>
  <c r="CB381" i="45"/>
  <c r="CA381" i="45"/>
  <c r="BZ381" i="45"/>
  <c r="BY381" i="45"/>
  <c r="BX381" i="45"/>
  <c r="BW381" i="45"/>
  <c r="BV381" i="45"/>
  <c r="BU381" i="45"/>
  <c r="BT381" i="45"/>
  <c r="BS381" i="45"/>
  <c r="BR381" i="45"/>
  <c r="BQ381" i="45"/>
  <c r="BP381" i="45"/>
  <c r="BO381" i="45"/>
  <c r="BN381" i="45"/>
  <c r="BM381" i="45"/>
  <c r="BL381" i="45"/>
  <c r="BK381" i="45"/>
  <c r="BJ381" i="45"/>
  <c r="BI381" i="45"/>
  <c r="BH381" i="45"/>
  <c r="BG381" i="45"/>
  <c r="BF381" i="45"/>
  <c r="BE381" i="45"/>
  <c r="BD381" i="45"/>
  <c r="BC381" i="45"/>
  <c r="BB381" i="45"/>
  <c r="BA381" i="45"/>
  <c r="AZ381" i="45"/>
  <c r="AY381" i="45"/>
  <c r="AX381" i="45"/>
  <c r="AW381" i="45"/>
  <c r="AV381" i="45"/>
  <c r="AU381" i="45"/>
  <c r="AT381" i="45"/>
  <c r="CC380" i="45"/>
  <c r="CB380" i="45"/>
  <c r="CA380" i="45"/>
  <c r="BZ380" i="45"/>
  <c r="BY380" i="45"/>
  <c r="BX380" i="45"/>
  <c r="BW380" i="45"/>
  <c r="BV380" i="45"/>
  <c r="BU380" i="45"/>
  <c r="BT380" i="45"/>
  <c r="BS380" i="45"/>
  <c r="BR380" i="45"/>
  <c r="BQ380" i="45"/>
  <c r="BP380" i="45"/>
  <c r="BO380" i="45"/>
  <c r="BN380" i="45"/>
  <c r="BM380" i="45"/>
  <c r="BL380" i="45"/>
  <c r="BK380" i="45"/>
  <c r="BJ380" i="45"/>
  <c r="BI380" i="45"/>
  <c r="BH380" i="45"/>
  <c r="BG380" i="45"/>
  <c r="BF380" i="45"/>
  <c r="BE380" i="45"/>
  <c r="BD380" i="45"/>
  <c r="BC380" i="45"/>
  <c r="BB380" i="45"/>
  <c r="BA380" i="45"/>
  <c r="AZ380" i="45"/>
  <c r="AY380" i="45"/>
  <c r="AX380" i="45"/>
  <c r="AW380" i="45"/>
  <c r="AV380" i="45"/>
  <c r="AU380" i="45"/>
  <c r="AT380" i="45"/>
  <c r="CC379" i="45"/>
  <c r="CB379" i="45"/>
  <c r="CA379" i="45"/>
  <c r="BZ379" i="45"/>
  <c r="BY379" i="45"/>
  <c r="BX379" i="45"/>
  <c r="BW379" i="45"/>
  <c r="BV379" i="45"/>
  <c r="BU379" i="45"/>
  <c r="BT379" i="45"/>
  <c r="BS379" i="45"/>
  <c r="BR379" i="45"/>
  <c r="BQ379" i="45"/>
  <c r="BP379" i="45"/>
  <c r="BO379" i="45"/>
  <c r="BN379" i="45"/>
  <c r="BM379" i="45"/>
  <c r="BL379" i="45"/>
  <c r="BK379" i="45"/>
  <c r="BJ379" i="45"/>
  <c r="BI379" i="45"/>
  <c r="BH379" i="45"/>
  <c r="BG379" i="45"/>
  <c r="BF379" i="45"/>
  <c r="BE379" i="45"/>
  <c r="BD379" i="45"/>
  <c r="BC379" i="45"/>
  <c r="BB379" i="45"/>
  <c r="BA379" i="45"/>
  <c r="AZ379" i="45"/>
  <c r="AY379" i="45"/>
  <c r="AX379" i="45"/>
  <c r="AW379" i="45"/>
  <c r="AV379" i="45"/>
  <c r="AU379" i="45"/>
  <c r="AT379" i="45"/>
  <c r="CC378" i="45"/>
  <c r="CB378" i="45"/>
  <c r="CA378" i="45"/>
  <c r="BZ378" i="45"/>
  <c r="BY378" i="45"/>
  <c r="BX378" i="45"/>
  <c r="BW378" i="45"/>
  <c r="BV378" i="45"/>
  <c r="BU378" i="45"/>
  <c r="BT378" i="45"/>
  <c r="BS378" i="45"/>
  <c r="BR378" i="45"/>
  <c r="BQ378" i="45"/>
  <c r="BP378" i="45"/>
  <c r="BO378" i="45"/>
  <c r="BN378" i="45"/>
  <c r="BM378" i="45"/>
  <c r="BL378" i="45"/>
  <c r="BK378" i="45"/>
  <c r="BJ378" i="45"/>
  <c r="BI378" i="45"/>
  <c r="BH378" i="45"/>
  <c r="BG378" i="45"/>
  <c r="BF378" i="45"/>
  <c r="BE378" i="45"/>
  <c r="BD378" i="45"/>
  <c r="BC378" i="45"/>
  <c r="BB378" i="45"/>
  <c r="BA378" i="45"/>
  <c r="AZ378" i="45"/>
  <c r="AY378" i="45"/>
  <c r="AX378" i="45"/>
  <c r="AW378" i="45"/>
  <c r="AV378" i="45"/>
  <c r="AU378" i="45"/>
  <c r="AT378" i="45"/>
  <c r="CC369" i="45"/>
  <c r="CB369" i="45"/>
  <c r="CA369" i="45"/>
  <c r="BZ369" i="45"/>
  <c r="BY369" i="45"/>
  <c r="BX369" i="45"/>
  <c r="BW369" i="45"/>
  <c r="BV369" i="45"/>
  <c r="BU369" i="45"/>
  <c r="BT369" i="45"/>
  <c r="BS369" i="45"/>
  <c r="BR369" i="45"/>
  <c r="BQ369" i="45"/>
  <c r="BP369" i="45"/>
  <c r="BO369" i="45"/>
  <c r="BN369" i="45"/>
  <c r="BM369" i="45"/>
  <c r="BL369" i="45"/>
  <c r="BK369" i="45"/>
  <c r="BJ369" i="45"/>
  <c r="BI369" i="45"/>
  <c r="BH369" i="45"/>
  <c r="BG369" i="45"/>
  <c r="BF369" i="45"/>
  <c r="BE369" i="45"/>
  <c r="BD369" i="45"/>
  <c r="BC369" i="45"/>
  <c r="BB369" i="45"/>
  <c r="BA369" i="45"/>
  <c r="AZ369" i="45"/>
  <c r="AY369" i="45"/>
  <c r="AX369" i="45"/>
  <c r="AW369" i="45"/>
  <c r="AV369" i="45"/>
  <c r="AU369" i="45"/>
  <c r="AT369" i="45"/>
  <c r="CC368" i="45"/>
  <c r="CB368" i="45"/>
  <c r="CA368" i="45"/>
  <c r="BZ368" i="45"/>
  <c r="BY368" i="45"/>
  <c r="BX368" i="45"/>
  <c r="BW368" i="45"/>
  <c r="BV368" i="45"/>
  <c r="BU368" i="45"/>
  <c r="BT368" i="45"/>
  <c r="BS368" i="45"/>
  <c r="BR368" i="45"/>
  <c r="BQ368" i="45"/>
  <c r="BP368" i="45"/>
  <c r="BO368" i="45"/>
  <c r="BN368" i="45"/>
  <c r="BM368" i="45"/>
  <c r="BL368" i="45"/>
  <c r="BK368" i="45"/>
  <c r="BJ368" i="45"/>
  <c r="BI368" i="45"/>
  <c r="BH368" i="45"/>
  <c r="BG368" i="45"/>
  <c r="BF368" i="45"/>
  <c r="BE368" i="45"/>
  <c r="BD368" i="45"/>
  <c r="BC368" i="45"/>
  <c r="BB368" i="45"/>
  <c r="BA368" i="45"/>
  <c r="AZ368" i="45"/>
  <c r="AY368" i="45"/>
  <c r="AX368" i="45"/>
  <c r="AW368" i="45"/>
  <c r="AV368" i="45"/>
  <c r="AU368" i="45"/>
  <c r="AT368" i="45"/>
  <c r="CC367" i="45"/>
  <c r="CB367" i="45"/>
  <c r="CA367" i="45"/>
  <c r="BZ367" i="45"/>
  <c r="BY367" i="45"/>
  <c r="BX367" i="45"/>
  <c r="BW367" i="45"/>
  <c r="BV367" i="45"/>
  <c r="BU367" i="45"/>
  <c r="BT367" i="45"/>
  <c r="BS367" i="45"/>
  <c r="BR367" i="45"/>
  <c r="BQ367" i="45"/>
  <c r="BP367" i="45"/>
  <c r="BO367" i="45"/>
  <c r="BN367" i="45"/>
  <c r="BM367" i="45"/>
  <c r="BL367" i="45"/>
  <c r="BK367" i="45"/>
  <c r="BJ367" i="45"/>
  <c r="BI367" i="45"/>
  <c r="BH367" i="45"/>
  <c r="BG367" i="45"/>
  <c r="BF367" i="45"/>
  <c r="BE367" i="45"/>
  <c r="BD367" i="45"/>
  <c r="BC367" i="45"/>
  <c r="BB367" i="45"/>
  <c r="BA367" i="45"/>
  <c r="AZ367" i="45"/>
  <c r="AY367" i="45"/>
  <c r="AX367" i="45"/>
  <c r="AW367" i="45"/>
  <c r="AV367" i="45"/>
  <c r="AU367" i="45"/>
  <c r="AT367" i="45"/>
  <c r="CC366" i="45"/>
  <c r="CB366" i="45"/>
  <c r="CA366" i="45"/>
  <c r="BZ366" i="45"/>
  <c r="BY366" i="45"/>
  <c r="BX366" i="45"/>
  <c r="BW366" i="45"/>
  <c r="BV366" i="45"/>
  <c r="BU366" i="45"/>
  <c r="BT366" i="45"/>
  <c r="BS366" i="45"/>
  <c r="BR366" i="45"/>
  <c r="BQ366" i="45"/>
  <c r="BP366" i="45"/>
  <c r="BO366" i="45"/>
  <c r="BN366" i="45"/>
  <c r="BM366" i="45"/>
  <c r="BL366" i="45"/>
  <c r="BK366" i="45"/>
  <c r="BJ366" i="45"/>
  <c r="BI366" i="45"/>
  <c r="BH366" i="45"/>
  <c r="BG366" i="45"/>
  <c r="BF366" i="45"/>
  <c r="BE366" i="45"/>
  <c r="BD366" i="45"/>
  <c r="BC366" i="45"/>
  <c r="BB366" i="45"/>
  <c r="BA366" i="45"/>
  <c r="AZ366" i="45"/>
  <c r="AY366" i="45"/>
  <c r="AX366" i="45"/>
  <c r="AW366" i="45"/>
  <c r="AV366" i="45"/>
  <c r="AU366" i="45"/>
  <c r="AT366" i="45"/>
  <c r="CC365" i="45"/>
  <c r="CB365" i="45"/>
  <c r="CA365" i="45"/>
  <c r="BZ365" i="45"/>
  <c r="BY365" i="45"/>
  <c r="BX365" i="45"/>
  <c r="BW365" i="45"/>
  <c r="BV365" i="45"/>
  <c r="BU365" i="45"/>
  <c r="BT365" i="45"/>
  <c r="BS365" i="45"/>
  <c r="BR365" i="45"/>
  <c r="BQ365" i="45"/>
  <c r="BP365" i="45"/>
  <c r="BO365" i="45"/>
  <c r="BN365" i="45"/>
  <c r="BM365" i="45"/>
  <c r="BL365" i="45"/>
  <c r="BK365" i="45"/>
  <c r="BJ365" i="45"/>
  <c r="BI365" i="45"/>
  <c r="BH365" i="45"/>
  <c r="BG365" i="45"/>
  <c r="BF365" i="45"/>
  <c r="BE365" i="45"/>
  <c r="BD365" i="45"/>
  <c r="BC365" i="45"/>
  <c r="BB365" i="45"/>
  <c r="BA365" i="45"/>
  <c r="AZ365" i="45"/>
  <c r="AY365" i="45"/>
  <c r="AX365" i="45"/>
  <c r="AW365" i="45"/>
  <c r="AV365" i="45"/>
  <c r="AU365" i="45"/>
  <c r="AT365" i="45"/>
  <c r="CC364" i="45"/>
  <c r="CB364" i="45"/>
  <c r="CA364" i="45"/>
  <c r="BZ364" i="45"/>
  <c r="BY364" i="45"/>
  <c r="BX364" i="45"/>
  <c r="BW364" i="45"/>
  <c r="BV364" i="45"/>
  <c r="BU364" i="45"/>
  <c r="BT364" i="45"/>
  <c r="BS364" i="45"/>
  <c r="BR364" i="45"/>
  <c r="BQ364" i="45"/>
  <c r="BP364" i="45"/>
  <c r="BO364" i="45"/>
  <c r="BN364" i="45"/>
  <c r="BM364" i="45"/>
  <c r="BL364" i="45"/>
  <c r="BK364" i="45"/>
  <c r="BJ364" i="45"/>
  <c r="BI364" i="45"/>
  <c r="BH364" i="45"/>
  <c r="BG364" i="45"/>
  <c r="BF364" i="45"/>
  <c r="BE364" i="45"/>
  <c r="BD364" i="45"/>
  <c r="BC364" i="45"/>
  <c r="BB364" i="45"/>
  <c r="BA364" i="45"/>
  <c r="AZ364" i="45"/>
  <c r="AY364" i="45"/>
  <c r="AX364" i="45"/>
  <c r="AW364" i="45"/>
  <c r="AV364" i="45"/>
  <c r="AU364" i="45"/>
  <c r="AT364" i="45"/>
  <c r="CC363" i="45"/>
  <c r="CB363" i="45"/>
  <c r="CA363" i="45"/>
  <c r="BZ363" i="45"/>
  <c r="BY363" i="45"/>
  <c r="BX363" i="45"/>
  <c r="BW363" i="45"/>
  <c r="BV363" i="45"/>
  <c r="BU363" i="45"/>
  <c r="BT363" i="45"/>
  <c r="BS363" i="45"/>
  <c r="BR363" i="45"/>
  <c r="BQ363" i="45"/>
  <c r="BP363" i="45"/>
  <c r="BO363" i="45"/>
  <c r="BN363" i="45"/>
  <c r="BM363" i="45"/>
  <c r="BL363" i="45"/>
  <c r="BK363" i="45"/>
  <c r="BJ363" i="45"/>
  <c r="BI363" i="45"/>
  <c r="BH363" i="45"/>
  <c r="BG363" i="45"/>
  <c r="BF363" i="45"/>
  <c r="BE363" i="45"/>
  <c r="BD363" i="45"/>
  <c r="BC363" i="45"/>
  <c r="BB363" i="45"/>
  <c r="BA363" i="45"/>
  <c r="AZ363" i="45"/>
  <c r="AY363" i="45"/>
  <c r="AX363" i="45"/>
  <c r="AW363" i="45"/>
  <c r="AV363" i="45"/>
  <c r="AU363" i="45"/>
  <c r="AT363" i="45"/>
  <c r="CC362" i="45"/>
  <c r="CB362" i="45"/>
  <c r="CA362" i="45"/>
  <c r="BZ362" i="45"/>
  <c r="BY362" i="45"/>
  <c r="BX362" i="45"/>
  <c r="BW362" i="45"/>
  <c r="BV362" i="45"/>
  <c r="BU362" i="45"/>
  <c r="BT362" i="45"/>
  <c r="BS362" i="45"/>
  <c r="BR362" i="45"/>
  <c r="BQ362" i="45"/>
  <c r="BP362" i="45"/>
  <c r="BO362" i="45"/>
  <c r="BN362" i="45"/>
  <c r="BM362" i="45"/>
  <c r="BL362" i="45"/>
  <c r="BK362" i="45"/>
  <c r="BJ362" i="45"/>
  <c r="BI362" i="45"/>
  <c r="BH362" i="45"/>
  <c r="BG362" i="45"/>
  <c r="BF362" i="45"/>
  <c r="BE362" i="45"/>
  <c r="BD362" i="45"/>
  <c r="BC362" i="45"/>
  <c r="BB362" i="45"/>
  <c r="BA362" i="45"/>
  <c r="AZ362" i="45"/>
  <c r="AY362" i="45"/>
  <c r="AX362" i="45"/>
  <c r="AW362" i="45"/>
  <c r="AV362" i="45"/>
  <c r="AU362" i="45"/>
  <c r="AT362" i="45"/>
  <c r="CC353" i="45"/>
  <c r="CB353" i="45"/>
  <c r="CA353" i="45"/>
  <c r="BZ353" i="45"/>
  <c r="BY353" i="45"/>
  <c r="BX353" i="45"/>
  <c r="BW353" i="45"/>
  <c r="BV353" i="45"/>
  <c r="BU353" i="45"/>
  <c r="BT353" i="45"/>
  <c r="BS353" i="45"/>
  <c r="BR353" i="45"/>
  <c r="BQ353" i="45"/>
  <c r="BP353" i="45"/>
  <c r="BO353" i="45"/>
  <c r="BN353" i="45"/>
  <c r="BM353" i="45"/>
  <c r="BL353" i="45"/>
  <c r="BK353" i="45"/>
  <c r="BJ353" i="45"/>
  <c r="BI353" i="45"/>
  <c r="BH353" i="45"/>
  <c r="BG353" i="45"/>
  <c r="BF353" i="45"/>
  <c r="BE353" i="45"/>
  <c r="BD353" i="45"/>
  <c r="BC353" i="45"/>
  <c r="BB353" i="45"/>
  <c r="BA353" i="45"/>
  <c r="AZ353" i="45"/>
  <c r="AY353" i="45"/>
  <c r="AX353" i="45"/>
  <c r="AW353" i="45"/>
  <c r="AV353" i="45"/>
  <c r="AU353" i="45"/>
  <c r="AT353" i="45"/>
  <c r="CC352" i="45"/>
  <c r="CB352" i="45"/>
  <c r="CA352" i="45"/>
  <c r="BZ352" i="45"/>
  <c r="BY352" i="45"/>
  <c r="BX352" i="45"/>
  <c r="BW352" i="45"/>
  <c r="BV352" i="45"/>
  <c r="BU352" i="45"/>
  <c r="BT352" i="45"/>
  <c r="BS352" i="45"/>
  <c r="BR352" i="45"/>
  <c r="BQ352" i="45"/>
  <c r="BP352" i="45"/>
  <c r="BO352" i="45"/>
  <c r="BN352" i="45"/>
  <c r="BM352" i="45"/>
  <c r="BL352" i="45"/>
  <c r="BK352" i="45"/>
  <c r="BJ352" i="45"/>
  <c r="BI352" i="45"/>
  <c r="BH352" i="45"/>
  <c r="BG352" i="45"/>
  <c r="BF352" i="45"/>
  <c r="BE352" i="45"/>
  <c r="BD352" i="45"/>
  <c r="BC352" i="45"/>
  <c r="BB352" i="45"/>
  <c r="BA352" i="45"/>
  <c r="AZ352" i="45"/>
  <c r="AY352" i="45"/>
  <c r="AX352" i="45"/>
  <c r="AW352" i="45"/>
  <c r="AV352" i="45"/>
  <c r="AU352" i="45"/>
  <c r="AT352" i="45"/>
  <c r="CC351" i="45"/>
  <c r="CB351" i="45"/>
  <c r="CA351" i="45"/>
  <c r="BZ351" i="45"/>
  <c r="BY351" i="45"/>
  <c r="BX351" i="45"/>
  <c r="BW351" i="45"/>
  <c r="BV351" i="45"/>
  <c r="BU351" i="45"/>
  <c r="BT351" i="45"/>
  <c r="BS351" i="45"/>
  <c r="BR351" i="45"/>
  <c r="BQ351" i="45"/>
  <c r="BP351" i="45"/>
  <c r="BO351" i="45"/>
  <c r="BN351" i="45"/>
  <c r="BM351" i="45"/>
  <c r="BL351" i="45"/>
  <c r="BK351" i="45"/>
  <c r="BJ351" i="45"/>
  <c r="BI351" i="45"/>
  <c r="BH351" i="45"/>
  <c r="BG351" i="45"/>
  <c r="BF351" i="45"/>
  <c r="BE351" i="45"/>
  <c r="BD351" i="45"/>
  <c r="BC351" i="45"/>
  <c r="BB351" i="45"/>
  <c r="BA351" i="45"/>
  <c r="AZ351" i="45"/>
  <c r="AY351" i="45"/>
  <c r="AX351" i="45"/>
  <c r="AW351" i="45"/>
  <c r="AV351" i="45"/>
  <c r="AU351" i="45"/>
  <c r="AT351" i="45"/>
  <c r="CC350" i="45"/>
  <c r="CB350" i="45"/>
  <c r="CA350" i="45"/>
  <c r="BZ350" i="45"/>
  <c r="BY350" i="45"/>
  <c r="BX350" i="45"/>
  <c r="BW350" i="45"/>
  <c r="BV350" i="45"/>
  <c r="BU350" i="45"/>
  <c r="BT350" i="45"/>
  <c r="BS350" i="45"/>
  <c r="BR350" i="45"/>
  <c r="BQ350" i="45"/>
  <c r="BP350" i="45"/>
  <c r="BO350" i="45"/>
  <c r="BN350" i="45"/>
  <c r="BM350" i="45"/>
  <c r="BL350" i="45"/>
  <c r="BK350" i="45"/>
  <c r="BJ350" i="45"/>
  <c r="BI350" i="45"/>
  <c r="BH350" i="45"/>
  <c r="BG350" i="45"/>
  <c r="BF350" i="45"/>
  <c r="BE350" i="45"/>
  <c r="BD350" i="45"/>
  <c r="BC350" i="45"/>
  <c r="BB350" i="45"/>
  <c r="BA350" i="45"/>
  <c r="AZ350" i="45"/>
  <c r="AY350" i="45"/>
  <c r="AX350" i="45"/>
  <c r="AW350" i="45"/>
  <c r="AV350" i="45"/>
  <c r="AU350" i="45"/>
  <c r="AT350" i="45"/>
  <c r="CC349" i="45"/>
  <c r="CB349" i="45"/>
  <c r="CA349" i="45"/>
  <c r="BZ349" i="45"/>
  <c r="BY349" i="45"/>
  <c r="BX349" i="45"/>
  <c r="BW349" i="45"/>
  <c r="BV349" i="45"/>
  <c r="BU349" i="45"/>
  <c r="BT349" i="45"/>
  <c r="BS349" i="45"/>
  <c r="BR349" i="45"/>
  <c r="BQ349" i="45"/>
  <c r="BP349" i="45"/>
  <c r="BO349" i="45"/>
  <c r="BN349" i="45"/>
  <c r="BM349" i="45"/>
  <c r="BL349" i="45"/>
  <c r="BK349" i="45"/>
  <c r="BJ349" i="45"/>
  <c r="BI349" i="45"/>
  <c r="BH349" i="45"/>
  <c r="BG349" i="45"/>
  <c r="BF349" i="45"/>
  <c r="BE349" i="45"/>
  <c r="BD349" i="45"/>
  <c r="BC349" i="45"/>
  <c r="BB349" i="45"/>
  <c r="BA349" i="45"/>
  <c r="AZ349" i="45"/>
  <c r="AY349" i="45"/>
  <c r="AX349" i="45"/>
  <c r="AW349" i="45"/>
  <c r="AV349" i="45"/>
  <c r="AU349" i="45"/>
  <c r="AT349" i="45"/>
  <c r="CC348" i="45"/>
  <c r="CB348" i="45"/>
  <c r="CA348" i="45"/>
  <c r="BZ348" i="45"/>
  <c r="BY348" i="45"/>
  <c r="BX348" i="45"/>
  <c r="BW348" i="45"/>
  <c r="BV348" i="45"/>
  <c r="BU348" i="45"/>
  <c r="BT348" i="45"/>
  <c r="BS348" i="45"/>
  <c r="BR348" i="45"/>
  <c r="BQ348" i="45"/>
  <c r="BP348" i="45"/>
  <c r="BO348" i="45"/>
  <c r="BN348" i="45"/>
  <c r="BM348" i="45"/>
  <c r="BL348" i="45"/>
  <c r="BK348" i="45"/>
  <c r="BJ348" i="45"/>
  <c r="BI348" i="45"/>
  <c r="BH348" i="45"/>
  <c r="BG348" i="45"/>
  <c r="BF348" i="45"/>
  <c r="BE348" i="45"/>
  <c r="BD348" i="45"/>
  <c r="BC348" i="45"/>
  <c r="BB348" i="45"/>
  <c r="BA348" i="45"/>
  <c r="AZ348" i="45"/>
  <c r="AY348" i="45"/>
  <c r="AX348" i="45"/>
  <c r="AW348" i="45"/>
  <c r="AV348" i="45"/>
  <c r="AU348" i="45"/>
  <c r="AT348" i="45"/>
  <c r="CC347" i="45"/>
  <c r="CB347" i="45"/>
  <c r="CA347" i="45"/>
  <c r="BZ347" i="45"/>
  <c r="BY347" i="45"/>
  <c r="BX347" i="45"/>
  <c r="BW347" i="45"/>
  <c r="BV347" i="45"/>
  <c r="BU347" i="45"/>
  <c r="BT347" i="45"/>
  <c r="BS347" i="45"/>
  <c r="BR347" i="45"/>
  <c r="BQ347" i="45"/>
  <c r="BP347" i="45"/>
  <c r="BO347" i="45"/>
  <c r="BN347" i="45"/>
  <c r="BM347" i="45"/>
  <c r="BL347" i="45"/>
  <c r="BK347" i="45"/>
  <c r="BJ347" i="45"/>
  <c r="BI347" i="45"/>
  <c r="BH347" i="45"/>
  <c r="BG347" i="45"/>
  <c r="BF347" i="45"/>
  <c r="BE347" i="45"/>
  <c r="BD347" i="45"/>
  <c r="BC347" i="45"/>
  <c r="BB347" i="45"/>
  <c r="BA347" i="45"/>
  <c r="AZ347" i="45"/>
  <c r="AY347" i="45"/>
  <c r="AX347" i="45"/>
  <c r="AW347" i="45"/>
  <c r="AV347" i="45"/>
  <c r="AU347" i="45"/>
  <c r="AT347" i="45"/>
  <c r="CC346" i="45"/>
  <c r="CB346" i="45"/>
  <c r="CA346" i="45"/>
  <c r="BZ346" i="45"/>
  <c r="BY346" i="45"/>
  <c r="BX346" i="45"/>
  <c r="BW346" i="45"/>
  <c r="BV346" i="45"/>
  <c r="BU346" i="45"/>
  <c r="BT346" i="45"/>
  <c r="BS346" i="45"/>
  <c r="BR346" i="45"/>
  <c r="BQ346" i="45"/>
  <c r="BP346" i="45"/>
  <c r="BO346" i="45"/>
  <c r="BN346" i="45"/>
  <c r="BM346" i="45"/>
  <c r="BL346" i="45"/>
  <c r="BK346" i="45"/>
  <c r="BJ346" i="45"/>
  <c r="BI346" i="45"/>
  <c r="BH346" i="45"/>
  <c r="BG346" i="45"/>
  <c r="BF346" i="45"/>
  <c r="BE346" i="45"/>
  <c r="BD346" i="45"/>
  <c r="BC346" i="45"/>
  <c r="BB346" i="45"/>
  <c r="BA346" i="45"/>
  <c r="AZ346" i="45"/>
  <c r="AY346" i="45"/>
  <c r="AX346" i="45"/>
  <c r="AW346" i="45"/>
  <c r="AV346" i="45"/>
  <c r="AU346" i="45"/>
  <c r="AT346" i="45"/>
  <c r="CC337" i="45"/>
  <c r="CB337" i="45"/>
  <c r="CA337" i="45"/>
  <c r="BZ337" i="45"/>
  <c r="BY337" i="45"/>
  <c r="BX337" i="45"/>
  <c r="BW337" i="45"/>
  <c r="BV337" i="45"/>
  <c r="BU337" i="45"/>
  <c r="BT337" i="45"/>
  <c r="BS337" i="45"/>
  <c r="BR337" i="45"/>
  <c r="BQ337" i="45"/>
  <c r="BP337" i="45"/>
  <c r="BO337" i="45"/>
  <c r="BN337" i="45"/>
  <c r="BM337" i="45"/>
  <c r="BL337" i="45"/>
  <c r="BK337" i="45"/>
  <c r="BJ337" i="45"/>
  <c r="BI337" i="45"/>
  <c r="BH337" i="45"/>
  <c r="BG337" i="45"/>
  <c r="BF337" i="45"/>
  <c r="BE337" i="45"/>
  <c r="BD337" i="45"/>
  <c r="BC337" i="45"/>
  <c r="BB337" i="45"/>
  <c r="BA337" i="45"/>
  <c r="AZ337" i="45"/>
  <c r="AY337" i="45"/>
  <c r="AX337" i="45"/>
  <c r="AW337" i="45"/>
  <c r="AV337" i="45"/>
  <c r="AU337" i="45"/>
  <c r="AT337" i="45"/>
  <c r="CC336" i="45"/>
  <c r="CB336" i="45"/>
  <c r="CA336" i="45"/>
  <c r="BZ336" i="45"/>
  <c r="BY336" i="45"/>
  <c r="BX336" i="45"/>
  <c r="BW336" i="45"/>
  <c r="BV336" i="45"/>
  <c r="BU336" i="45"/>
  <c r="BT336" i="45"/>
  <c r="BS336" i="45"/>
  <c r="BR336" i="45"/>
  <c r="BQ336" i="45"/>
  <c r="BP336" i="45"/>
  <c r="BO336" i="45"/>
  <c r="BN336" i="45"/>
  <c r="BM336" i="45"/>
  <c r="BL336" i="45"/>
  <c r="BK336" i="45"/>
  <c r="BJ336" i="45"/>
  <c r="BI336" i="45"/>
  <c r="BH336" i="45"/>
  <c r="BG336" i="45"/>
  <c r="BF336" i="45"/>
  <c r="BE336" i="45"/>
  <c r="BD336" i="45"/>
  <c r="BC336" i="45"/>
  <c r="BB336" i="45"/>
  <c r="BA336" i="45"/>
  <c r="AZ336" i="45"/>
  <c r="AY336" i="45"/>
  <c r="AX336" i="45"/>
  <c r="AW336" i="45"/>
  <c r="AV336" i="45"/>
  <c r="AU336" i="45"/>
  <c r="AT336" i="45"/>
  <c r="CC335" i="45"/>
  <c r="CB335" i="45"/>
  <c r="CA335" i="45"/>
  <c r="BZ335" i="45"/>
  <c r="BY335" i="45"/>
  <c r="BX335" i="45"/>
  <c r="BW335" i="45"/>
  <c r="BV335" i="45"/>
  <c r="BU335" i="45"/>
  <c r="BT335" i="45"/>
  <c r="BS335" i="45"/>
  <c r="BR335" i="45"/>
  <c r="BQ335" i="45"/>
  <c r="BP335" i="45"/>
  <c r="BO335" i="45"/>
  <c r="BN335" i="45"/>
  <c r="BM335" i="45"/>
  <c r="BL335" i="45"/>
  <c r="BK335" i="45"/>
  <c r="BJ335" i="45"/>
  <c r="BI335" i="45"/>
  <c r="BH335" i="45"/>
  <c r="BG335" i="45"/>
  <c r="BF335" i="45"/>
  <c r="BE335" i="45"/>
  <c r="BD335" i="45"/>
  <c r="BC335" i="45"/>
  <c r="BB335" i="45"/>
  <c r="BA335" i="45"/>
  <c r="AZ335" i="45"/>
  <c r="AY335" i="45"/>
  <c r="AX335" i="45"/>
  <c r="AW335" i="45"/>
  <c r="AV335" i="45"/>
  <c r="AU335" i="45"/>
  <c r="AT335" i="45"/>
  <c r="CC334" i="45"/>
  <c r="CB334" i="45"/>
  <c r="CA334" i="45"/>
  <c r="BZ334" i="45"/>
  <c r="BY334" i="45"/>
  <c r="BX334" i="45"/>
  <c r="BW334" i="45"/>
  <c r="BV334" i="45"/>
  <c r="BU334" i="45"/>
  <c r="BT334" i="45"/>
  <c r="BS334" i="45"/>
  <c r="BR334" i="45"/>
  <c r="BQ334" i="45"/>
  <c r="BP334" i="45"/>
  <c r="BO334" i="45"/>
  <c r="BN334" i="45"/>
  <c r="BM334" i="45"/>
  <c r="BL334" i="45"/>
  <c r="BK334" i="45"/>
  <c r="BJ334" i="45"/>
  <c r="BI334" i="45"/>
  <c r="BH334" i="45"/>
  <c r="BG334" i="45"/>
  <c r="BF334" i="45"/>
  <c r="BE334" i="45"/>
  <c r="BD334" i="45"/>
  <c r="BC334" i="45"/>
  <c r="BB334" i="45"/>
  <c r="BA334" i="45"/>
  <c r="AZ334" i="45"/>
  <c r="AY334" i="45"/>
  <c r="AX334" i="45"/>
  <c r="AW334" i="45"/>
  <c r="AV334" i="45"/>
  <c r="AU334" i="45"/>
  <c r="AT334" i="45"/>
  <c r="CC333" i="45"/>
  <c r="CB333" i="45"/>
  <c r="CA333" i="45"/>
  <c r="BZ333" i="45"/>
  <c r="BY333" i="45"/>
  <c r="BX333" i="45"/>
  <c r="BW333" i="45"/>
  <c r="BV333" i="45"/>
  <c r="BU333" i="45"/>
  <c r="BT333" i="45"/>
  <c r="BS333" i="45"/>
  <c r="BR333" i="45"/>
  <c r="BQ333" i="45"/>
  <c r="BP333" i="45"/>
  <c r="BO333" i="45"/>
  <c r="BN333" i="45"/>
  <c r="BM333" i="45"/>
  <c r="BL333" i="45"/>
  <c r="BK333" i="45"/>
  <c r="BJ333" i="45"/>
  <c r="BI333" i="45"/>
  <c r="BH333" i="45"/>
  <c r="BG333" i="45"/>
  <c r="BF333" i="45"/>
  <c r="BE333" i="45"/>
  <c r="BD333" i="45"/>
  <c r="BC333" i="45"/>
  <c r="BB333" i="45"/>
  <c r="BA333" i="45"/>
  <c r="AZ333" i="45"/>
  <c r="AY333" i="45"/>
  <c r="AX333" i="45"/>
  <c r="AW333" i="45"/>
  <c r="AV333" i="45"/>
  <c r="AU333" i="45"/>
  <c r="AT333" i="45"/>
  <c r="CC332" i="45"/>
  <c r="CB332" i="45"/>
  <c r="CA332" i="45"/>
  <c r="BZ332" i="45"/>
  <c r="BY332" i="45"/>
  <c r="BX332" i="45"/>
  <c r="BW332" i="45"/>
  <c r="BV332" i="45"/>
  <c r="BU332" i="45"/>
  <c r="BT332" i="45"/>
  <c r="BS332" i="45"/>
  <c r="BR332" i="45"/>
  <c r="BQ332" i="45"/>
  <c r="BP332" i="45"/>
  <c r="BO332" i="45"/>
  <c r="BN332" i="45"/>
  <c r="BM332" i="45"/>
  <c r="BL332" i="45"/>
  <c r="BK332" i="45"/>
  <c r="BJ332" i="45"/>
  <c r="BI332" i="45"/>
  <c r="BH332" i="45"/>
  <c r="BG332" i="45"/>
  <c r="BF332" i="45"/>
  <c r="BE332" i="45"/>
  <c r="BD332" i="45"/>
  <c r="BC332" i="45"/>
  <c r="BB332" i="45"/>
  <c r="BA332" i="45"/>
  <c r="AZ332" i="45"/>
  <c r="AY332" i="45"/>
  <c r="AX332" i="45"/>
  <c r="AW332" i="45"/>
  <c r="AV332" i="45"/>
  <c r="AU332" i="45"/>
  <c r="AT332" i="45"/>
  <c r="CC331" i="45"/>
  <c r="CB331" i="45"/>
  <c r="CA331" i="45"/>
  <c r="BZ331" i="45"/>
  <c r="BY331" i="45"/>
  <c r="BX331" i="45"/>
  <c r="BW331" i="45"/>
  <c r="BV331" i="45"/>
  <c r="BU331" i="45"/>
  <c r="BT331" i="45"/>
  <c r="BS331" i="45"/>
  <c r="BR331" i="45"/>
  <c r="BQ331" i="45"/>
  <c r="BP331" i="45"/>
  <c r="BO331" i="45"/>
  <c r="BN331" i="45"/>
  <c r="BM331" i="45"/>
  <c r="BL331" i="45"/>
  <c r="BK331" i="45"/>
  <c r="BJ331" i="45"/>
  <c r="BI331" i="45"/>
  <c r="BH331" i="45"/>
  <c r="BG331" i="45"/>
  <c r="BF331" i="45"/>
  <c r="BE331" i="45"/>
  <c r="BD331" i="45"/>
  <c r="BC331" i="45"/>
  <c r="BB331" i="45"/>
  <c r="BA331" i="45"/>
  <c r="AZ331" i="45"/>
  <c r="AY331" i="45"/>
  <c r="AX331" i="45"/>
  <c r="AW331" i="45"/>
  <c r="AV331" i="45"/>
  <c r="AU331" i="45"/>
  <c r="AT331" i="45"/>
  <c r="CC330" i="45"/>
  <c r="CB330" i="45"/>
  <c r="CA330" i="45"/>
  <c r="BZ330" i="45"/>
  <c r="BY330" i="45"/>
  <c r="BX330" i="45"/>
  <c r="BW330" i="45"/>
  <c r="BV330" i="45"/>
  <c r="BU330" i="45"/>
  <c r="BT330" i="45"/>
  <c r="BS330" i="45"/>
  <c r="BR330" i="45"/>
  <c r="BQ330" i="45"/>
  <c r="BP330" i="45"/>
  <c r="BO330" i="45"/>
  <c r="BN330" i="45"/>
  <c r="BM330" i="45"/>
  <c r="BL330" i="45"/>
  <c r="BK330" i="45"/>
  <c r="BJ330" i="45"/>
  <c r="BI330" i="45"/>
  <c r="BH330" i="45"/>
  <c r="BG330" i="45"/>
  <c r="BF330" i="45"/>
  <c r="BE330" i="45"/>
  <c r="BD330" i="45"/>
  <c r="BC330" i="45"/>
  <c r="BB330" i="45"/>
  <c r="BA330" i="45"/>
  <c r="AZ330" i="45"/>
  <c r="AY330" i="45"/>
  <c r="AX330" i="45"/>
  <c r="AW330" i="45"/>
  <c r="AV330" i="45"/>
  <c r="AU330" i="45"/>
  <c r="AT330" i="45"/>
  <c r="CC321" i="45"/>
  <c r="CB321" i="45"/>
  <c r="CA321" i="45"/>
  <c r="BZ321" i="45"/>
  <c r="BY321" i="45"/>
  <c r="BX321" i="45"/>
  <c r="BW321" i="45"/>
  <c r="BV321" i="45"/>
  <c r="BU321" i="45"/>
  <c r="BT321" i="45"/>
  <c r="BS321" i="45"/>
  <c r="BR321" i="45"/>
  <c r="BQ321" i="45"/>
  <c r="BP321" i="45"/>
  <c r="BO321" i="45"/>
  <c r="BN321" i="45"/>
  <c r="BM321" i="45"/>
  <c r="BL321" i="45"/>
  <c r="BK321" i="45"/>
  <c r="BJ321" i="45"/>
  <c r="BI321" i="45"/>
  <c r="BH321" i="45"/>
  <c r="BG321" i="45"/>
  <c r="BF321" i="45"/>
  <c r="BE321" i="45"/>
  <c r="BD321" i="45"/>
  <c r="BC321" i="45"/>
  <c r="BB321" i="45"/>
  <c r="BA321" i="45"/>
  <c r="AZ321" i="45"/>
  <c r="AY321" i="45"/>
  <c r="AX321" i="45"/>
  <c r="AW321" i="45"/>
  <c r="AV321" i="45"/>
  <c r="AU321" i="45"/>
  <c r="AT321" i="45"/>
  <c r="CC320" i="45"/>
  <c r="CB320" i="45"/>
  <c r="CA320" i="45"/>
  <c r="BZ320" i="45"/>
  <c r="BY320" i="45"/>
  <c r="BX320" i="45"/>
  <c r="BW320" i="45"/>
  <c r="BV320" i="45"/>
  <c r="BU320" i="45"/>
  <c r="BT320" i="45"/>
  <c r="BS320" i="45"/>
  <c r="BR320" i="45"/>
  <c r="BQ320" i="45"/>
  <c r="BP320" i="45"/>
  <c r="BO320" i="45"/>
  <c r="BN320" i="45"/>
  <c r="BM320" i="45"/>
  <c r="BL320" i="45"/>
  <c r="BK320" i="45"/>
  <c r="BJ320" i="45"/>
  <c r="BI320" i="45"/>
  <c r="BH320" i="45"/>
  <c r="BG320" i="45"/>
  <c r="BF320" i="45"/>
  <c r="BE320" i="45"/>
  <c r="BD320" i="45"/>
  <c r="BC320" i="45"/>
  <c r="BB320" i="45"/>
  <c r="BA320" i="45"/>
  <c r="AZ320" i="45"/>
  <c r="AY320" i="45"/>
  <c r="AX320" i="45"/>
  <c r="AW320" i="45"/>
  <c r="AV320" i="45"/>
  <c r="AU320" i="45"/>
  <c r="AT320" i="45"/>
  <c r="CC319" i="45"/>
  <c r="CB319" i="45"/>
  <c r="CA319" i="45"/>
  <c r="BZ319" i="45"/>
  <c r="BY319" i="45"/>
  <c r="BX319" i="45"/>
  <c r="BW319" i="45"/>
  <c r="BV319" i="45"/>
  <c r="BU319" i="45"/>
  <c r="BT319" i="45"/>
  <c r="BS319" i="45"/>
  <c r="BR319" i="45"/>
  <c r="BQ319" i="45"/>
  <c r="BP319" i="45"/>
  <c r="BO319" i="45"/>
  <c r="BN319" i="45"/>
  <c r="BM319" i="45"/>
  <c r="BL319" i="45"/>
  <c r="BK319" i="45"/>
  <c r="BJ319" i="45"/>
  <c r="BI319" i="45"/>
  <c r="BH319" i="45"/>
  <c r="BG319" i="45"/>
  <c r="BF319" i="45"/>
  <c r="BE319" i="45"/>
  <c r="BD319" i="45"/>
  <c r="BC319" i="45"/>
  <c r="BB319" i="45"/>
  <c r="BA319" i="45"/>
  <c r="AZ319" i="45"/>
  <c r="AY319" i="45"/>
  <c r="AX319" i="45"/>
  <c r="AW319" i="45"/>
  <c r="AV319" i="45"/>
  <c r="AU319" i="45"/>
  <c r="AT319" i="45"/>
  <c r="CC318" i="45"/>
  <c r="CB318" i="45"/>
  <c r="CA318" i="45"/>
  <c r="BZ318" i="45"/>
  <c r="BY318" i="45"/>
  <c r="BX318" i="45"/>
  <c r="BW318" i="45"/>
  <c r="BV318" i="45"/>
  <c r="BU318" i="45"/>
  <c r="BT318" i="45"/>
  <c r="BS318" i="45"/>
  <c r="BR318" i="45"/>
  <c r="BQ318" i="45"/>
  <c r="BP318" i="45"/>
  <c r="BO318" i="45"/>
  <c r="BN318" i="45"/>
  <c r="BM318" i="45"/>
  <c r="BL318" i="45"/>
  <c r="BK318" i="45"/>
  <c r="BJ318" i="45"/>
  <c r="BI318" i="45"/>
  <c r="BH318" i="45"/>
  <c r="BG318" i="45"/>
  <c r="BF318" i="45"/>
  <c r="BE318" i="45"/>
  <c r="BD318" i="45"/>
  <c r="BC318" i="45"/>
  <c r="BB318" i="45"/>
  <c r="BA318" i="45"/>
  <c r="AZ318" i="45"/>
  <c r="AY318" i="45"/>
  <c r="AX318" i="45"/>
  <c r="AW318" i="45"/>
  <c r="AV318" i="45"/>
  <c r="AU318" i="45"/>
  <c r="AT318" i="45"/>
  <c r="CC317" i="45"/>
  <c r="CB317" i="45"/>
  <c r="CA317" i="45"/>
  <c r="BZ317" i="45"/>
  <c r="BY317" i="45"/>
  <c r="BX317" i="45"/>
  <c r="BW317" i="45"/>
  <c r="BV317" i="45"/>
  <c r="BU317" i="45"/>
  <c r="BT317" i="45"/>
  <c r="BS317" i="45"/>
  <c r="BR317" i="45"/>
  <c r="BQ317" i="45"/>
  <c r="BP317" i="45"/>
  <c r="BO317" i="45"/>
  <c r="BN317" i="45"/>
  <c r="BM317" i="45"/>
  <c r="BL317" i="45"/>
  <c r="BK317" i="45"/>
  <c r="BJ317" i="45"/>
  <c r="BI317" i="45"/>
  <c r="BH317" i="45"/>
  <c r="BG317" i="45"/>
  <c r="BF317" i="45"/>
  <c r="BE317" i="45"/>
  <c r="BD317" i="45"/>
  <c r="BC317" i="45"/>
  <c r="BB317" i="45"/>
  <c r="BA317" i="45"/>
  <c r="AZ317" i="45"/>
  <c r="AY317" i="45"/>
  <c r="AX317" i="45"/>
  <c r="AW317" i="45"/>
  <c r="AV317" i="45"/>
  <c r="AU317" i="45"/>
  <c r="AT317" i="45"/>
  <c r="CC316" i="45"/>
  <c r="CB316" i="45"/>
  <c r="CA316" i="45"/>
  <c r="BZ316" i="45"/>
  <c r="BY316" i="45"/>
  <c r="BX316" i="45"/>
  <c r="BW316" i="45"/>
  <c r="BV316" i="45"/>
  <c r="BU316" i="45"/>
  <c r="BT316" i="45"/>
  <c r="BS316" i="45"/>
  <c r="BR316" i="45"/>
  <c r="BQ316" i="45"/>
  <c r="BP316" i="45"/>
  <c r="BO316" i="45"/>
  <c r="BN316" i="45"/>
  <c r="BM316" i="45"/>
  <c r="BL316" i="45"/>
  <c r="BK316" i="45"/>
  <c r="BJ316" i="45"/>
  <c r="BI316" i="45"/>
  <c r="BH316" i="45"/>
  <c r="BG316" i="45"/>
  <c r="BF316" i="45"/>
  <c r="BE316" i="45"/>
  <c r="BD316" i="45"/>
  <c r="BC316" i="45"/>
  <c r="BB316" i="45"/>
  <c r="BA316" i="45"/>
  <c r="AZ316" i="45"/>
  <c r="AY316" i="45"/>
  <c r="AX316" i="45"/>
  <c r="AW316" i="45"/>
  <c r="AV316" i="45"/>
  <c r="AU316" i="45"/>
  <c r="AT316" i="45"/>
  <c r="CC315" i="45"/>
  <c r="CB315" i="45"/>
  <c r="CA315" i="45"/>
  <c r="BZ315" i="45"/>
  <c r="BY315" i="45"/>
  <c r="BX315" i="45"/>
  <c r="BW315" i="45"/>
  <c r="BV315" i="45"/>
  <c r="BU315" i="45"/>
  <c r="BT315" i="45"/>
  <c r="BS315" i="45"/>
  <c r="BR315" i="45"/>
  <c r="BQ315" i="45"/>
  <c r="BP315" i="45"/>
  <c r="BO315" i="45"/>
  <c r="BN315" i="45"/>
  <c r="BM315" i="45"/>
  <c r="BL315" i="45"/>
  <c r="BK315" i="45"/>
  <c r="BJ315" i="45"/>
  <c r="BI315" i="45"/>
  <c r="BH315" i="45"/>
  <c r="BG315" i="45"/>
  <c r="BF315" i="45"/>
  <c r="BE315" i="45"/>
  <c r="BD315" i="45"/>
  <c r="BC315" i="45"/>
  <c r="BB315" i="45"/>
  <c r="BA315" i="45"/>
  <c r="AZ315" i="45"/>
  <c r="AY315" i="45"/>
  <c r="AX315" i="45"/>
  <c r="AW315" i="45"/>
  <c r="AV315" i="45"/>
  <c r="AU315" i="45"/>
  <c r="AT315" i="45"/>
  <c r="CC314" i="45"/>
  <c r="CB314" i="45"/>
  <c r="CA314" i="45"/>
  <c r="BZ314" i="45"/>
  <c r="BY314" i="45"/>
  <c r="BX314" i="45"/>
  <c r="BW314" i="45"/>
  <c r="BV314" i="45"/>
  <c r="BU314" i="45"/>
  <c r="BT314" i="45"/>
  <c r="BS314" i="45"/>
  <c r="BR314" i="45"/>
  <c r="BQ314" i="45"/>
  <c r="BP314" i="45"/>
  <c r="BO314" i="45"/>
  <c r="BN314" i="45"/>
  <c r="BM314" i="45"/>
  <c r="BL314" i="45"/>
  <c r="BK314" i="45"/>
  <c r="BJ314" i="45"/>
  <c r="BI314" i="45"/>
  <c r="BH314" i="45"/>
  <c r="BG314" i="45"/>
  <c r="BF314" i="45"/>
  <c r="BE314" i="45"/>
  <c r="BD314" i="45"/>
  <c r="BC314" i="45"/>
  <c r="BB314" i="45"/>
  <c r="BA314" i="45"/>
  <c r="AZ314" i="45"/>
  <c r="AY314" i="45"/>
  <c r="AX314" i="45"/>
  <c r="AW314" i="45"/>
  <c r="AV314" i="45"/>
  <c r="AU314" i="45"/>
  <c r="AT314" i="45"/>
  <c r="CC305" i="45"/>
  <c r="CB305" i="45"/>
  <c r="CA305" i="45"/>
  <c r="BZ305" i="45"/>
  <c r="BY305" i="45"/>
  <c r="BX305" i="45"/>
  <c r="BW305" i="45"/>
  <c r="BV305" i="45"/>
  <c r="BU305" i="45"/>
  <c r="BT305" i="45"/>
  <c r="BS305" i="45"/>
  <c r="BR305" i="45"/>
  <c r="BQ305" i="45"/>
  <c r="BP305" i="45"/>
  <c r="BO305" i="45"/>
  <c r="BN305" i="45"/>
  <c r="BM305" i="45"/>
  <c r="BL305" i="45"/>
  <c r="BK305" i="45"/>
  <c r="BJ305" i="45"/>
  <c r="BI305" i="45"/>
  <c r="BH305" i="45"/>
  <c r="BG305" i="45"/>
  <c r="BF305" i="45"/>
  <c r="BE305" i="45"/>
  <c r="BD305" i="45"/>
  <c r="BC305" i="45"/>
  <c r="BB305" i="45"/>
  <c r="BA305" i="45"/>
  <c r="AZ305" i="45"/>
  <c r="AY305" i="45"/>
  <c r="AX305" i="45"/>
  <c r="AW305" i="45"/>
  <c r="AV305" i="45"/>
  <c r="AU305" i="45"/>
  <c r="AT305" i="45"/>
  <c r="CC304" i="45"/>
  <c r="CB304" i="45"/>
  <c r="CA304" i="45"/>
  <c r="BZ304" i="45"/>
  <c r="BY304" i="45"/>
  <c r="BX304" i="45"/>
  <c r="BW304" i="45"/>
  <c r="BV304" i="45"/>
  <c r="BU304" i="45"/>
  <c r="BT304" i="45"/>
  <c r="BS304" i="45"/>
  <c r="BR304" i="45"/>
  <c r="BQ304" i="45"/>
  <c r="BP304" i="45"/>
  <c r="BO304" i="45"/>
  <c r="BN304" i="45"/>
  <c r="BM304" i="45"/>
  <c r="BL304" i="45"/>
  <c r="BK304" i="45"/>
  <c r="BJ304" i="45"/>
  <c r="BI304" i="45"/>
  <c r="BH304" i="45"/>
  <c r="BG304" i="45"/>
  <c r="BF304" i="45"/>
  <c r="BE304" i="45"/>
  <c r="BD304" i="45"/>
  <c r="BC304" i="45"/>
  <c r="BB304" i="45"/>
  <c r="BA304" i="45"/>
  <c r="AZ304" i="45"/>
  <c r="AY304" i="45"/>
  <c r="AX304" i="45"/>
  <c r="AW304" i="45"/>
  <c r="AV304" i="45"/>
  <c r="AU304" i="45"/>
  <c r="AT304" i="45"/>
  <c r="CC303" i="45"/>
  <c r="CB303" i="45"/>
  <c r="CA303" i="45"/>
  <c r="BZ303" i="45"/>
  <c r="BY303" i="45"/>
  <c r="BX303" i="45"/>
  <c r="BW303" i="45"/>
  <c r="BV303" i="45"/>
  <c r="BU303" i="45"/>
  <c r="BT303" i="45"/>
  <c r="BS303" i="45"/>
  <c r="BR303" i="45"/>
  <c r="BQ303" i="45"/>
  <c r="BP303" i="45"/>
  <c r="BO303" i="45"/>
  <c r="BN303" i="45"/>
  <c r="BM303" i="45"/>
  <c r="BL303" i="45"/>
  <c r="BK303" i="45"/>
  <c r="BJ303" i="45"/>
  <c r="BI303" i="45"/>
  <c r="BH303" i="45"/>
  <c r="BG303" i="45"/>
  <c r="BF303" i="45"/>
  <c r="BE303" i="45"/>
  <c r="BD303" i="45"/>
  <c r="BC303" i="45"/>
  <c r="BB303" i="45"/>
  <c r="BA303" i="45"/>
  <c r="AZ303" i="45"/>
  <c r="AY303" i="45"/>
  <c r="AX303" i="45"/>
  <c r="AW303" i="45"/>
  <c r="AV303" i="45"/>
  <c r="AU303" i="45"/>
  <c r="AT303" i="45"/>
  <c r="CC302" i="45"/>
  <c r="CB302" i="45"/>
  <c r="CA302" i="45"/>
  <c r="BZ302" i="45"/>
  <c r="BY302" i="45"/>
  <c r="BX302" i="45"/>
  <c r="BW302" i="45"/>
  <c r="BV302" i="45"/>
  <c r="BU302" i="45"/>
  <c r="BT302" i="45"/>
  <c r="BS302" i="45"/>
  <c r="BR302" i="45"/>
  <c r="BQ302" i="45"/>
  <c r="BP302" i="45"/>
  <c r="BO302" i="45"/>
  <c r="BN302" i="45"/>
  <c r="BM302" i="45"/>
  <c r="BL302" i="45"/>
  <c r="BK302" i="45"/>
  <c r="BJ302" i="45"/>
  <c r="BI302" i="45"/>
  <c r="BH302" i="45"/>
  <c r="BG302" i="45"/>
  <c r="BF302" i="45"/>
  <c r="BE302" i="45"/>
  <c r="BD302" i="45"/>
  <c r="BC302" i="45"/>
  <c r="BB302" i="45"/>
  <c r="BA302" i="45"/>
  <c r="AZ302" i="45"/>
  <c r="AY302" i="45"/>
  <c r="AX302" i="45"/>
  <c r="AW302" i="45"/>
  <c r="AV302" i="45"/>
  <c r="AU302" i="45"/>
  <c r="AT302" i="45"/>
  <c r="CC301" i="45"/>
  <c r="CB301" i="45"/>
  <c r="CA301" i="45"/>
  <c r="BZ301" i="45"/>
  <c r="BY301" i="45"/>
  <c r="BX301" i="45"/>
  <c r="BW301" i="45"/>
  <c r="BV301" i="45"/>
  <c r="BU301" i="45"/>
  <c r="BT301" i="45"/>
  <c r="BS301" i="45"/>
  <c r="BR301" i="45"/>
  <c r="BQ301" i="45"/>
  <c r="BP301" i="45"/>
  <c r="BO301" i="45"/>
  <c r="BN301" i="45"/>
  <c r="BM301" i="45"/>
  <c r="BL301" i="45"/>
  <c r="BK301" i="45"/>
  <c r="BJ301" i="45"/>
  <c r="BI301" i="45"/>
  <c r="BH301" i="45"/>
  <c r="BG301" i="45"/>
  <c r="BF301" i="45"/>
  <c r="BE301" i="45"/>
  <c r="BD301" i="45"/>
  <c r="BC301" i="45"/>
  <c r="BB301" i="45"/>
  <c r="BA301" i="45"/>
  <c r="AZ301" i="45"/>
  <c r="AY301" i="45"/>
  <c r="AX301" i="45"/>
  <c r="AW301" i="45"/>
  <c r="AV301" i="45"/>
  <c r="AU301" i="45"/>
  <c r="AT301" i="45"/>
  <c r="CC300" i="45"/>
  <c r="CB300" i="45"/>
  <c r="CA300" i="45"/>
  <c r="BZ300" i="45"/>
  <c r="BY300" i="45"/>
  <c r="BX300" i="45"/>
  <c r="BW300" i="45"/>
  <c r="BV300" i="45"/>
  <c r="BU300" i="45"/>
  <c r="BT300" i="45"/>
  <c r="BS300" i="45"/>
  <c r="BR300" i="45"/>
  <c r="BQ300" i="45"/>
  <c r="BP300" i="45"/>
  <c r="BO300" i="45"/>
  <c r="BN300" i="45"/>
  <c r="BM300" i="45"/>
  <c r="BL300" i="45"/>
  <c r="BK300" i="45"/>
  <c r="BJ300" i="45"/>
  <c r="BI300" i="45"/>
  <c r="BH300" i="45"/>
  <c r="BG300" i="45"/>
  <c r="BF300" i="45"/>
  <c r="BE300" i="45"/>
  <c r="BD300" i="45"/>
  <c r="BC300" i="45"/>
  <c r="BB300" i="45"/>
  <c r="BA300" i="45"/>
  <c r="AZ300" i="45"/>
  <c r="AY300" i="45"/>
  <c r="AX300" i="45"/>
  <c r="AW300" i="45"/>
  <c r="AV300" i="45"/>
  <c r="AU300" i="45"/>
  <c r="AT300" i="45"/>
  <c r="CC299" i="45"/>
  <c r="CB299" i="45"/>
  <c r="CA299" i="45"/>
  <c r="BZ299" i="45"/>
  <c r="BY299" i="45"/>
  <c r="BX299" i="45"/>
  <c r="BW299" i="45"/>
  <c r="BV299" i="45"/>
  <c r="BU299" i="45"/>
  <c r="BT299" i="45"/>
  <c r="BS299" i="45"/>
  <c r="BR299" i="45"/>
  <c r="BQ299" i="45"/>
  <c r="BP299" i="45"/>
  <c r="BO299" i="45"/>
  <c r="BN299" i="45"/>
  <c r="BM299" i="45"/>
  <c r="BL299" i="45"/>
  <c r="BK299" i="45"/>
  <c r="BJ299" i="45"/>
  <c r="BI299" i="45"/>
  <c r="BH299" i="45"/>
  <c r="BG299" i="45"/>
  <c r="BF299" i="45"/>
  <c r="BE299" i="45"/>
  <c r="BD299" i="45"/>
  <c r="BC299" i="45"/>
  <c r="BB299" i="45"/>
  <c r="BA299" i="45"/>
  <c r="AZ299" i="45"/>
  <c r="AY299" i="45"/>
  <c r="AX299" i="45"/>
  <c r="AW299" i="45"/>
  <c r="AV299" i="45"/>
  <c r="AU299" i="45"/>
  <c r="AT299" i="45"/>
  <c r="CC298" i="45"/>
  <c r="CB298" i="45"/>
  <c r="CA298" i="45"/>
  <c r="BZ298" i="45"/>
  <c r="BY298" i="45"/>
  <c r="BX298" i="45"/>
  <c r="BW298" i="45"/>
  <c r="BV298" i="45"/>
  <c r="BU298" i="45"/>
  <c r="BT298" i="45"/>
  <c r="BS298" i="45"/>
  <c r="BR298" i="45"/>
  <c r="BQ298" i="45"/>
  <c r="BP298" i="45"/>
  <c r="BO298" i="45"/>
  <c r="BN298" i="45"/>
  <c r="BM298" i="45"/>
  <c r="BL298" i="45"/>
  <c r="BK298" i="45"/>
  <c r="BJ298" i="45"/>
  <c r="BI298" i="45"/>
  <c r="BH298" i="45"/>
  <c r="BG298" i="45"/>
  <c r="BF298" i="45"/>
  <c r="BE298" i="45"/>
  <c r="BD298" i="45"/>
  <c r="BC298" i="45"/>
  <c r="BB298" i="45"/>
  <c r="BA298" i="45"/>
  <c r="AZ298" i="45"/>
  <c r="AY298" i="45"/>
  <c r="AX298" i="45"/>
  <c r="AW298" i="45"/>
  <c r="AV298" i="45"/>
  <c r="AU298" i="45"/>
  <c r="AT298" i="45"/>
  <c r="CC289" i="45"/>
  <c r="CB289" i="45"/>
  <c r="CA289" i="45"/>
  <c r="BZ289" i="45"/>
  <c r="BY289" i="45"/>
  <c r="BX289" i="45"/>
  <c r="BW289" i="45"/>
  <c r="BV289" i="45"/>
  <c r="BU289" i="45"/>
  <c r="BT289" i="45"/>
  <c r="BS289" i="45"/>
  <c r="BR289" i="45"/>
  <c r="BQ289" i="45"/>
  <c r="BP289" i="45"/>
  <c r="BO289" i="45"/>
  <c r="BN289" i="45"/>
  <c r="BM289" i="45"/>
  <c r="BL289" i="45"/>
  <c r="BK289" i="45"/>
  <c r="BJ289" i="45"/>
  <c r="BI289" i="45"/>
  <c r="BH289" i="45"/>
  <c r="BG289" i="45"/>
  <c r="BF289" i="45"/>
  <c r="BE289" i="45"/>
  <c r="BD289" i="45"/>
  <c r="BC289" i="45"/>
  <c r="BB289" i="45"/>
  <c r="BA289" i="45"/>
  <c r="AZ289" i="45"/>
  <c r="AY289" i="45"/>
  <c r="AX289" i="45"/>
  <c r="AW289" i="45"/>
  <c r="AV289" i="45"/>
  <c r="AU289" i="45"/>
  <c r="AT289" i="45"/>
  <c r="CC288" i="45"/>
  <c r="CB288" i="45"/>
  <c r="CA288" i="45"/>
  <c r="BZ288" i="45"/>
  <c r="BY288" i="45"/>
  <c r="BX288" i="45"/>
  <c r="BW288" i="45"/>
  <c r="BV288" i="45"/>
  <c r="BU288" i="45"/>
  <c r="BT288" i="45"/>
  <c r="BS288" i="45"/>
  <c r="BR288" i="45"/>
  <c r="BQ288" i="45"/>
  <c r="BP288" i="45"/>
  <c r="BO288" i="45"/>
  <c r="BN288" i="45"/>
  <c r="BM288" i="45"/>
  <c r="BL288" i="45"/>
  <c r="BK288" i="45"/>
  <c r="BJ288" i="45"/>
  <c r="BI288" i="45"/>
  <c r="BH288" i="45"/>
  <c r="BG288" i="45"/>
  <c r="BF288" i="45"/>
  <c r="BE288" i="45"/>
  <c r="BD288" i="45"/>
  <c r="BC288" i="45"/>
  <c r="BB288" i="45"/>
  <c r="BA288" i="45"/>
  <c r="AZ288" i="45"/>
  <c r="AY288" i="45"/>
  <c r="AX288" i="45"/>
  <c r="AW288" i="45"/>
  <c r="AV288" i="45"/>
  <c r="AU288" i="45"/>
  <c r="AT288" i="45"/>
  <c r="CC287" i="45"/>
  <c r="CB287" i="45"/>
  <c r="CA287" i="45"/>
  <c r="BZ287" i="45"/>
  <c r="BY287" i="45"/>
  <c r="BX287" i="45"/>
  <c r="BW287" i="45"/>
  <c r="BV287" i="45"/>
  <c r="BU287" i="45"/>
  <c r="BT287" i="45"/>
  <c r="BS287" i="45"/>
  <c r="BR287" i="45"/>
  <c r="BQ287" i="45"/>
  <c r="BP287" i="45"/>
  <c r="BO287" i="45"/>
  <c r="BN287" i="45"/>
  <c r="BM287" i="45"/>
  <c r="BL287" i="45"/>
  <c r="BK287" i="45"/>
  <c r="BJ287" i="45"/>
  <c r="BI287" i="45"/>
  <c r="BH287" i="45"/>
  <c r="BG287" i="45"/>
  <c r="BF287" i="45"/>
  <c r="BE287" i="45"/>
  <c r="BD287" i="45"/>
  <c r="BC287" i="45"/>
  <c r="BB287" i="45"/>
  <c r="BA287" i="45"/>
  <c r="AZ287" i="45"/>
  <c r="AY287" i="45"/>
  <c r="AX287" i="45"/>
  <c r="AW287" i="45"/>
  <c r="AV287" i="45"/>
  <c r="AU287" i="45"/>
  <c r="AT287" i="45"/>
  <c r="CC286" i="45"/>
  <c r="CB286" i="45"/>
  <c r="CA286" i="45"/>
  <c r="BZ286" i="45"/>
  <c r="BY286" i="45"/>
  <c r="BX286" i="45"/>
  <c r="BW286" i="45"/>
  <c r="BV286" i="45"/>
  <c r="BU286" i="45"/>
  <c r="BT286" i="45"/>
  <c r="BS286" i="45"/>
  <c r="BR286" i="45"/>
  <c r="BQ286" i="45"/>
  <c r="BP286" i="45"/>
  <c r="BO286" i="45"/>
  <c r="BN286" i="45"/>
  <c r="BM286" i="45"/>
  <c r="BL286" i="45"/>
  <c r="BK286" i="45"/>
  <c r="BJ286" i="45"/>
  <c r="BI286" i="45"/>
  <c r="BH286" i="45"/>
  <c r="BG286" i="45"/>
  <c r="BF286" i="45"/>
  <c r="BE286" i="45"/>
  <c r="BD286" i="45"/>
  <c r="BC286" i="45"/>
  <c r="BB286" i="45"/>
  <c r="BA286" i="45"/>
  <c r="AZ286" i="45"/>
  <c r="AY286" i="45"/>
  <c r="AX286" i="45"/>
  <c r="AW286" i="45"/>
  <c r="AV286" i="45"/>
  <c r="AU286" i="45"/>
  <c r="AT286" i="45"/>
  <c r="CC285" i="45"/>
  <c r="CB285" i="45"/>
  <c r="CA285" i="45"/>
  <c r="BZ285" i="45"/>
  <c r="BY285" i="45"/>
  <c r="BX285" i="45"/>
  <c r="BW285" i="45"/>
  <c r="BV285" i="45"/>
  <c r="BU285" i="45"/>
  <c r="BT285" i="45"/>
  <c r="BS285" i="45"/>
  <c r="BR285" i="45"/>
  <c r="BQ285" i="45"/>
  <c r="BP285" i="45"/>
  <c r="BO285" i="45"/>
  <c r="BN285" i="45"/>
  <c r="BM285" i="45"/>
  <c r="BL285" i="45"/>
  <c r="BK285" i="45"/>
  <c r="BJ285" i="45"/>
  <c r="BI285" i="45"/>
  <c r="BH285" i="45"/>
  <c r="BG285" i="45"/>
  <c r="BF285" i="45"/>
  <c r="BE285" i="45"/>
  <c r="BD285" i="45"/>
  <c r="BC285" i="45"/>
  <c r="BB285" i="45"/>
  <c r="BA285" i="45"/>
  <c r="AZ285" i="45"/>
  <c r="AY285" i="45"/>
  <c r="AX285" i="45"/>
  <c r="AW285" i="45"/>
  <c r="AV285" i="45"/>
  <c r="AU285" i="45"/>
  <c r="AT285" i="45"/>
  <c r="CC284" i="45"/>
  <c r="CB284" i="45"/>
  <c r="CA284" i="45"/>
  <c r="BZ284" i="45"/>
  <c r="BY284" i="45"/>
  <c r="BX284" i="45"/>
  <c r="BW284" i="45"/>
  <c r="BV284" i="45"/>
  <c r="BU284" i="45"/>
  <c r="BT284" i="45"/>
  <c r="BS284" i="45"/>
  <c r="BR284" i="45"/>
  <c r="BQ284" i="45"/>
  <c r="BP284" i="45"/>
  <c r="BO284" i="45"/>
  <c r="BN284" i="45"/>
  <c r="BM284" i="45"/>
  <c r="BL284" i="45"/>
  <c r="BK284" i="45"/>
  <c r="BJ284" i="45"/>
  <c r="BI284" i="45"/>
  <c r="BH284" i="45"/>
  <c r="BG284" i="45"/>
  <c r="BF284" i="45"/>
  <c r="BE284" i="45"/>
  <c r="BD284" i="45"/>
  <c r="BC284" i="45"/>
  <c r="BB284" i="45"/>
  <c r="BA284" i="45"/>
  <c r="AZ284" i="45"/>
  <c r="AY284" i="45"/>
  <c r="AX284" i="45"/>
  <c r="AW284" i="45"/>
  <c r="AV284" i="45"/>
  <c r="AU284" i="45"/>
  <c r="AT284" i="45"/>
  <c r="CC283" i="45"/>
  <c r="CB283" i="45"/>
  <c r="CA283" i="45"/>
  <c r="BZ283" i="45"/>
  <c r="BY283" i="45"/>
  <c r="BX283" i="45"/>
  <c r="BW283" i="45"/>
  <c r="BV283" i="45"/>
  <c r="BU283" i="45"/>
  <c r="BT283" i="45"/>
  <c r="BS283" i="45"/>
  <c r="BR283" i="45"/>
  <c r="BQ283" i="45"/>
  <c r="BP283" i="45"/>
  <c r="BO283" i="45"/>
  <c r="BN283" i="45"/>
  <c r="BM283" i="45"/>
  <c r="BL283" i="45"/>
  <c r="BK283" i="45"/>
  <c r="BJ283" i="45"/>
  <c r="BI283" i="45"/>
  <c r="BH283" i="45"/>
  <c r="BG283" i="45"/>
  <c r="BF283" i="45"/>
  <c r="BE283" i="45"/>
  <c r="BD283" i="45"/>
  <c r="BC283" i="45"/>
  <c r="BB283" i="45"/>
  <c r="BA283" i="45"/>
  <c r="AZ283" i="45"/>
  <c r="AY283" i="45"/>
  <c r="AX283" i="45"/>
  <c r="AW283" i="45"/>
  <c r="AV283" i="45"/>
  <c r="AU283" i="45"/>
  <c r="AT283" i="45"/>
  <c r="CC282" i="45"/>
  <c r="CB282" i="45"/>
  <c r="CA282" i="45"/>
  <c r="BZ282" i="45"/>
  <c r="BY282" i="45"/>
  <c r="BX282" i="45"/>
  <c r="BW282" i="45"/>
  <c r="BV282" i="45"/>
  <c r="BU282" i="45"/>
  <c r="BT282" i="45"/>
  <c r="BS282" i="45"/>
  <c r="BR282" i="45"/>
  <c r="BQ282" i="45"/>
  <c r="BP282" i="45"/>
  <c r="BO282" i="45"/>
  <c r="BN282" i="45"/>
  <c r="BM282" i="45"/>
  <c r="BL282" i="45"/>
  <c r="BK282" i="45"/>
  <c r="BJ282" i="45"/>
  <c r="BI282" i="45"/>
  <c r="BH282" i="45"/>
  <c r="BG282" i="45"/>
  <c r="BF282" i="45"/>
  <c r="BE282" i="45"/>
  <c r="BD282" i="45"/>
  <c r="BC282" i="45"/>
  <c r="BB282" i="45"/>
  <c r="BA282" i="45"/>
  <c r="AZ282" i="45"/>
  <c r="AY282" i="45"/>
  <c r="AX282" i="45"/>
  <c r="AW282" i="45"/>
  <c r="AV282" i="45"/>
  <c r="AU282" i="45"/>
  <c r="AT282" i="45"/>
  <c r="CC273" i="45"/>
  <c r="CB273" i="45"/>
  <c r="CA273" i="45"/>
  <c r="BZ273" i="45"/>
  <c r="BY273" i="45"/>
  <c r="BX273" i="45"/>
  <c r="BW273" i="45"/>
  <c r="BV273" i="45"/>
  <c r="BU273" i="45"/>
  <c r="BT273" i="45"/>
  <c r="BS273" i="45"/>
  <c r="BR273" i="45"/>
  <c r="BQ273" i="45"/>
  <c r="BP273" i="45"/>
  <c r="BO273" i="45"/>
  <c r="BN273" i="45"/>
  <c r="BM273" i="45"/>
  <c r="BL273" i="45"/>
  <c r="BK273" i="45"/>
  <c r="BJ273" i="45"/>
  <c r="BI273" i="45"/>
  <c r="BH273" i="45"/>
  <c r="BG273" i="45"/>
  <c r="BF273" i="45"/>
  <c r="BE273" i="45"/>
  <c r="BD273" i="45"/>
  <c r="BC273" i="45"/>
  <c r="BB273" i="45"/>
  <c r="BA273" i="45"/>
  <c r="AZ273" i="45"/>
  <c r="AY273" i="45"/>
  <c r="AX273" i="45"/>
  <c r="AW273" i="45"/>
  <c r="AV273" i="45"/>
  <c r="AU273" i="45"/>
  <c r="AT273" i="45"/>
  <c r="CC272" i="45"/>
  <c r="CB272" i="45"/>
  <c r="CA272" i="45"/>
  <c r="BZ272" i="45"/>
  <c r="BY272" i="45"/>
  <c r="BX272" i="45"/>
  <c r="BW272" i="45"/>
  <c r="BV272" i="45"/>
  <c r="BU272" i="45"/>
  <c r="BT272" i="45"/>
  <c r="BS272" i="45"/>
  <c r="BR272" i="45"/>
  <c r="BQ272" i="45"/>
  <c r="BP272" i="45"/>
  <c r="BO272" i="45"/>
  <c r="BN272" i="45"/>
  <c r="BM272" i="45"/>
  <c r="BL272" i="45"/>
  <c r="BK272" i="45"/>
  <c r="BJ272" i="45"/>
  <c r="BI272" i="45"/>
  <c r="BH272" i="45"/>
  <c r="BG272" i="45"/>
  <c r="BF272" i="45"/>
  <c r="BE272" i="45"/>
  <c r="BD272" i="45"/>
  <c r="BC272" i="45"/>
  <c r="BB272" i="45"/>
  <c r="BA272" i="45"/>
  <c r="AZ272" i="45"/>
  <c r="AY272" i="45"/>
  <c r="AX272" i="45"/>
  <c r="AW272" i="45"/>
  <c r="AV272" i="45"/>
  <c r="AU272" i="45"/>
  <c r="AT272" i="45"/>
  <c r="CC271" i="45"/>
  <c r="CB271" i="45"/>
  <c r="CA271" i="45"/>
  <c r="BZ271" i="45"/>
  <c r="BY271" i="45"/>
  <c r="BX271" i="45"/>
  <c r="BW271" i="45"/>
  <c r="BV271" i="45"/>
  <c r="BU271" i="45"/>
  <c r="BT271" i="45"/>
  <c r="BS271" i="45"/>
  <c r="BR271" i="45"/>
  <c r="BQ271" i="45"/>
  <c r="BP271" i="45"/>
  <c r="BO271" i="45"/>
  <c r="BN271" i="45"/>
  <c r="BM271" i="45"/>
  <c r="BL271" i="45"/>
  <c r="BK271" i="45"/>
  <c r="BJ271" i="45"/>
  <c r="BI271" i="45"/>
  <c r="BH271" i="45"/>
  <c r="BG271" i="45"/>
  <c r="BF271" i="45"/>
  <c r="BE271" i="45"/>
  <c r="BD271" i="45"/>
  <c r="BC271" i="45"/>
  <c r="BB271" i="45"/>
  <c r="BA271" i="45"/>
  <c r="AZ271" i="45"/>
  <c r="AY271" i="45"/>
  <c r="AX271" i="45"/>
  <c r="AW271" i="45"/>
  <c r="AV271" i="45"/>
  <c r="AU271" i="45"/>
  <c r="AT271" i="45"/>
  <c r="CC270" i="45"/>
  <c r="CB270" i="45"/>
  <c r="CA270" i="45"/>
  <c r="BZ270" i="45"/>
  <c r="BY270" i="45"/>
  <c r="BX270" i="45"/>
  <c r="BW270" i="45"/>
  <c r="BV270" i="45"/>
  <c r="BU270" i="45"/>
  <c r="BT270" i="45"/>
  <c r="BS270" i="45"/>
  <c r="BR270" i="45"/>
  <c r="BQ270" i="45"/>
  <c r="BP270" i="45"/>
  <c r="BO270" i="45"/>
  <c r="BN270" i="45"/>
  <c r="BM270" i="45"/>
  <c r="BL270" i="45"/>
  <c r="BK270" i="45"/>
  <c r="BJ270" i="45"/>
  <c r="BI270" i="45"/>
  <c r="BH270" i="45"/>
  <c r="BG270" i="45"/>
  <c r="BF270" i="45"/>
  <c r="BE270" i="45"/>
  <c r="BD270" i="45"/>
  <c r="BC270" i="45"/>
  <c r="BB270" i="45"/>
  <c r="BA270" i="45"/>
  <c r="AZ270" i="45"/>
  <c r="AY270" i="45"/>
  <c r="AX270" i="45"/>
  <c r="AW270" i="45"/>
  <c r="AV270" i="45"/>
  <c r="AU270" i="45"/>
  <c r="AT270" i="45"/>
  <c r="CC269" i="45"/>
  <c r="CB269" i="45"/>
  <c r="CA269" i="45"/>
  <c r="BZ269" i="45"/>
  <c r="BY269" i="45"/>
  <c r="BX269" i="45"/>
  <c r="BW269" i="45"/>
  <c r="BV269" i="45"/>
  <c r="BU269" i="45"/>
  <c r="BT269" i="45"/>
  <c r="BS269" i="45"/>
  <c r="BR269" i="45"/>
  <c r="BQ269" i="45"/>
  <c r="BP269" i="45"/>
  <c r="BO269" i="45"/>
  <c r="BN269" i="45"/>
  <c r="BM269" i="45"/>
  <c r="BL269" i="45"/>
  <c r="BK269" i="45"/>
  <c r="BJ269" i="45"/>
  <c r="BI269" i="45"/>
  <c r="BH269" i="45"/>
  <c r="BG269" i="45"/>
  <c r="BF269" i="45"/>
  <c r="BE269" i="45"/>
  <c r="BD269" i="45"/>
  <c r="BC269" i="45"/>
  <c r="BB269" i="45"/>
  <c r="BA269" i="45"/>
  <c r="AZ269" i="45"/>
  <c r="AY269" i="45"/>
  <c r="AX269" i="45"/>
  <c r="AW269" i="45"/>
  <c r="AV269" i="45"/>
  <c r="AU269" i="45"/>
  <c r="AT269" i="45"/>
  <c r="CC268" i="45"/>
  <c r="CB268" i="45"/>
  <c r="CA268" i="45"/>
  <c r="BZ268" i="45"/>
  <c r="BY268" i="45"/>
  <c r="BX268" i="45"/>
  <c r="BW268" i="45"/>
  <c r="BV268" i="45"/>
  <c r="BU268" i="45"/>
  <c r="BT268" i="45"/>
  <c r="BS268" i="45"/>
  <c r="BR268" i="45"/>
  <c r="BQ268" i="45"/>
  <c r="BP268" i="45"/>
  <c r="BO268" i="45"/>
  <c r="BN268" i="45"/>
  <c r="BM268" i="45"/>
  <c r="BL268" i="45"/>
  <c r="BK268" i="45"/>
  <c r="BJ268" i="45"/>
  <c r="BI268" i="45"/>
  <c r="BH268" i="45"/>
  <c r="BG268" i="45"/>
  <c r="BF268" i="45"/>
  <c r="BE268" i="45"/>
  <c r="BD268" i="45"/>
  <c r="BC268" i="45"/>
  <c r="BB268" i="45"/>
  <c r="BA268" i="45"/>
  <c r="AZ268" i="45"/>
  <c r="AY268" i="45"/>
  <c r="AX268" i="45"/>
  <c r="AW268" i="45"/>
  <c r="AV268" i="45"/>
  <c r="AU268" i="45"/>
  <c r="AT268" i="45"/>
  <c r="CC267" i="45"/>
  <c r="CB267" i="45"/>
  <c r="CA267" i="45"/>
  <c r="BZ267" i="45"/>
  <c r="BY267" i="45"/>
  <c r="BX267" i="45"/>
  <c r="BW267" i="45"/>
  <c r="BV267" i="45"/>
  <c r="BU267" i="45"/>
  <c r="BT267" i="45"/>
  <c r="BS267" i="45"/>
  <c r="BR267" i="45"/>
  <c r="BQ267" i="45"/>
  <c r="BP267" i="45"/>
  <c r="BO267" i="45"/>
  <c r="BN267" i="45"/>
  <c r="BM267" i="45"/>
  <c r="BL267" i="45"/>
  <c r="BK267" i="45"/>
  <c r="BJ267" i="45"/>
  <c r="BI267" i="45"/>
  <c r="BH267" i="45"/>
  <c r="BG267" i="45"/>
  <c r="BF267" i="45"/>
  <c r="BE267" i="45"/>
  <c r="BD267" i="45"/>
  <c r="BC267" i="45"/>
  <c r="BB267" i="45"/>
  <c r="BA267" i="45"/>
  <c r="AZ267" i="45"/>
  <c r="AY267" i="45"/>
  <c r="AX267" i="45"/>
  <c r="AW267" i="45"/>
  <c r="AV267" i="45"/>
  <c r="AU267" i="45"/>
  <c r="AT267" i="45"/>
  <c r="CC266" i="45"/>
  <c r="CB266" i="45"/>
  <c r="CA266" i="45"/>
  <c r="BZ266" i="45"/>
  <c r="BY266" i="45"/>
  <c r="BX266" i="45"/>
  <c r="BW266" i="45"/>
  <c r="BV266" i="45"/>
  <c r="BU266" i="45"/>
  <c r="BT266" i="45"/>
  <c r="BS266" i="45"/>
  <c r="BR266" i="45"/>
  <c r="BQ266" i="45"/>
  <c r="BP266" i="45"/>
  <c r="BO266" i="45"/>
  <c r="BN266" i="45"/>
  <c r="BM266" i="45"/>
  <c r="BL266" i="45"/>
  <c r="BK266" i="45"/>
  <c r="BJ266" i="45"/>
  <c r="BI266" i="45"/>
  <c r="BH266" i="45"/>
  <c r="BG266" i="45"/>
  <c r="BF266" i="45"/>
  <c r="BE266" i="45"/>
  <c r="BD266" i="45"/>
  <c r="BC266" i="45"/>
  <c r="BB266" i="45"/>
  <c r="BA266" i="45"/>
  <c r="AZ266" i="45"/>
  <c r="AY266" i="45"/>
  <c r="AX266" i="45"/>
  <c r="AW266" i="45"/>
  <c r="AV266" i="45"/>
  <c r="AU266" i="45"/>
  <c r="AT266" i="45"/>
  <c r="CC257" i="45"/>
  <c r="CB257" i="45"/>
  <c r="CA257" i="45"/>
  <c r="BZ257" i="45"/>
  <c r="BY257" i="45"/>
  <c r="BX257" i="45"/>
  <c r="BW257" i="45"/>
  <c r="BV257" i="45"/>
  <c r="BU257" i="45"/>
  <c r="BT257" i="45"/>
  <c r="BS257" i="45"/>
  <c r="BR257" i="45"/>
  <c r="BQ257" i="45"/>
  <c r="BP257" i="45"/>
  <c r="BO257" i="45"/>
  <c r="BN257" i="45"/>
  <c r="BM257" i="45"/>
  <c r="BL257" i="45"/>
  <c r="BK257" i="45"/>
  <c r="BJ257" i="45"/>
  <c r="BI257" i="45"/>
  <c r="BH257" i="45"/>
  <c r="BG257" i="45"/>
  <c r="BF257" i="45"/>
  <c r="BE257" i="45"/>
  <c r="BD257" i="45"/>
  <c r="BC257" i="45"/>
  <c r="BB257" i="45"/>
  <c r="BA257" i="45"/>
  <c r="AZ257" i="45"/>
  <c r="AY257" i="45"/>
  <c r="AX257" i="45"/>
  <c r="AW257" i="45"/>
  <c r="AV257" i="45"/>
  <c r="AU257" i="45"/>
  <c r="AT257" i="45"/>
  <c r="CC256" i="45"/>
  <c r="CB256" i="45"/>
  <c r="CA256" i="45"/>
  <c r="BZ256" i="45"/>
  <c r="BY256" i="45"/>
  <c r="BX256" i="45"/>
  <c r="BW256" i="45"/>
  <c r="BV256" i="45"/>
  <c r="BU256" i="45"/>
  <c r="BT256" i="45"/>
  <c r="BS256" i="45"/>
  <c r="BR256" i="45"/>
  <c r="BQ256" i="45"/>
  <c r="BP256" i="45"/>
  <c r="BO256" i="45"/>
  <c r="BN256" i="45"/>
  <c r="BM256" i="45"/>
  <c r="BL256" i="45"/>
  <c r="BK256" i="45"/>
  <c r="BJ256" i="45"/>
  <c r="BI256" i="45"/>
  <c r="BH256" i="45"/>
  <c r="BG256" i="45"/>
  <c r="BF256" i="45"/>
  <c r="BE256" i="45"/>
  <c r="BD256" i="45"/>
  <c r="BC256" i="45"/>
  <c r="BB256" i="45"/>
  <c r="BA256" i="45"/>
  <c r="AZ256" i="45"/>
  <c r="AY256" i="45"/>
  <c r="AX256" i="45"/>
  <c r="AW256" i="45"/>
  <c r="AV256" i="45"/>
  <c r="AU256" i="45"/>
  <c r="AT256" i="45"/>
  <c r="CC255" i="45"/>
  <c r="CB255" i="45"/>
  <c r="CA255" i="45"/>
  <c r="BZ255" i="45"/>
  <c r="BY255" i="45"/>
  <c r="BX255" i="45"/>
  <c r="BW255" i="45"/>
  <c r="BV255" i="45"/>
  <c r="BU255" i="45"/>
  <c r="BT255" i="45"/>
  <c r="BS255" i="45"/>
  <c r="BR255" i="45"/>
  <c r="BQ255" i="45"/>
  <c r="BP255" i="45"/>
  <c r="BO255" i="45"/>
  <c r="BN255" i="45"/>
  <c r="BM255" i="45"/>
  <c r="BL255" i="45"/>
  <c r="BK255" i="45"/>
  <c r="BJ255" i="45"/>
  <c r="BI255" i="45"/>
  <c r="BH255" i="45"/>
  <c r="BG255" i="45"/>
  <c r="BF255" i="45"/>
  <c r="BE255" i="45"/>
  <c r="BD255" i="45"/>
  <c r="BC255" i="45"/>
  <c r="BB255" i="45"/>
  <c r="BA255" i="45"/>
  <c r="AZ255" i="45"/>
  <c r="AY255" i="45"/>
  <c r="AX255" i="45"/>
  <c r="AW255" i="45"/>
  <c r="AV255" i="45"/>
  <c r="AU255" i="45"/>
  <c r="AT255" i="45"/>
  <c r="CC254" i="45"/>
  <c r="CB254" i="45"/>
  <c r="CA254" i="45"/>
  <c r="BZ254" i="45"/>
  <c r="BY254" i="45"/>
  <c r="BX254" i="45"/>
  <c r="BW254" i="45"/>
  <c r="BV254" i="45"/>
  <c r="BU254" i="45"/>
  <c r="BT254" i="45"/>
  <c r="BS254" i="45"/>
  <c r="BR254" i="45"/>
  <c r="BQ254" i="45"/>
  <c r="BP254" i="45"/>
  <c r="BO254" i="45"/>
  <c r="BN254" i="45"/>
  <c r="BM254" i="45"/>
  <c r="BL254" i="45"/>
  <c r="BK254" i="45"/>
  <c r="BJ254" i="45"/>
  <c r="BI254" i="45"/>
  <c r="BH254" i="45"/>
  <c r="BG254" i="45"/>
  <c r="BF254" i="45"/>
  <c r="BE254" i="45"/>
  <c r="BD254" i="45"/>
  <c r="BC254" i="45"/>
  <c r="BB254" i="45"/>
  <c r="BA254" i="45"/>
  <c r="AZ254" i="45"/>
  <c r="AY254" i="45"/>
  <c r="AX254" i="45"/>
  <c r="AW254" i="45"/>
  <c r="AV254" i="45"/>
  <c r="AU254" i="45"/>
  <c r="AT254" i="45"/>
  <c r="CC253" i="45"/>
  <c r="CB253" i="45"/>
  <c r="CA253" i="45"/>
  <c r="BZ253" i="45"/>
  <c r="BY253" i="45"/>
  <c r="BX253" i="45"/>
  <c r="BW253" i="45"/>
  <c r="BV253" i="45"/>
  <c r="BU253" i="45"/>
  <c r="BT253" i="45"/>
  <c r="BS253" i="45"/>
  <c r="BR253" i="45"/>
  <c r="BQ253" i="45"/>
  <c r="BP253" i="45"/>
  <c r="BO253" i="45"/>
  <c r="BN253" i="45"/>
  <c r="BM253" i="45"/>
  <c r="BL253" i="45"/>
  <c r="BK253" i="45"/>
  <c r="BJ253" i="45"/>
  <c r="BI253" i="45"/>
  <c r="BH253" i="45"/>
  <c r="BG253" i="45"/>
  <c r="BF253" i="45"/>
  <c r="BE253" i="45"/>
  <c r="BD253" i="45"/>
  <c r="BC253" i="45"/>
  <c r="BB253" i="45"/>
  <c r="BA253" i="45"/>
  <c r="AZ253" i="45"/>
  <c r="AY253" i="45"/>
  <c r="AX253" i="45"/>
  <c r="AW253" i="45"/>
  <c r="AV253" i="45"/>
  <c r="AU253" i="45"/>
  <c r="AT253" i="45"/>
  <c r="CC252" i="45"/>
  <c r="CB252" i="45"/>
  <c r="CA252" i="45"/>
  <c r="BZ252" i="45"/>
  <c r="BY252" i="45"/>
  <c r="BX252" i="45"/>
  <c r="BW252" i="45"/>
  <c r="BV252" i="45"/>
  <c r="BU252" i="45"/>
  <c r="BT252" i="45"/>
  <c r="BS252" i="45"/>
  <c r="BR252" i="45"/>
  <c r="BQ252" i="45"/>
  <c r="BP252" i="45"/>
  <c r="BO252" i="45"/>
  <c r="BN252" i="45"/>
  <c r="BM252" i="45"/>
  <c r="BL252" i="45"/>
  <c r="BK252" i="45"/>
  <c r="BJ252" i="45"/>
  <c r="BI252" i="45"/>
  <c r="BH252" i="45"/>
  <c r="BG252" i="45"/>
  <c r="BF252" i="45"/>
  <c r="BE252" i="45"/>
  <c r="BD252" i="45"/>
  <c r="BC252" i="45"/>
  <c r="BB252" i="45"/>
  <c r="BA252" i="45"/>
  <c r="AZ252" i="45"/>
  <c r="AY252" i="45"/>
  <c r="AX252" i="45"/>
  <c r="AW252" i="45"/>
  <c r="AV252" i="45"/>
  <c r="AU252" i="45"/>
  <c r="AT252" i="45"/>
  <c r="CC251" i="45"/>
  <c r="CB251" i="45"/>
  <c r="CA251" i="45"/>
  <c r="BZ251" i="45"/>
  <c r="BY251" i="45"/>
  <c r="BX251" i="45"/>
  <c r="BW251" i="45"/>
  <c r="BV251" i="45"/>
  <c r="BU251" i="45"/>
  <c r="BT251" i="45"/>
  <c r="BS251" i="45"/>
  <c r="BR251" i="45"/>
  <c r="BQ251" i="45"/>
  <c r="BP251" i="45"/>
  <c r="BO251" i="45"/>
  <c r="BN251" i="45"/>
  <c r="BM251" i="45"/>
  <c r="BL251" i="45"/>
  <c r="BK251" i="45"/>
  <c r="BJ251" i="45"/>
  <c r="BI251" i="45"/>
  <c r="BH251" i="45"/>
  <c r="BG251" i="45"/>
  <c r="BF251" i="45"/>
  <c r="BE251" i="45"/>
  <c r="BD251" i="45"/>
  <c r="BC251" i="45"/>
  <c r="BB251" i="45"/>
  <c r="BA251" i="45"/>
  <c r="AZ251" i="45"/>
  <c r="AY251" i="45"/>
  <c r="AX251" i="45"/>
  <c r="AW251" i="45"/>
  <c r="AV251" i="45"/>
  <c r="AU251" i="45"/>
  <c r="AT251" i="45"/>
  <c r="CC250" i="45"/>
  <c r="CB250" i="45"/>
  <c r="CA250" i="45"/>
  <c r="BZ250" i="45"/>
  <c r="BY250" i="45"/>
  <c r="BX250" i="45"/>
  <c r="BW250" i="45"/>
  <c r="BV250" i="45"/>
  <c r="BU250" i="45"/>
  <c r="BT250" i="45"/>
  <c r="BS250" i="45"/>
  <c r="BR250" i="45"/>
  <c r="BQ250" i="45"/>
  <c r="BP250" i="45"/>
  <c r="BO250" i="45"/>
  <c r="BN250" i="45"/>
  <c r="BM250" i="45"/>
  <c r="BL250" i="45"/>
  <c r="BK250" i="45"/>
  <c r="BJ250" i="45"/>
  <c r="BI250" i="45"/>
  <c r="BH250" i="45"/>
  <c r="BG250" i="45"/>
  <c r="BF250" i="45"/>
  <c r="BE250" i="45"/>
  <c r="BD250" i="45"/>
  <c r="BC250" i="45"/>
  <c r="BB250" i="45"/>
  <c r="BA250" i="45"/>
  <c r="AZ250" i="45"/>
  <c r="AY250" i="45"/>
  <c r="AX250" i="45"/>
  <c r="AW250" i="45"/>
  <c r="AV250" i="45"/>
  <c r="AU250" i="45"/>
  <c r="AT250" i="45"/>
  <c r="CC241" i="45"/>
  <c r="CB241" i="45"/>
  <c r="CA241" i="45"/>
  <c r="BZ241" i="45"/>
  <c r="BY241" i="45"/>
  <c r="BX241" i="45"/>
  <c r="BW241" i="45"/>
  <c r="BV241" i="45"/>
  <c r="BU241" i="45"/>
  <c r="BT241" i="45"/>
  <c r="BS241" i="45"/>
  <c r="BR241" i="45"/>
  <c r="BQ241" i="45"/>
  <c r="BP241" i="45"/>
  <c r="BO241" i="45"/>
  <c r="BN241" i="45"/>
  <c r="BM241" i="45"/>
  <c r="BL241" i="45"/>
  <c r="BK241" i="45"/>
  <c r="BJ241" i="45"/>
  <c r="BI241" i="45"/>
  <c r="BH241" i="45"/>
  <c r="BG241" i="45"/>
  <c r="BF241" i="45"/>
  <c r="BE241" i="45"/>
  <c r="BD241" i="45"/>
  <c r="BC241" i="45"/>
  <c r="BB241" i="45"/>
  <c r="BA241" i="45"/>
  <c r="AZ241" i="45"/>
  <c r="AY241" i="45"/>
  <c r="AX241" i="45"/>
  <c r="AW241" i="45"/>
  <c r="AV241" i="45"/>
  <c r="AU241" i="45"/>
  <c r="AT241" i="45"/>
  <c r="CC240" i="45"/>
  <c r="CB240" i="45"/>
  <c r="CA240" i="45"/>
  <c r="BZ240" i="45"/>
  <c r="BY240" i="45"/>
  <c r="BX240" i="45"/>
  <c r="BW240" i="45"/>
  <c r="BV240" i="45"/>
  <c r="BU240" i="45"/>
  <c r="BT240" i="45"/>
  <c r="BS240" i="45"/>
  <c r="BR240" i="45"/>
  <c r="BQ240" i="45"/>
  <c r="BP240" i="45"/>
  <c r="BO240" i="45"/>
  <c r="BN240" i="45"/>
  <c r="BM240" i="45"/>
  <c r="BL240" i="45"/>
  <c r="BK240" i="45"/>
  <c r="BJ240" i="45"/>
  <c r="BI240" i="45"/>
  <c r="BH240" i="45"/>
  <c r="BG240" i="45"/>
  <c r="BF240" i="45"/>
  <c r="BE240" i="45"/>
  <c r="BD240" i="45"/>
  <c r="BC240" i="45"/>
  <c r="BB240" i="45"/>
  <c r="BA240" i="45"/>
  <c r="AZ240" i="45"/>
  <c r="AY240" i="45"/>
  <c r="AX240" i="45"/>
  <c r="AW240" i="45"/>
  <c r="AV240" i="45"/>
  <c r="AU240" i="45"/>
  <c r="AT240" i="45"/>
  <c r="CC239" i="45"/>
  <c r="CB239" i="45"/>
  <c r="CA239" i="45"/>
  <c r="BZ239" i="45"/>
  <c r="BY239" i="45"/>
  <c r="BX239" i="45"/>
  <c r="BW239" i="45"/>
  <c r="BV239" i="45"/>
  <c r="BU239" i="45"/>
  <c r="BT239" i="45"/>
  <c r="BS239" i="45"/>
  <c r="BR239" i="45"/>
  <c r="BQ239" i="45"/>
  <c r="BP239" i="45"/>
  <c r="BO239" i="45"/>
  <c r="BN239" i="45"/>
  <c r="BM239" i="45"/>
  <c r="BL239" i="45"/>
  <c r="BK239" i="45"/>
  <c r="BJ239" i="45"/>
  <c r="BI239" i="45"/>
  <c r="BH239" i="45"/>
  <c r="BG239" i="45"/>
  <c r="BF239" i="45"/>
  <c r="BE239" i="45"/>
  <c r="BD239" i="45"/>
  <c r="BC239" i="45"/>
  <c r="BB239" i="45"/>
  <c r="BA239" i="45"/>
  <c r="AZ239" i="45"/>
  <c r="AY239" i="45"/>
  <c r="AX239" i="45"/>
  <c r="AW239" i="45"/>
  <c r="AV239" i="45"/>
  <c r="AU239" i="45"/>
  <c r="AT239" i="45"/>
  <c r="CC238" i="45"/>
  <c r="CB238" i="45"/>
  <c r="CA238" i="45"/>
  <c r="BZ238" i="45"/>
  <c r="BY238" i="45"/>
  <c r="BX238" i="45"/>
  <c r="BW238" i="45"/>
  <c r="BV238" i="45"/>
  <c r="BU238" i="45"/>
  <c r="BT238" i="45"/>
  <c r="BS238" i="45"/>
  <c r="BR238" i="45"/>
  <c r="BQ238" i="45"/>
  <c r="BP238" i="45"/>
  <c r="BO238" i="45"/>
  <c r="BN238" i="45"/>
  <c r="BM238" i="45"/>
  <c r="BL238" i="45"/>
  <c r="BK238" i="45"/>
  <c r="BJ238" i="45"/>
  <c r="BI238" i="45"/>
  <c r="BH238" i="45"/>
  <c r="BG238" i="45"/>
  <c r="BF238" i="45"/>
  <c r="BE238" i="45"/>
  <c r="BD238" i="45"/>
  <c r="BC238" i="45"/>
  <c r="BB238" i="45"/>
  <c r="BA238" i="45"/>
  <c r="AZ238" i="45"/>
  <c r="AY238" i="45"/>
  <c r="AX238" i="45"/>
  <c r="AW238" i="45"/>
  <c r="AV238" i="45"/>
  <c r="AU238" i="45"/>
  <c r="AT238" i="45"/>
  <c r="CC237" i="45"/>
  <c r="CB237" i="45"/>
  <c r="CA237" i="45"/>
  <c r="BZ237" i="45"/>
  <c r="BY237" i="45"/>
  <c r="BX237" i="45"/>
  <c r="BW237" i="45"/>
  <c r="BV237" i="45"/>
  <c r="BU237" i="45"/>
  <c r="BT237" i="45"/>
  <c r="BS237" i="45"/>
  <c r="BR237" i="45"/>
  <c r="BQ237" i="45"/>
  <c r="BP237" i="45"/>
  <c r="BO237" i="45"/>
  <c r="BN237" i="45"/>
  <c r="BM237" i="45"/>
  <c r="BL237" i="45"/>
  <c r="BK237" i="45"/>
  <c r="BJ237" i="45"/>
  <c r="BI237" i="45"/>
  <c r="BH237" i="45"/>
  <c r="BG237" i="45"/>
  <c r="BF237" i="45"/>
  <c r="BE237" i="45"/>
  <c r="BD237" i="45"/>
  <c r="BC237" i="45"/>
  <c r="BB237" i="45"/>
  <c r="BA237" i="45"/>
  <c r="AZ237" i="45"/>
  <c r="AY237" i="45"/>
  <c r="AX237" i="45"/>
  <c r="AW237" i="45"/>
  <c r="AV237" i="45"/>
  <c r="AU237" i="45"/>
  <c r="AT237" i="45"/>
  <c r="CC236" i="45"/>
  <c r="CB236" i="45"/>
  <c r="CA236" i="45"/>
  <c r="BZ236" i="45"/>
  <c r="BY236" i="45"/>
  <c r="BX236" i="45"/>
  <c r="BW236" i="45"/>
  <c r="BV236" i="45"/>
  <c r="BU236" i="45"/>
  <c r="BT236" i="45"/>
  <c r="BS236" i="45"/>
  <c r="BR236" i="45"/>
  <c r="BQ236" i="45"/>
  <c r="BP236" i="45"/>
  <c r="BO236" i="45"/>
  <c r="BN236" i="45"/>
  <c r="BM236" i="45"/>
  <c r="BL236" i="45"/>
  <c r="BK236" i="45"/>
  <c r="BJ236" i="45"/>
  <c r="BI236" i="45"/>
  <c r="BH236" i="45"/>
  <c r="BG236" i="45"/>
  <c r="BF236" i="45"/>
  <c r="BE236" i="45"/>
  <c r="BD236" i="45"/>
  <c r="BC236" i="45"/>
  <c r="BB236" i="45"/>
  <c r="BA236" i="45"/>
  <c r="AZ236" i="45"/>
  <c r="AY236" i="45"/>
  <c r="AX236" i="45"/>
  <c r="AW236" i="45"/>
  <c r="AV236" i="45"/>
  <c r="AU236" i="45"/>
  <c r="AT236" i="45"/>
  <c r="CC235" i="45"/>
  <c r="CB235" i="45"/>
  <c r="CA235" i="45"/>
  <c r="BZ235" i="45"/>
  <c r="BY235" i="45"/>
  <c r="BX235" i="45"/>
  <c r="BW235" i="45"/>
  <c r="BV235" i="45"/>
  <c r="BU235" i="45"/>
  <c r="BT235" i="45"/>
  <c r="BS235" i="45"/>
  <c r="BR235" i="45"/>
  <c r="BQ235" i="45"/>
  <c r="BP235" i="45"/>
  <c r="BO235" i="45"/>
  <c r="BN235" i="45"/>
  <c r="BM235" i="45"/>
  <c r="BL235" i="45"/>
  <c r="BK235" i="45"/>
  <c r="BJ235" i="45"/>
  <c r="BI235" i="45"/>
  <c r="BH235" i="45"/>
  <c r="BG235" i="45"/>
  <c r="BF235" i="45"/>
  <c r="BE235" i="45"/>
  <c r="BD235" i="45"/>
  <c r="BC235" i="45"/>
  <c r="BB235" i="45"/>
  <c r="BA235" i="45"/>
  <c r="AZ235" i="45"/>
  <c r="AY235" i="45"/>
  <c r="AX235" i="45"/>
  <c r="AW235" i="45"/>
  <c r="AV235" i="45"/>
  <c r="AU235" i="45"/>
  <c r="AT235" i="45"/>
  <c r="CC234" i="45"/>
  <c r="CB234" i="45"/>
  <c r="CA234" i="45"/>
  <c r="BZ234" i="45"/>
  <c r="BY234" i="45"/>
  <c r="BX234" i="45"/>
  <c r="BW234" i="45"/>
  <c r="BV234" i="45"/>
  <c r="BU234" i="45"/>
  <c r="BT234" i="45"/>
  <c r="BS234" i="45"/>
  <c r="BR234" i="45"/>
  <c r="BQ234" i="45"/>
  <c r="BP234" i="45"/>
  <c r="BO234" i="45"/>
  <c r="BN234" i="45"/>
  <c r="BM234" i="45"/>
  <c r="BL234" i="45"/>
  <c r="BK234" i="45"/>
  <c r="BJ234" i="45"/>
  <c r="BI234" i="45"/>
  <c r="BH234" i="45"/>
  <c r="BG234" i="45"/>
  <c r="BF234" i="45"/>
  <c r="BE234" i="45"/>
  <c r="BD234" i="45"/>
  <c r="BC234" i="45"/>
  <c r="BB234" i="45"/>
  <c r="BA234" i="45"/>
  <c r="AZ234" i="45"/>
  <c r="AY234" i="45"/>
  <c r="AX234" i="45"/>
  <c r="AW234" i="45"/>
  <c r="AV234" i="45"/>
  <c r="AU234" i="45"/>
  <c r="AT234" i="45"/>
  <c r="CC225" i="45"/>
  <c r="CB225" i="45"/>
  <c r="CA225" i="45"/>
  <c r="BZ225" i="45"/>
  <c r="BY225" i="45"/>
  <c r="BX225" i="45"/>
  <c r="BW225" i="45"/>
  <c r="BV225" i="45"/>
  <c r="BU225" i="45"/>
  <c r="BT225" i="45"/>
  <c r="BS225" i="45"/>
  <c r="BR225" i="45"/>
  <c r="BQ225" i="45"/>
  <c r="BP225" i="45"/>
  <c r="BO225" i="45"/>
  <c r="BN225" i="45"/>
  <c r="BM225" i="45"/>
  <c r="BL225" i="45"/>
  <c r="BK225" i="45"/>
  <c r="BJ225" i="45"/>
  <c r="BI225" i="45"/>
  <c r="BH225" i="45"/>
  <c r="BG225" i="45"/>
  <c r="BF225" i="45"/>
  <c r="BE225" i="45"/>
  <c r="BD225" i="45"/>
  <c r="BC225" i="45"/>
  <c r="BB225" i="45"/>
  <c r="BA225" i="45"/>
  <c r="AZ225" i="45"/>
  <c r="AY225" i="45"/>
  <c r="AX225" i="45"/>
  <c r="AW225" i="45"/>
  <c r="AV225" i="45"/>
  <c r="AU225" i="45"/>
  <c r="AT225" i="45"/>
  <c r="CC224" i="45"/>
  <c r="CB224" i="45"/>
  <c r="CA224" i="45"/>
  <c r="BZ224" i="45"/>
  <c r="BY224" i="45"/>
  <c r="BX224" i="45"/>
  <c r="BW224" i="45"/>
  <c r="BV224" i="45"/>
  <c r="BU224" i="45"/>
  <c r="BT224" i="45"/>
  <c r="BS224" i="45"/>
  <c r="BR224" i="45"/>
  <c r="BQ224" i="45"/>
  <c r="BP224" i="45"/>
  <c r="BO224" i="45"/>
  <c r="BN224" i="45"/>
  <c r="BM224" i="45"/>
  <c r="BL224" i="45"/>
  <c r="BK224" i="45"/>
  <c r="BJ224" i="45"/>
  <c r="BI224" i="45"/>
  <c r="BH224" i="45"/>
  <c r="BG224" i="45"/>
  <c r="BF224" i="45"/>
  <c r="BE224" i="45"/>
  <c r="BD224" i="45"/>
  <c r="BC224" i="45"/>
  <c r="BB224" i="45"/>
  <c r="BA224" i="45"/>
  <c r="AZ224" i="45"/>
  <c r="AY224" i="45"/>
  <c r="AX224" i="45"/>
  <c r="AW224" i="45"/>
  <c r="AV224" i="45"/>
  <c r="AU224" i="45"/>
  <c r="AT224" i="45"/>
  <c r="CC223" i="45"/>
  <c r="CB223" i="45"/>
  <c r="CA223" i="45"/>
  <c r="BZ223" i="45"/>
  <c r="BY223" i="45"/>
  <c r="BX223" i="45"/>
  <c r="BW223" i="45"/>
  <c r="BV223" i="45"/>
  <c r="BU223" i="45"/>
  <c r="BT223" i="45"/>
  <c r="BS223" i="45"/>
  <c r="BR223" i="45"/>
  <c r="BQ223" i="45"/>
  <c r="BP223" i="45"/>
  <c r="BO223" i="45"/>
  <c r="BN223" i="45"/>
  <c r="BM223" i="45"/>
  <c r="BL223" i="45"/>
  <c r="BK223" i="45"/>
  <c r="BJ223" i="45"/>
  <c r="BI223" i="45"/>
  <c r="BH223" i="45"/>
  <c r="BG223" i="45"/>
  <c r="BF223" i="45"/>
  <c r="BE223" i="45"/>
  <c r="BD223" i="45"/>
  <c r="BC223" i="45"/>
  <c r="BB223" i="45"/>
  <c r="BA223" i="45"/>
  <c r="AZ223" i="45"/>
  <c r="AY223" i="45"/>
  <c r="AX223" i="45"/>
  <c r="AW223" i="45"/>
  <c r="AV223" i="45"/>
  <c r="AU223" i="45"/>
  <c r="AT223" i="45"/>
  <c r="CC222" i="45"/>
  <c r="CB222" i="45"/>
  <c r="CA222" i="45"/>
  <c r="BZ222" i="45"/>
  <c r="BY222" i="45"/>
  <c r="BX222" i="45"/>
  <c r="BW222" i="45"/>
  <c r="BV222" i="45"/>
  <c r="BU222" i="45"/>
  <c r="BT222" i="45"/>
  <c r="BS222" i="45"/>
  <c r="BR222" i="45"/>
  <c r="BQ222" i="45"/>
  <c r="BP222" i="45"/>
  <c r="BO222" i="45"/>
  <c r="BN222" i="45"/>
  <c r="BM222" i="45"/>
  <c r="BL222" i="45"/>
  <c r="BK222" i="45"/>
  <c r="BJ222" i="45"/>
  <c r="BI222" i="45"/>
  <c r="BH222" i="45"/>
  <c r="BG222" i="45"/>
  <c r="BF222" i="45"/>
  <c r="BE222" i="45"/>
  <c r="BD222" i="45"/>
  <c r="BC222" i="45"/>
  <c r="BB222" i="45"/>
  <c r="BA222" i="45"/>
  <c r="AZ222" i="45"/>
  <c r="AY222" i="45"/>
  <c r="AX222" i="45"/>
  <c r="AW222" i="45"/>
  <c r="AV222" i="45"/>
  <c r="AU222" i="45"/>
  <c r="AT222" i="45"/>
  <c r="CC221" i="45"/>
  <c r="CB221" i="45"/>
  <c r="CA221" i="45"/>
  <c r="BZ221" i="45"/>
  <c r="BY221" i="45"/>
  <c r="BX221" i="45"/>
  <c r="BW221" i="45"/>
  <c r="BV221" i="45"/>
  <c r="BU221" i="45"/>
  <c r="BT221" i="45"/>
  <c r="BS221" i="45"/>
  <c r="BR221" i="45"/>
  <c r="BQ221" i="45"/>
  <c r="BP221" i="45"/>
  <c r="BO221" i="45"/>
  <c r="BN221" i="45"/>
  <c r="BM221" i="45"/>
  <c r="BL221" i="45"/>
  <c r="BK221" i="45"/>
  <c r="BJ221" i="45"/>
  <c r="BI221" i="45"/>
  <c r="BH221" i="45"/>
  <c r="BG221" i="45"/>
  <c r="BF221" i="45"/>
  <c r="BE221" i="45"/>
  <c r="BD221" i="45"/>
  <c r="BC221" i="45"/>
  <c r="BB221" i="45"/>
  <c r="BA221" i="45"/>
  <c r="AZ221" i="45"/>
  <c r="AY221" i="45"/>
  <c r="AX221" i="45"/>
  <c r="AW221" i="45"/>
  <c r="AV221" i="45"/>
  <c r="AU221" i="45"/>
  <c r="AT221" i="45"/>
  <c r="CC220" i="45"/>
  <c r="CB220" i="45"/>
  <c r="CA220" i="45"/>
  <c r="BZ220" i="45"/>
  <c r="BY220" i="45"/>
  <c r="BX220" i="45"/>
  <c r="BW220" i="45"/>
  <c r="BV220" i="45"/>
  <c r="BU220" i="45"/>
  <c r="BT220" i="45"/>
  <c r="BS220" i="45"/>
  <c r="BR220" i="45"/>
  <c r="BQ220" i="45"/>
  <c r="BP220" i="45"/>
  <c r="BO220" i="45"/>
  <c r="BN220" i="45"/>
  <c r="BM220" i="45"/>
  <c r="BL220" i="45"/>
  <c r="BK220" i="45"/>
  <c r="BJ220" i="45"/>
  <c r="BI220" i="45"/>
  <c r="BH220" i="45"/>
  <c r="BG220" i="45"/>
  <c r="BF220" i="45"/>
  <c r="BE220" i="45"/>
  <c r="BD220" i="45"/>
  <c r="BC220" i="45"/>
  <c r="BB220" i="45"/>
  <c r="BA220" i="45"/>
  <c r="AZ220" i="45"/>
  <c r="AY220" i="45"/>
  <c r="AX220" i="45"/>
  <c r="AW220" i="45"/>
  <c r="AV220" i="45"/>
  <c r="AU220" i="45"/>
  <c r="AT220" i="45"/>
  <c r="CC219" i="45"/>
  <c r="CB219" i="45"/>
  <c r="CA219" i="45"/>
  <c r="BZ219" i="45"/>
  <c r="BY219" i="45"/>
  <c r="BX219" i="45"/>
  <c r="BW219" i="45"/>
  <c r="BV219" i="45"/>
  <c r="BU219" i="45"/>
  <c r="BT219" i="45"/>
  <c r="BS219" i="45"/>
  <c r="BR219" i="45"/>
  <c r="BQ219" i="45"/>
  <c r="BP219" i="45"/>
  <c r="BO219" i="45"/>
  <c r="BN219" i="45"/>
  <c r="BM219" i="45"/>
  <c r="BL219" i="45"/>
  <c r="BK219" i="45"/>
  <c r="BJ219" i="45"/>
  <c r="BI219" i="45"/>
  <c r="BH219" i="45"/>
  <c r="BG219" i="45"/>
  <c r="BF219" i="45"/>
  <c r="BE219" i="45"/>
  <c r="BD219" i="45"/>
  <c r="BC219" i="45"/>
  <c r="BB219" i="45"/>
  <c r="BA219" i="45"/>
  <c r="AZ219" i="45"/>
  <c r="AY219" i="45"/>
  <c r="AX219" i="45"/>
  <c r="AW219" i="45"/>
  <c r="AV219" i="45"/>
  <c r="AU219" i="45"/>
  <c r="AT219" i="45"/>
  <c r="CC218" i="45"/>
  <c r="CB218" i="45"/>
  <c r="CA218" i="45"/>
  <c r="BZ218" i="45"/>
  <c r="BY218" i="45"/>
  <c r="BX218" i="45"/>
  <c r="BW218" i="45"/>
  <c r="BV218" i="45"/>
  <c r="BU218" i="45"/>
  <c r="BT218" i="45"/>
  <c r="BS218" i="45"/>
  <c r="BR218" i="45"/>
  <c r="BQ218" i="45"/>
  <c r="BP218" i="45"/>
  <c r="BO218" i="45"/>
  <c r="BN218" i="45"/>
  <c r="BM218" i="45"/>
  <c r="BL218" i="45"/>
  <c r="BK218" i="45"/>
  <c r="BJ218" i="45"/>
  <c r="BI218" i="45"/>
  <c r="BH218" i="45"/>
  <c r="BG218" i="45"/>
  <c r="BF218" i="45"/>
  <c r="BE218" i="45"/>
  <c r="BD218" i="45"/>
  <c r="BC218" i="45"/>
  <c r="BB218" i="45"/>
  <c r="BA218" i="45"/>
  <c r="AZ218" i="45"/>
  <c r="AY218" i="45"/>
  <c r="AX218" i="45"/>
  <c r="AW218" i="45"/>
  <c r="AV218" i="45"/>
  <c r="AU218" i="45"/>
  <c r="AT218" i="45"/>
  <c r="CC209" i="45"/>
  <c r="CB209" i="45"/>
  <c r="CA209" i="45"/>
  <c r="BZ209" i="45"/>
  <c r="BY209" i="45"/>
  <c r="BX209" i="45"/>
  <c r="BW209" i="45"/>
  <c r="BV209" i="45"/>
  <c r="BU209" i="45"/>
  <c r="BT209" i="45"/>
  <c r="BS209" i="45"/>
  <c r="BR209" i="45"/>
  <c r="BQ209" i="45"/>
  <c r="BP209" i="45"/>
  <c r="BO209" i="45"/>
  <c r="BN209" i="45"/>
  <c r="BM209" i="45"/>
  <c r="BL209" i="45"/>
  <c r="BK209" i="45"/>
  <c r="BJ209" i="45"/>
  <c r="BI209" i="45"/>
  <c r="BH209" i="45"/>
  <c r="BG209" i="45"/>
  <c r="BF209" i="45"/>
  <c r="BE209" i="45"/>
  <c r="BD209" i="45"/>
  <c r="BC209" i="45"/>
  <c r="BB209" i="45"/>
  <c r="BA209" i="45"/>
  <c r="AZ209" i="45"/>
  <c r="AY209" i="45"/>
  <c r="AX209" i="45"/>
  <c r="AW209" i="45"/>
  <c r="AV209" i="45"/>
  <c r="AU209" i="45"/>
  <c r="AT209" i="45"/>
  <c r="CC208" i="45"/>
  <c r="CB208" i="45"/>
  <c r="CA208" i="45"/>
  <c r="BZ208" i="45"/>
  <c r="BY208" i="45"/>
  <c r="BX208" i="45"/>
  <c r="BW208" i="45"/>
  <c r="BV208" i="45"/>
  <c r="BU208" i="45"/>
  <c r="BT208" i="45"/>
  <c r="BS208" i="45"/>
  <c r="BR208" i="45"/>
  <c r="BQ208" i="45"/>
  <c r="BP208" i="45"/>
  <c r="BO208" i="45"/>
  <c r="BN208" i="45"/>
  <c r="BM208" i="45"/>
  <c r="BL208" i="45"/>
  <c r="BK208" i="45"/>
  <c r="BJ208" i="45"/>
  <c r="BI208" i="45"/>
  <c r="BH208" i="45"/>
  <c r="BG208" i="45"/>
  <c r="BF208" i="45"/>
  <c r="BE208" i="45"/>
  <c r="BD208" i="45"/>
  <c r="BC208" i="45"/>
  <c r="BB208" i="45"/>
  <c r="BA208" i="45"/>
  <c r="AZ208" i="45"/>
  <c r="AY208" i="45"/>
  <c r="AX208" i="45"/>
  <c r="AW208" i="45"/>
  <c r="AV208" i="45"/>
  <c r="AU208" i="45"/>
  <c r="AT208" i="45"/>
  <c r="CC207" i="45"/>
  <c r="CB207" i="45"/>
  <c r="CA207" i="45"/>
  <c r="BZ207" i="45"/>
  <c r="BY207" i="45"/>
  <c r="BX207" i="45"/>
  <c r="BW207" i="45"/>
  <c r="BV207" i="45"/>
  <c r="BU207" i="45"/>
  <c r="BT207" i="45"/>
  <c r="BS207" i="45"/>
  <c r="BR207" i="45"/>
  <c r="BQ207" i="45"/>
  <c r="BP207" i="45"/>
  <c r="BO207" i="45"/>
  <c r="BN207" i="45"/>
  <c r="BM207" i="45"/>
  <c r="BL207" i="45"/>
  <c r="BK207" i="45"/>
  <c r="BJ207" i="45"/>
  <c r="BI207" i="45"/>
  <c r="BH207" i="45"/>
  <c r="BG207" i="45"/>
  <c r="BF207" i="45"/>
  <c r="BE207" i="45"/>
  <c r="BD207" i="45"/>
  <c r="BC207" i="45"/>
  <c r="BB207" i="45"/>
  <c r="BA207" i="45"/>
  <c r="AZ207" i="45"/>
  <c r="AY207" i="45"/>
  <c r="AX207" i="45"/>
  <c r="AW207" i="45"/>
  <c r="AV207" i="45"/>
  <c r="AU207" i="45"/>
  <c r="AT207" i="45"/>
  <c r="CC206" i="45"/>
  <c r="CB206" i="45"/>
  <c r="CA206" i="45"/>
  <c r="BZ206" i="45"/>
  <c r="BY206" i="45"/>
  <c r="BX206" i="45"/>
  <c r="BW206" i="45"/>
  <c r="BV206" i="45"/>
  <c r="BU206" i="45"/>
  <c r="BT206" i="45"/>
  <c r="BS206" i="45"/>
  <c r="BR206" i="45"/>
  <c r="BQ206" i="45"/>
  <c r="BP206" i="45"/>
  <c r="BO206" i="45"/>
  <c r="BN206" i="45"/>
  <c r="BM206" i="45"/>
  <c r="BL206" i="45"/>
  <c r="BK206" i="45"/>
  <c r="BJ206" i="45"/>
  <c r="BI206" i="45"/>
  <c r="BH206" i="45"/>
  <c r="BG206" i="45"/>
  <c r="BF206" i="45"/>
  <c r="BE206" i="45"/>
  <c r="BD206" i="45"/>
  <c r="BC206" i="45"/>
  <c r="BB206" i="45"/>
  <c r="BA206" i="45"/>
  <c r="AZ206" i="45"/>
  <c r="AY206" i="45"/>
  <c r="AX206" i="45"/>
  <c r="AW206" i="45"/>
  <c r="AV206" i="45"/>
  <c r="AU206" i="45"/>
  <c r="AT206" i="45"/>
  <c r="CC205" i="45"/>
  <c r="CB205" i="45"/>
  <c r="CA205" i="45"/>
  <c r="BZ205" i="45"/>
  <c r="BY205" i="45"/>
  <c r="BX205" i="45"/>
  <c r="BW205" i="45"/>
  <c r="BV205" i="45"/>
  <c r="BU205" i="45"/>
  <c r="BT205" i="45"/>
  <c r="BS205" i="45"/>
  <c r="BR205" i="45"/>
  <c r="BQ205" i="45"/>
  <c r="BP205" i="45"/>
  <c r="BO205" i="45"/>
  <c r="BN205" i="45"/>
  <c r="BM205" i="45"/>
  <c r="BL205" i="45"/>
  <c r="BK205" i="45"/>
  <c r="BJ205" i="45"/>
  <c r="BI205" i="45"/>
  <c r="BH205" i="45"/>
  <c r="BG205" i="45"/>
  <c r="BF205" i="45"/>
  <c r="BE205" i="45"/>
  <c r="BD205" i="45"/>
  <c r="BC205" i="45"/>
  <c r="BB205" i="45"/>
  <c r="BA205" i="45"/>
  <c r="AZ205" i="45"/>
  <c r="AY205" i="45"/>
  <c r="AX205" i="45"/>
  <c r="AW205" i="45"/>
  <c r="AV205" i="45"/>
  <c r="AU205" i="45"/>
  <c r="AT205" i="45"/>
  <c r="CC204" i="45"/>
  <c r="CB204" i="45"/>
  <c r="CA204" i="45"/>
  <c r="BZ204" i="45"/>
  <c r="BY204" i="45"/>
  <c r="BX204" i="45"/>
  <c r="BW204" i="45"/>
  <c r="BV204" i="45"/>
  <c r="BU204" i="45"/>
  <c r="BT204" i="45"/>
  <c r="BS204" i="45"/>
  <c r="BR204" i="45"/>
  <c r="BQ204" i="45"/>
  <c r="BP204" i="45"/>
  <c r="BO204" i="45"/>
  <c r="BN204" i="45"/>
  <c r="BM204" i="45"/>
  <c r="BL204" i="45"/>
  <c r="BK204" i="45"/>
  <c r="BJ204" i="45"/>
  <c r="BI204" i="45"/>
  <c r="BH204" i="45"/>
  <c r="BG204" i="45"/>
  <c r="BF204" i="45"/>
  <c r="BE204" i="45"/>
  <c r="BD204" i="45"/>
  <c r="BC204" i="45"/>
  <c r="BB204" i="45"/>
  <c r="BA204" i="45"/>
  <c r="AZ204" i="45"/>
  <c r="AY204" i="45"/>
  <c r="AX204" i="45"/>
  <c r="AW204" i="45"/>
  <c r="AV204" i="45"/>
  <c r="AU204" i="45"/>
  <c r="AT204" i="45"/>
  <c r="CC203" i="45"/>
  <c r="CB203" i="45"/>
  <c r="CA203" i="45"/>
  <c r="BZ203" i="45"/>
  <c r="BY203" i="45"/>
  <c r="BX203" i="45"/>
  <c r="BW203" i="45"/>
  <c r="BV203" i="45"/>
  <c r="BU203" i="45"/>
  <c r="BT203" i="45"/>
  <c r="BS203" i="45"/>
  <c r="BR203" i="45"/>
  <c r="BQ203" i="45"/>
  <c r="BP203" i="45"/>
  <c r="BO203" i="45"/>
  <c r="BN203" i="45"/>
  <c r="BM203" i="45"/>
  <c r="BL203" i="45"/>
  <c r="BK203" i="45"/>
  <c r="BJ203" i="45"/>
  <c r="BI203" i="45"/>
  <c r="BH203" i="45"/>
  <c r="BG203" i="45"/>
  <c r="BF203" i="45"/>
  <c r="BE203" i="45"/>
  <c r="BD203" i="45"/>
  <c r="BC203" i="45"/>
  <c r="BB203" i="45"/>
  <c r="BA203" i="45"/>
  <c r="AZ203" i="45"/>
  <c r="AY203" i="45"/>
  <c r="AX203" i="45"/>
  <c r="AW203" i="45"/>
  <c r="AV203" i="45"/>
  <c r="AU203" i="45"/>
  <c r="AT203" i="45"/>
  <c r="CC202" i="45"/>
  <c r="CB202" i="45"/>
  <c r="CA202" i="45"/>
  <c r="BZ202" i="45"/>
  <c r="BY202" i="45"/>
  <c r="BX202" i="45"/>
  <c r="BW202" i="45"/>
  <c r="BV202" i="45"/>
  <c r="BU202" i="45"/>
  <c r="BT202" i="45"/>
  <c r="BS202" i="45"/>
  <c r="BR202" i="45"/>
  <c r="BQ202" i="45"/>
  <c r="BP202" i="45"/>
  <c r="BO202" i="45"/>
  <c r="BN202" i="45"/>
  <c r="BM202" i="45"/>
  <c r="BL202" i="45"/>
  <c r="BK202" i="45"/>
  <c r="BJ202" i="45"/>
  <c r="BI202" i="45"/>
  <c r="BH202" i="45"/>
  <c r="BG202" i="45"/>
  <c r="BF202" i="45"/>
  <c r="BE202" i="45"/>
  <c r="BD202" i="45"/>
  <c r="BC202" i="45"/>
  <c r="BB202" i="45"/>
  <c r="BA202" i="45"/>
  <c r="AZ202" i="45"/>
  <c r="AY202" i="45"/>
  <c r="AX202" i="45"/>
  <c r="AW202" i="45"/>
  <c r="AV202" i="45"/>
  <c r="AU202" i="45"/>
  <c r="AT202" i="45"/>
  <c r="CC193" i="45"/>
  <c r="CB193" i="45"/>
  <c r="CA193" i="45"/>
  <c r="BZ193" i="45"/>
  <c r="BY193" i="45"/>
  <c r="BX193" i="45"/>
  <c r="BW193" i="45"/>
  <c r="BV193" i="45"/>
  <c r="BU193" i="45"/>
  <c r="BT193" i="45"/>
  <c r="BS193" i="45"/>
  <c r="BR193" i="45"/>
  <c r="BQ193" i="45"/>
  <c r="BP193" i="45"/>
  <c r="BO193" i="45"/>
  <c r="BN193" i="45"/>
  <c r="BM193" i="45"/>
  <c r="BL193" i="45"/>
  <c r="BK193" i="45"/>
  <c r="BJ193" i="45"/>
  <c r="BI193" i="45"/>
  <c r="BH193" i="45"/>
  <c r="BG193" i="45"/>
  <c r="BF193" i="45"/>
  <c r="BE193" i="45"/>
  <c r="BD193" i="45"/>
  <c r="BC193" i="45"/>
  <c r="BB193" i="45"/>
  <c r="BA193" i="45"/>
  <c r="AZ193" i="45"/>
  <c r="AY193" i="45"/>
  <c r="AX193" i="45"/>
  <c r="AW193" i="45"/>
  <c r="AV193" i="45"/>
  <c r="AU193" i="45"/>
  <c r="AT193" i="45"/>
  <c r="CC192" i="45"/>
  <c r="CB192" i="45"/>
  <c r="CA192" i="45"/>
  <c r="BZ192" i="45"/>
  <c r="BY192" i="45"/>
  <c r="BX192" i="45"/>
  <c r="BW192" i="45"/>
  <c r="BV192" i="45"/>
  <c r="BU192" i="45"/>
  <c r="BT192" i="45"/>
  <c r="BS192" i="45"/>
  <c r="BR192" i="45"/>
  <c r="BQ192" i="45"/>
  <c r="BP192" i="45"/>
  <c r="BO192" i="45"/>
  <c r="BN192" i="45"/>
  <c r="BM192" i="45"/>
  <c r="BL192" i="45"/>
  <c r="BK192" i="45"/>
  <c r="BJ192" i="45"/>
  <c r="BI192" i="45"/>
  <c r="BH192" i="45"/>
  <c r="BG192" i="45"/>
  <c r="BF192" i="45"/>
  <c r="BE192" i="45"/>
  <c r="BD192" i="45"/>
  <c r="BC192" i="45"/>
  <c r="BB192" i="45"/>
  <c r="BA192" i="45"/>
  <c r="AZ192" i="45"/>
  <c r="AY192" i="45"/>
  <c r="AX192" i="45"/>
  <c r="AW192" i="45"/>
  <c r="AV192" i="45"/>
  <c r="AU192" i="45"/>
  <c r="AT192" i="45"/>
  <c r="CC191" i="45"/>
  <c r="CB191" i="45"/>
  <c r="CA191" i="45"/>
  <c r="BZ191" i="45"/>
  <c r="BY191" i="45"/>
  <c r="BX191" i="45"/>
  <c r="BW191" i="45"/>
  <c r="BV191" i="45"/>
  <c r="BU191" i="45"/>
  <c r="BT191" i="45"/>
  <c r="BS191" i="45"/>
  <c r="BR191" i="45"/>
  <c r="BQ191" i="45"/>
  <c r="BP191" i="45"/>
  <c r="BO191" i="45"/>
  <c r="BN191" i="45"/>
  <c r="BM191" i="45"/>
  <c r="BL191" i="45"/>
  <c r="BK191" i="45"/>
  <c r="BJ191" i="45"/>
  <c r="BI191" i="45"/>
  <c r="BH191" i="45"/>
  <c r="BG191" i="45"/>
  <c r="BF191" i="45"/>
  <c r="BE191" i="45"/>
  <c r="BD191" i="45"/>
  <c r="BC191" i="45"/>
  <c r="BB191" i="45"/>
  <c r="BA191" i="45"/>
  <c r="AZ191" i="45"/>
  <c r="AY191" i="45"/>
  <c r="AX191" i="45"/>
  <c r="AW191" i="45"/>
  <c r="AV191" i="45"/>
  <c r="AU191" i="45"/>
  <c r="AT191" i="45"/>
  <c r="CC190" i="45"/>
  <c r="CB190" i="45"/>
  <c r="CA190" i="45"/>
  <c r="BZ190" i="45"/>
  <c r="BY190" i="45"/>
  <c r="BX190" i="45"/>
  <c r="BW190" i="45"/>
  <c r="BV190" i="45"/>
  <c r="BU190" i="45"/>
  <c r="BT190" i="45"/>
  <c r="BS190" i="45"/>
  <c r="BR190" i="45"/>
  <c r="BQ190" i="45"/>
  <c r="BP190" i="45"/>
  <c r="BO190" i="45"/>
  <c r="BN190" i="45"/>
  <c r="BM190" i="45"/>
  <c r="BL190" i="45"/>
  <c r="BK190" i="45"/>
  <c r="BJ190" i="45"/>
  <c r="BI190" i="45"/>
  <c r="BH190" i="45"/>
  <c r="BG190" i="45"/>
  <c r="BF190" i="45"/>
  <c r="BE190" i="45"/>
  <c r="BD190" i="45"/>
  <c r="BC190" i="45"/>
  <c r="BB190" i="45"/>
  <c r="BA190" i="45"/>
  <c r="AZ190" i="45"/>
  <c r="AY190" i="45"/>
  <c r="AX190" i="45"/>
  <c r="AW190" i="45"/>
  <c r="AV190" i="45"/>
  <c r="AU190" i="45"/>
  <c r="AT190" i="45"/>
  <c r="CC189" i="45"/>
  <c r="CB189" i="45"/>
  <c r="CA189" i="45"/>
  <c r="BZ189" i="45"/>
  <c r="BY189" i="45"/>
  <c r="BX189" i="45"/>
  <c r="BW189" i="45"/>
  <c r="BV189" i="45"/>
  <c r="BU189" i="45"/>
  <c r="BT189" i="45"/>
  <c r="BS189" i="45"/>
  <c r="BR189" i="45"/>
  <c r="BQ189" i="45"/>
  <c r="BP189" i="45"/>
  <c r="BO189" i="45"/>
  <c r="BN189" i="45"/>
  <c r="BM189" i="45"/>
  <c r="BL189" i="45"/>
  <c r="BK189" i="45"/>
  <c r="BJ189" i="45"/>
  <c r="BI189" i="45"/>
  <c r="BH189" i="45"/>
  <c r="BG189" i="45"/>
  <c r="BF189" i="45"/>
  <c r="BE189" i="45"/>
  <c r="BD189" i="45"/>
  <c r="BC189" i="45"/>
  <c r="BB189" i="45"/>
  <c r="BA189" i="45"/>
  <c r="AZ189" i="45"/>
  <c r="AY189" i="45"/>
  <c r="AX189" i="45"/>
  <c r="AW189" i="45"/>
  <c r="AV189" i="45"/>
  <c r="AU189" i="45"/>
  <c r="AT189" i="45"/>
  <c r="CC188" i="45"/>
  <c r="CB188" i="45"/>
  <c r="CA188" i="45"/>
  <c r="BZ188" i="45"/>
  <c r="BY188" i="45"/>
  <c r="BX188" i="45"/>
  <c r="BW188" i="45"/>
  <c r="BV188" i="45"/>
  <c r="BU188" i="45"/>
  <c r="BT188" i="45"/>
  <c r="BS188" i="45"/>
  <c r="BR188" i="45"/>
  <c r="BQ188" i="45"/>
  <c r="BP188" i="45"/>
  <c r="BO188" i="45"/>
  <c r="BN188" i="45"/>
  <c r="BM188" i="45"/>
  <c r="BL188" i="45"/>
  <c r="BK188" i="45"/>
  <c r="BJ188" i="45"/>
  <c r="BI188" i="45"/>
  <c r="BH188" i="45"/>
  <c r="BG188" i="45"/>
  <c r="BF188" i="45"/>
  <c r="BE188" i="45"/>
  <c r="BD188" i="45"/>
  <c r="BC188" i="45"/>
  <c r="BB188" i="45"/>
  <c r="BA188" i="45"/>
  <c r="AZ188" i="45"/>
  <c r="AY188" i="45"/>
  <c r="AX188" i="45"/>
  <c r="AW188" i="45"/>
  <c r="AV188" i="45"/>
  <c r="AU188" i="45"/>
  <c r="AT188" i="45"/>
  <c r="CC187" i="45"/>
  <c r="CB187" i="45"/>
  <c r="CA187" i="45"/>
  <c r="BZ187" i="45"/>
  <c r="BY187" i="45"/>
  <c r="BX187" i="45"/>
  <c r="BW187" i="45"/>
  <c r="BV187" i="45"/>
  <c r="BU187" i="45"/>
  <c r="BT187" i="45"/>
  <c r="BS187" i="45"/>
  <c r="BR187" i="45"/>
  <c r="BQ187" i="45"/>
  <c r="BP187" i="45"/>
  <c r="BO187" i="45"/>
  <c r="BN187" i="45"/>
  <c r="BM187" i="45"/>
  <c r="BL187" i="45"/>
  <c r="BK187" i="45"/>
  <c r="BJ187" i="45"/>
  <c r="BI187" i="45"/>
  <c r="BH187" i="45"/>
  <c r="BG187" i="45"/>
  <c r="BF187" i="45"/>
  <c r="BE187" i="45"/>
  <c r="BD187" i="45"/>
  <c r="BC187" i="45"/>
  <c r="BB187" i="45"/>
  <c r="BA187" i="45"/>
  <c r="AZ187" i="45"/>
  <c r="AY187" i="45"/>
  <c r="AX187" i="45"/>
  <c r="AW187" i="45"/>
  <c r="AV187" i="45"/>
  <c r="AU187" i="45"/>
  <c r="AT187" i="45"/>
  <c r="CC186" i="45"/>
  <c r="CB186" i="45"/>
  <c r="CA186" i="45"/>
  <c r="BZ186" i="45"/>
  <c r="BY186" i="45"/>
  <c r="BX186" i="45"/>
  <c r="BW186" i="45"/>
  <c r="BV186" i="45"/>
  <c r="BU186" i="45"/>
  <c r="BT186" i="45"/>
  <c r="BS186" i="45"/>
  <c r="BR186" i="45"/>
  <c r="BQ186" i="45"/>
  <c r="BP186" i="45"/>
  <c r="BO186" i="45"/>
  <c r="BN186" i="45"/>
  <c r="BM186" i="45"/>
  <c r="BL186" i="45"/>
  <c r="BK186" i="45"/>
  <c r="BJ186" i="45"/>
  <c r="BI186" i="45"/>
  <c r="BH186" i="45"/>
  <c r="BG186" i="45"/>
  <c r="BF186" i="45"/>
  <c r="BE186" i="45"/>
  <c r="BD186" i="45"/>
  <c r="BC186" i="45"/>
  <c r="BB186" i="45"/>
  <c r="BA186" i="45"/>
  <c r="AZ186" i="45"/>
  <c r="AY186" i="45"/>
  <c r="AX186" i="45"/>
  <c r="AW186" i="45"/>
  <c r="AV186" i="45"/>
  <c r="AU186" i="45"/>
  <c r="AT186" i="45"/>
  <c r="CC177" i="45"/>
  <c r="CB177" i="45"/>
  <c r="CA177" i="45"/>
  <c r="BZ177" i="45"/>
  <c r="BY177" i="45"/>
  <c r="BX177" i="45"/>
  <c r="BW177" i="45"/>
  <c r="BV177" i="45"/>
  <c r="BU177" i="45"/>
  <c r="BT177" i="45"/>
  <c r="BS177" i="45"/>
  <c r="BR177" i="45"/>
  <c r="BQ177" i="45"/>
  <c r="BP177" i="45"/>
  <c r="BO177" i="45"/>
  <c r="BN177" i="45"/>
  <c r="BM177" i="45"/>
  <c r="BL177" i="45"/>
  <c r="BK177" i="45"/>
  <c r="BJ177" i="45"/>
  <c r="BI177" i="45"/>
  <c r="BH177" i="45"/>
  <c r="BG177" i="45"/>
  <c r="BF177" i="45"/>
  <c r="BE177" i="45"/>
  <c r="BD177" i="45"/>
  <c r="BC177" i="45"/>
  <c r="BB177" i="45"/>
  <c r="BA177" i="45"/>
  <c r="AZ177" i="45"/>
  <c r="AY177" i="45"/>
  <c r="AX177" i="45"/>
  <c r="AW177" i="45"/>
  <c r="AV177" i="45"/>
  <c r="AU177" i="45"/>
  <c r="AT177" i="45"/>
  <c r="CC176" i="45"/>
  <c r="CB176" i="45"/>
  <c r="CA176" i="45"/>
  <c r="BZ176" i="45"/>
  <c r="BY176" i="45"/>
  <c r="BX176" i="45"/>
  <c r="BW176" i="45"/>
  <c r="BV176" i="45"/>
  <c r="BU176" i="45"/>
  <c r="BT176" i="45"/>
  <c r="BS176" i="45"/>
  <c r="BR176" i="45"/>
  <c r="BQ176" i="45"/>
  <c r="BP176" i="45"/>
  <c r="BO176" i="45"/>
  <c r="BN176" i="45"/>
  <c r="BM176" i="45"/>
  <c r="BL176" i="45"/>
  <c r="BK176" i="45"/>
  <c r="BJ176" i="45"/>
  <c r="BI176" i="45"/>
  <c r="BH176" i="45"/>
  <c r="BG176" i="45"/>
  <c r="BF176" i="45"/>
  <c r="BE176" i="45"/>
  <c r="BD176" i="45"/>
  <c r="BC176" i="45"/>
  <c r="BB176" i="45"/>
  <c r="BA176" i="45"/>
  <c r="AZ176" i="45"/>
  <c r="AY176" i="45"/>
  <c r="AX176" i="45"/>
  <c r="AW176" i="45"/>
  <c r="AV176" i="45"/>
  <c r="AU176" i="45"/>
  <c r="AT176" i="45"/>
  <c r="CC175" i="45"/>
  <c r="CB175" i="45"/>
  <c r="CA175" i="45"/>
  <c r="BZ175" i="45"/>
  <c r="BY175" i="45"/>
  <c r="BX175" i="45"/>
  <c r="BW175" i="45"/>
  <c r="BV175" i="45"/>
  <c r="BU175" i="45"/>
  <c r="BT175" i="45"/>
  <c r="BS175" i="45"/>
  <c r="BR175" i="45"/>
  <c r="BQ175" i="45"/>
  <c r="BP175" i="45"/>
  <c r="BO175" i="45"/>
  <c r="BN175" i="45"/>
  <c r="BM175" i="45"/>
  <c r="BL175" i="45"/>
  <c r="BK175" i="45"/>
  <c r="BJ175" i="45"/>
  <c r="BI175" i="45"/>
  <c r="BH175" i="45"/>
  <c r="BG175" i="45"/>
  <c r="BF175" i="45"/>
  <c r="BE175" i="45"/>
  <c r="BD175" i="45"/>
  <c r="BC175" i="45"/>
  <c r="BB175" i="45"/>
  <c r="BA175" i="45"/>
  <c r="AZ175" i="45"/>
  <c r="AY175" i="45"/>
  <c r="AX175" i="45"/>
  <c r="AW175" i="45"/>
  <c r="AV175" i="45"/>
  <c r="AU175" i="45"/>
  <c r="AT175" i="45"/>
  <c r="CC174" i="45"/>
  <c r="CB174" i="45"/>
  <c r="CA174" i="45"/>
  <c r="BZ174" i="45"/>
  <c r="BY174" i="45"/>
  <c r="BX174" i="45"/>
  <c r="BW174" i="45"/>
  <c r="BV174" i="45"/>
  <c r="BU174" i="45"/>
  <c r="BT174" i="45"/>
  <c r="BS174" i="45"/>
  <c r="BR174" i="45"/>
  <c r="BQ174" i="45"/>
  <c r="BP174" i="45"/>
  <c r="BO174" i="45"/>
  <c r="BN174" i="45"/>
  <c r="BM174" i="45"/>
  <c r="BL174" i="45"/>
  <c r="BK174" i="45"/>
  <c r="BJ174" i="45"/>
  <c r="BI174" i="45"/>
  <c r="BH174" i="45"/>
  <c r="BG174" i="45"/>
  <c r="BF174" i="45"/>
  <c r="BE174" i="45"/>
  <c r="BD174" i="45"/>
  <c r="BC174" i="45"/>
  <c r="BB174" i="45"/>
  <c r="BA174" i="45"/>
  <c r="AZ174" i="45"/>
  <c r="AY174" i="45"/>
  <c r="AX174" i="45"/>
  <c r="AW174" i="45"/>
  <c r="AV174" i="45"/>
  <c r="AU174" i="45"/>
  <c r="AT174" i="45"/>
  <c r="CC173" i="45"/>
  <c r="CB173" i="45"/>
  <c r="CA173" i="45"/>
  <c r="BZ173" i="45"/>
  <c r="BY173" i="45"/>
  <c r="BX173" i="45"/>
  <c r="BW173" i="45"/>
  <c r="BV173" i="45"/>
  <c r="BU173" i="45"/>
  <c r="BT173" i="45"/>
  <c r="BS173" i="45"/>
  <c r="BR173" i="45"/>
  <c r="BQ173" i="45"/>
  <c r="BP173" i="45"/>
  <c r="BO173" i="45"/>
  <c r="BN173" i="45"/>
  <c r="BM173" i="45"/>
  <c r="BL173" i="45"/>
  <c r="BK173" i="45"/>
  <c r="BJ173" i="45"/>
  <c r="BI173" i="45"/>
  <c r="BH173" i="45"/>
  <c r="BG173" i="45"/>
  <c r="BF173" i="45"/>
  <c r="BE173" i="45"/>
  <c r="BD173" i="45"/>
  <c r="BC173" i="45"/>
  <c r="BB173" i="45"/>
  <c r="BA173" i="45"/>
  <c r="AZ173" i="45"/>
  <c r="AY173" i="45"/>
  <c r="AX173" i="45"/>
  <c r="AW173" i="45"/>
  <c r="AV173" i="45"/>
  <c r="AU173" i="45"/>
  <c r="AT173" i="45"/>
  <c r="CC172" i="45"/>
  <c r="CB172" i="45"/>
  <c r="CA172" i="45"/>
  <c r="BZ172" i="45"/>
  <c r="BY172" i="45"/>
  <c r="BX172" i="45"/>
  <c r="BW172" i="45"/>
  <c r="BV172" i="45"/>
  <c r="BU172" i="45"/>
  <c r="BT172" i="45"/>
  <c r="BS172" i="45"/>
  <c r="BR172" i="45"/>
  <c r="BQ172" i="45"/>
  <c r="BP172" i="45"/>
  <c r="BO172" i="45"/>
  <c r="BN172" i="45"/>
  <c r="BM172" i="45"/>
  <c r="BL172" i="45"/>
  <c r="BK172" i="45"/>
  <c r="BJ172" i="45"/>
  <c r="BI172" i="45"/>
  <c r="BH172" i="45"/>
  <c r="BG172" i="45"/>
  <c r="BF172" i="45"/>
  <c r="BE172" i="45"/>
  <c r="BD172" i="45"/>
  <c r="BC172" i="45"/>
  <c r="BB172" i="45"/>
  <c r="BA172" i="45"/>
  <c r="AZ172" i="45"/>
  <c r="AY172" i="45"/>
  <c r="AX172" i="45"/>
  <c r="AW172" i="45"/>
  <c r="AV172" i="45"/>
  <c r="AU172" i="45"/>
  <c r="AT172" i="45"/>
  <c r="CC171" i="45"/>
  <c r="CB171" i="45"/>
  <c r="CA171" i="45"/>
  <c r="BZ171" i="45"/>
  <c r="BY171" i="45"/>
  <c r="BX171" i="45"/>
  <c r="BW171" i="45"/>
  <c r="BV171" i="45"/>
  <c r="BU171" i="45"/>
  <c r="BT171" i="45"/>
  <c r="BS171" i="45"/>
  <c r="BR171" i="45"/>
  <c r="BQ171" i="45"/>
  <c r="BP171" i="45"/>
  <c r="BO171" i="45"/>
  <c r="BN171" i="45"/>
  <c r="BM171" i="45"/>
  <c r="BL171" i="45"/>
  <c r="BK171" i="45"/>
  <c r="BJ171" i="45"/>
  <c r="BI171" i="45"/>
  <c r="BH171" i="45"/>
  <c r="BG171" i="45"/>
  <c r="BF171" i="45"/>
  <c r="BE171" i="45"/>
  <c r="BD171" i="45"/>
  <c r="BC171" i="45"/>
  <c r="BB171" i="45"/>
  <c r="BA171" i="45"/>
  <c r="AZ171" i="45"/>
  <c r="AY171" i="45"/>
  <c r="AX171" i="45"/>
  <c r="AW171" i="45"/>
  <c r="AV171" i="45"/>
  <c r="AU171" i="45"/>
  <c r="AT171" i="45"/>
  <c r="CC170" i="45"/>
  <c r="CB170" i="45"/>
  <c r="CA170" i="45"/>
  <c r="BZ170" i="45"/>
  <c r="BY170" i="45"/>
  <c r="BX170" i="45"/>
  <c r="BW170" i="45"/>
  <c r="BV170" i="45"/>
  <c r="BU170" i="45"/>
  <c r="BT170" i="45"/>
  <c r="BS170" i="45"/>
  <c r="BR170" i="45"/>
  <c r="BQ170" i="45"/>
  <c r="BP170" i="45"/>
  <c r="BO170" i="45"/>
  <c r="BN170" i="45"/>
  <c r="BM170" i="45"/>
  <c r="BL170" i="45"/>
  <c r="BK170" i="45"/>
  <c r="BJ170" i="45"/>
  <c r="BI170" i="45"/>
  <c r="BH170" i="45"/>
  <c r="BG170" i="45"/>
  <c r="BF170" i="45"/>
  <c r="BE170" i="45"/>
  <c r="BD170" i="45"/>
  <c r="BC170" i="45"/>
  <c r="BB170" i="45"/>
  <c r="BA170" i="45"/>
  <c r="AZ170" i="45"/>
  <c r="AY170" i="45"/>
  <c r="AX170" i="45"/>
  <c r="AW170" i="45"/>
  <c r="AV170" i="45"/>
  <c r="AU170" i="45"/>
  <c r="AT170" i="45"/>
  <c r="CC161" i="45"/>
  <c r="CB161" i="45"/>
  <c r="CA161" i="45"/>
  <c r="BZ161" i="45"/>
  <c r="BY161" i="45"/>
  <c r="BX161" i="45"/>
  <c r="BW161" i="45"/>
  <c r="BV161" i="45"/>
  <c r="BU161" i="45"/>
  <c r="BT161" i="45"/>
  <c r="BS161" i="45"/>
  <c r="BR161" i="45"/>
  <c r="BQ161" i="45"/>
  <c r="BP161" i="45"/>
  <c r="BO161" i="45"/>
  <c r="BN161" i="45"/>
  <c r="BM161" i="45"/>
  <c r="BL161" i="45"/>
  <c r="BK161" i="45"/>
  <c r="BJ161" i="45"/>
  <c r="BI161" i="45"/>
  <c r="BH161" i="45"/>
  <c r="BG161" i="45"/>
  <c r="BF161" i="45"/>
  <c r="BE161" i="45"/>
  <c r="BD161" i="45"/>
  <c r="BC161" i="45"/>
  <c r="BB161" i="45"/>
  <c r="BA161" i="45"/>
  <c r="AZ161" i="45"/>
  <c r="AY161" i="45"/>
  <c r="AX161" i="45"/>
  <c r="AW161" i="45"/>
  <c r="AV161" i="45"/>
  <c r="AU161" i="45"/>
  <c r="AT161" i="45"/>
  <c r="CC160" i="45"/>
  <c r="CB160" i="45"/>
  <c r="CA160" i="45"/>
  <c r="BZ160" i="45"/>
  <c r="BY160" i="45"/>
  <c r="BX160" i="45"/>
  <c r="BW160" i="45"/>
  <c r="BV160" i="45"/>
  <c r="BU160" i="45"/>
  <c r="BT160" i="45"/>
  <c r="BS160" i="45"/>
  <c r="BR160" i="45"/>
  <c r="BQ160" i="45"/>
  <c r="BP160" i="45"/>
  <c r="BO160" i="45"/>
  <c r="BN160" i="45"/>
  <c r="BM160" i="45"/>
  <c r="BL160" i="45"/>
  <c r="BK160" i="45"/>
  <c r="BJ160" i="45"/>
  <c r="BI160" i="45"/>
  <c r="BH160" i="45"/>
  <c r="BG160" i="45"/>
  <c r="BF160" i="45"/>
  <c r="BE160" i="45"/>
  <c r="BD160" i="45"/>
  <c r="BC160" i="45"/>
  <c r="BB160" i="45"/>
  <c r="BA160" i="45"/>
  <c r="AZ160" i="45"/>
  <c r="AY160" i="45"/>
  <c r="AX160" i="45"/>
  <c r="AW160" i="45"/>
  <c r="AV160" i="45"/>
  <c r="AU160" i="45"/>
  <c r="AT160" i="45"/>
  <c r="CC159" i="45"/>
  <c r="CB159" i="45"/>
  <c r="CA159" i="45"/>
  <c r="BZ159" i="45"/>
  <c r="BY159" i="45"/>
  <c r="BX159" i="45"/>
  <c r="BW159" i="45"/>
  <c r="BV159" i="45"/>
  <c r="BU159" i="45"/>
  <c r="BT159" i="45"/>
  <c r="BS159" i="45"/>
  <c r="BR159" i="45"/>
  <c r="BQ159" i="45"/>
  <c r="BP159" i="45"/>
  <c r="BO159" i="45"/>
  <c r="BN159" i="45"/>
  <c r="BM159" i="45"/>
  <c r="BL159" i="45"/>
  <c r="BK159" i="45"/>
  <c r="BJ159" i="45"/>
  <c r="BI159" i="45"/>
  <c r="BH159" i="45"/>
  <c r="BG159" i="45"/>
  <c r="BF159" i="45"/>
  <c r="BE159" i="45"/>
  <c r="BD159" i="45"/>
  <c r="BC159" i="45"/>
  <c r="BB159" i="45"/>
  <c r="BA159" i="45"/>
  <c r="AZ159" i="45"/>
  <c r="AY159" i="45"/>
  <c r="AX159" i="45"/>
  <c r="AW159" i="45"/>
  <c r="AV159" i="45"/>
  <c r="AU159" i="45"/>
  <c r="AT159" i="45"/>
  <c r="CC158" i="45"/>
  <c r="CB158" i="45"/>
  <c r="CA158" i="45"/>
  <c r="BZ158" i="45"/>
  <c r="BY158" i="45"/>
  <c r="BX158" i="45"/>
  <c r="BW158" i="45"/>
  <c r="BV158" i="45"/>
  <c r="BU158" i="45"/>
  <c r="BT158" i="45"/>
  <c r="BS158" i="45"/>
  <c r="BR158" i="45"/>
  <c r="BQ158" i="45"/>
  <c r="BP158" i="45"/>
  <c r="BO158" i="45"/>
  <c r="BN158" i="45"/>
  <c r="BM158" i="45"/>
  <c r="BL158" i="45"/>
  <c r="BK158" i="45"/>
  <c r="BJ158" i="45"/>
  <c r="BI158" i="45"/>
  <c r="BH158" i="45"/>
  <c r="BG158" i="45"/>
  <c r="BF158" i="45"/>
  <c r="BE158" i="45"/>
  <c r="BD158" i="45"/>
  <c r="BC158" i="45"/>
  <c r="BB158" i="45"/>
  <c r="BA158" i="45"/>
  <c r="AZ158" i="45"/>
  <c r="AY158" i="45"/>
  <c r="AX158" i="45"/>
  <c r="AW158" i="45"/>
  <c r="AV158" i="45"/>
  <c r="AU158" i="45"/>
  <c r="AT158" i="45"/>
  <c r="CC157" i="45"/>
  <c r="CB157" i="45"/>
  <c r="CA157" i="45"/>
  <c r="BZ157" i="45"/>
  <c r="BY157" i="45"/>
  <c r="BX157" i="45"/>
  <c r="BW157" i="45"/>
  <c r="BV157" i="45"/>
  <c r="BU157" i="45"/>
  <c r="BT157" i="45"/>
  <c r="BS157" i="45"/>
  <c r="BR157" i="45"/>
  <c r="BQ157" i="45"/>
  <c r="BP157" i="45"/>
  <c r="BO157" i="45"/>
  <c r="BN157" i="45"/>
  <c r="BM157" i="45"/>
  <c r="BL157" i="45"/>
  <c r="BK157" i="45"/>
  <c r="BJ157" i="45"/>
  <c r="BI157" i="45"/>
  <c r="BH157" i="45"/>
  <c r="BG157" i="45"/>
  <c r="BF157" i="45"/>
  <c r="BE157" i="45"/>
  <c r="BD157" i="45"/>
  <c r="BC157" i="45"/>
  <c r="BB157" i="45"/>
  <c r="BA157" i="45"/>
  <c r="AZ157" i="45"/>
  <c r="AY157" i="45"/>
  <c r="AX157" i="45"/>
  <c r="AW157" i="45"/>
  <c r="AV157" i="45"/>
  <c r="AU157" i="45"/>
  <c r="AT157" i="45"/>
  <c r="CC156" i="45"/>
  <c r="CB156" i="45"/>
  <c r="CA156" i="45"/>
  <c r="BZ156" i="45"/>
  <c r="BY156" i="45"/>
  <c r="BX156" i="45"/>
  <c r="BW156" i="45"/>
  <c r="BV156" i="45"/>
  <c r="BU156" i="45"/>
  <c r="BT156" i="45"/>
  <c r="BS156" i="45"/>
  <c r="BR156" i="45"/>
  <c r="BQ156" i="45"/>
  <c r="BP156" i="45"/>
  <c r="BO156" i="45"/>
  <c r="BN156" i="45"/>
  <c r="BM156" i="45"/>
  <c r="BL156" i="45"/>
  <c r="BK156" i="45"/>
  <c r="BJ156" i="45"/>
  <c r="BI156" i="45"/>
  <c r="BH156" i="45"/>
  <c r="BG156" i="45"/>
  <c r="BF156" i="45"/>
  <c r="BE156" i="45"/>
  <c r="BD156" i="45"/>
  <c r="BC156" i="45"/>
  <c r="BB156" i="45"/>
  <c r="BA156" i="45"/>
  <c r="AZ156" i="45"/>
  <c r="AY156" i="45"/>
  <c r="AX156" i="45"/>
  <c r="AW156" i="45"/>
  <c r="AV156" i="45"/>
  <c r="AU156" i="45"/>
  <c r="AT156" i="45"/>
  <c r="CC155" i="45"/>
  <c r="CB155" i="45"/>
  <c r="CA155" i="45"/>
  <c r="BZ155" i="45"/>
  <c r="BY155" i="45"/>
  <c r="BX155" i="45"/>
  <c r="BW155" i="45"/>
  <c r="BV155" i="45"/>
  <c r="BU155" i="45"/>
  <c r="BT155" i="45"/>
  <c r="BS155" i="45"/>
  <c r="BR155" i="45"/>
  <c r="BQ155" i="45"/>
  <c r="BP155" i="45"/>
  <c r="BO155" i="45"/>
  <c r="BN155" i="45"/>
  <c r="BM155" i="45"/>
  <c r="BL155" i="45"/>
  <c r="BK155" i="45"/>
  <c r="BJ155" i="45"/>
  <c r="BI155" i="45"/>
  <c r="BH155" i="45"/>
  <c r="BG155" i="45"/>
  <c r="BF155" i="45"/>
  <c r="BE155" i="45"/>
  <c r="BD155" i="45"/>
  <c r="BC155" i="45"/>
  <c r="BB155" i="45"/>
  <c r="BA155" i="45"/>
  <c r="AZ155" i="45"/>
  <c r="AY155" i="45"/>
  <c r="AX155" i="45"/>
  <c r="AW155" i="45"/>
  <c r="AV155" i="45"/>
  <c r="AU155" i="45"/>
  <c r="AT155" i="45"/>
  <c r="CC154" i="45"/>
  <c r="CB154" i="45"/>
  <c r="CA154" i="45"/>
  <c r="BZ154" i="45"/>
  <c r="BY154" i="45"/>
  <c r="BX154" i="45"/>
  <c r="BW154" i="45"/>
  <c r="BV154" i="45"/>
  <c r="BU154" i="45"/>
  <c r="BT154" i="45"/>
  <c r="BS154" i="45"/>
  <c r="BR154" i="45"/>
  <c r="BQ154" i="45"/>
  <c r="BP154" i="45"/>
  <c r="BO154" i="45"/>
  <c r="BN154" i="45"/>
  <c r="BM154" i="45"/>
  <c r="BL154" i="45"/>
  <c r="BK154" i="45"/>
  <c r="BJ154" i="45"/>
  <c r="BI154" i="45"/>
  <c r="BH154" i="45"/>
  <c r="BG154" i="45"/>
  <c r="BF154" i="45"/>
  <c r="BE154" i="45"/>
  <c r="BD154" i="45"/>
  <c r="BC154" i="45"/>
  <c r="BB154" i="45"/>
  <c r="BA154" i="45"/>
  <c r="AZ154" i="45"/>
  <c r="AY154" i="45"/>
  <c r="AX154" i="45"/>
  <c r="AW154" i="45"/>
  <c r="AV154" i="45"/>
  <c r="AU154" i="45"/>
  <c r="AT154" i="45"/>
  <c r="CC145" i="45"/>
  <c r="CB145" i="45"/>
  <c r="CA145" i="45"/>
  <c r="BZ145" i="45"/>
  <c r="BY145" i="45"/>
  <c r="BX145" i="45"/>
  <c r="BW145" i="45"/>
  <c r="BV145" i="45"/>
  <c r="BU145" i="45"/>
  <c r="BT145" i="45"/>
  <c r="BS145" i="45"/>
  <c r="BR145" i="45"/>
  <c r="BQ145" i="45"/>
  <c r="BP145" i="45"/>
  <c r="BO145" i="45"/>
  <c r="BN145" i="45"/>
  <c r="BM145" i="45"/>
  <c r="BL145" i="45"/>
  <c r="BK145" i="45"/>
  <c r="BJ145" i="45"/>
  <c r="BI145" i="45"/>
  <c r="BH145" i="45"/>
  <c r="BG145" i="45"/>
  <c r="BF145" i="45"/>
  <c r="BE145" i="45"/>
  <c r="BD145" i="45"/>
  <c r="BC145" i="45"/>
  <c r="BB145" i="45"/>
  <c r="BA145" i="45"/>
  <c r="AZ145" i="45"/>
  <c r="AY145" i="45"/>
  <c r="AX145" i="45"/>
  <c r="AW145" i="45"/>
  <c r="AV145" i="45"/>
  <c r="AU145" i="45"/>
  <c r="AT145" i="45"/>
  <c r="CC144" i="45"/>
  <c r="CB144" i="45"/>
  <c r="CA144" i="45"/>
  <c r="BZ144" i="45"/>
  <c r="BY144" i="45"/>
  <c r="BX144" i="45"/>
  <c r="BW144" i="45"/>
  <c r="BV144" i="45"/>
  <c r="BU144" i="45"/>
  <c r="BT144" i="45"/>
  <c r="BS144" i="45"/>
  <c r="BR144" i="45"/>
  <c r="BQ144" i="45"/>
  <c r="BP144" i="45"/>
  <c r="BO144" i="45"/>
  <c r="BN144" i="45"/>
  <c r="BM144" i="45"/>
  <c r="BL144" i="45"/>
  <c r="BK144" i="45"/>
  <c r="BJ144" i="45"/>
  <c r="BI144" i="45"/>
  <c r="BH144" i="45"/>
  <c r="BG144" i="45"/>
  <c r="BF144" i="45"/>
  <c r="BE144" i="45"/>
  <c r="BD144" i="45"/>
  <c r="BC144" i="45"/>
  <c r="BB144" i="45"/>
  <c r="BA144" i="45"/>
  <c r="AZ144" i="45"/>
  <c r="AY144" i="45"/>
  <c r="AX144" i="45"/>
  <c r="AW144" i="45"/>
  <c r="AV144" i="45"/>
  <c r="AU144" i="45"/>
  <c r="AT144" i="45"/>
  <c r="CC143" i="45"/>
  <c r="CB143" i="45"/>
  <c r="CA143" i="45"/>
  <c r="BZ143" i="45"/>
  <c r="BY143" i="45"/>
  <c r="BX143" i="45"/>
  <c r="BW143" i="45"/>
  <c r="BV143" i="45"/>
  <c r="BU143" i="45"/>
  <c r="BT143" i="45"/>
  <c r="BS143" i="45"/>
  <c r="BR143" i="45"/>
  <c r="BQ143" i="45"/>
  <c r="BP143" i="45"/>
  <c r="BO143" i="45"/>
  <c r="BN143" i="45"/>
  <c r="BM143" i="45"/>
  <c r="BL143" i="45"/>
  <c r="BK143" i="45"/>
  <c r="BJ143" i="45"/>
  <c r="BI143" i="45"/>
  <c r="BH143" i="45"/>
  <c r="BG143" i="45"/>
  <c r="BF143" i="45"/>
  <c r="BE143" i="45"/>
  <c r="BD143" i="45"/>
  <c r="BC143" i="45"/>
  <c r="BB143" i="45"/>
  <c r="BA143" i="45"/>
  <c r="AZ143" i="45"/>
  <c r="AY143" i="45"/>
  <c r="AX143" i="45"/>
  <c r="AW143" i="45"/>
  <c r="AV143" i="45"/>
  <c r="AU143" i="45"/>
  <c r="AT143" i="45"/>
  <c r="CC142" i="45"/>
  <c r="CB142" i="45"/>
  <c r="CA142" i="45"/>
  <c r="BZ142" i="45"/>
  <c r="BY142" i="45"/>
  <c r="BX142" i="45"/>
  <c r="BW142" i="45"/>
  <c r="BV142" i="45"/>
  <c r="BU142" i="45"/>
  <c r="BT142" i="45"/>
  <c r="BS142" i="45"/>
  <c r="BR142" i="45"/>
  <c r="BQ142" i="45"/>
  <c r="BP142" i="45"/>
  <c r="BO142" i="45"/>
  <c r="BN142" i="45"/>
  <c r="BM142" i="45"/>
  <c r="BL142" i="45"/>
  <c r="BK142" i="45"/>
  <c r="BJ142" i="45"/>
  <c r="BI142" i="45"/>
  <c r="BH142" i="45"/>
  <c r="BG142" i="45"/>
  <c r="BF142" i="45"/>
  <c r="BE142" i="45"/>
  <c r="BD142" i="45"/>
  <c r="BC142" i="45"/>
  <c r="BB142" i="45"/>
  <c r="BA142" i="45"/>
  <c r="AZ142" i="45"/>
  <c r="AY142" i="45"/>
  <c r="AX142" i="45"/>
  <c r="AW142" i="45"/>
  <c r="AV142" i="45"/>
  <c r="AU142" i="45"/>
  <c r="AT142" i="45"/>
  <c r="CC141" i="45"/>
  <c r="CB141" i="45"/>
  <c r="CA141" i="45"/>
  <c r="BZ141" i="45"/>
  <c r="BY141" i="45"/>
  <c r="BX141" i="45"/>
  <c r="BW141" i="45"/>
  <c r="BV141" i="45"/>
  <c r="BU141" i="45"/>
  <c r="BT141" i="45"/>
  <c r="BS141" i="45"/>
  <c r="BR141" i="45"/>
  <c r="BQ141" i="45"/>
  <c r="BP141" i="45"/>
  <c r="BO141" i="45"/>
  <c r="BN141" i="45"/>
  <c r="BM141" i="45"/>
  <c r="BL141" i="45"/>
  <c r="BK141" i="45"/>
  <c r="BJ141" i="45"/>
  <c r="BI141" i="45"/>
  <c r="BH141" i="45"/>
  <c r="BG141" i="45"/>
  <c r="BF141" i="45"/>
  <c r="BE141" i="45"/>
  <c r="BD141" i="45"/>
  <c r="BC141" i="45"/>
  <c r="BB141" i="45"/>
  <c r="BA141" i="45"/>
  <c r="AZ141" i="45"/>
  <c r="AY141" i="45"/>
  <c r="AX141" i="45"/>
  <c r="AW141" i="45"/>
  <c r="AV141" i="45"/>
  <c r="AU141" i="45"/>
  <c r="AT141" i="45"/>
  <c r="CC140" i="45"/>
  <c r="CB140" i="45"/>
  <c r="CA140" i="45"/>
  <c r="BZ140" i="45"/>
  <c r="BY140" i="45"/>
  <c r="BX140" i="45"/>
  <c r="BW140" i="45"/>
  <c r="BV140" i="45"/>
  <c r="BU140" i="45"/>
  <c r="BT140" i="45"/>
  <c r="BS140" i="45"/>
  <c r="BR140" i="45"/>
  <c r="BQ140" i="45"/>
  <c r="BP140" i="45"/>
  <c r="BO140" i="45"/>
  <c r="BN140" i="45"/>
  <c r="BM140" i="45"/>
  <c r="BL140" i="45"/>
  <c r="BK140" i="45"/>
  <c r="BJ140" i="45"/>
  <c r="BI140" i="45"/>
  <c r="BH140" i="45"/>
  <c r="BG140" i="45"/>
  <c r="BF140" i="45"/>
  <c r="BE140" i="45"/>
  <c r="BD140" i="45"/>
  <c r="BC140" i="45"/>
  <c r="BB140" i="45"/>
  <c r="BA140" i="45"/>
  <c r="AZ140" i="45"/>
  <c r="AY140" i="45"/>
  <c r="AX140" i="45"/>
  <c r="AW140" i="45"/>
  <c r="AV140" i="45"/>
  <c r="AU140" i="45"/>
  <c r="AT140" i="45"/>
  <c r="CC139" i="45"/>
  <c r="CB139" i="45"/>
  <c r="CA139" i="45"/>
  <c r="BZ139" i="45"/>
  <c r="BY139" i="45"/>
  <c r="BX139" i="45"/>
  <c r="BW139" i="45"/>
  <c r="BV139" i="45"/>
  <c r="BU139" i="45"/>
  <c r="BT139" i="45"/>
  <c r="BS139" i="45"/>
  <c r="BR139" i="45"/>
  <c r="BQ139" i="45"/>
  <c r="BP139" i="45"/>
  <c r="BO139" i="45"/>
  <c r="BN139" i="45"/>
  <c r="BM139" i="45"/>
  <c r="BL139" i="45"/>
  <c r="BK139" i="45"/>
  <c r="BJ139" i="45"/>
  <c r="BI139" i="45"/>
  <c r="BH139" i="45"/>
  <c r="BG139" i="45"/>
  <c r="BF139" i="45"/>
  <c r="BE139" i="45"/>
  <c r="BD139" i="45"/>
  <c r="BC139" i="45"/>
  <c r="BB139" i="45"/>
  <c r="BA139" i="45"/>
  <c r="AZ139" i="45"/>
  <c r="AY139" i="45"/>
  <c r="AX139" i="45"/>
  <c r="AW139" i="45"/>
  <c r="AV139" i="45"/>
  <c r="AU139" i="45"/>
  <c r="AT139" i="45"/>
  <c r="CC138" i="45"/>
  <c r="CB138" i="45"/>
  <c r="CA138" i="45"/>
  <c r="BZ138" i="45"/>
  <c r="BY138" i="45"/>
  <c r="BX138" i="45"/>
  <c r="BW138" i="45"/>
  <c r="BV138" i="45"/>
  <c r="BU138" i="45"/>
  <c r="BT138" i="45"/>
  <c r="BS138" i="45"/>
  <c r="BR138" i="45"/>
  <c r="BQ138" i="45"/>
  <c r="BP138" i="45"/>
  <c r="BO138" i="45"/>
  <c r="BN138" i="45"/>
  <c r="BM138" i="45"/>
  <c r="BL138" i="45"/>
  <c r="BK138" i="45"/>
  <c r="BJ138" i="45"/>
  <c r="BI138" i="45"/>
  <c r="BH138" i="45"/>
  <c r="BG138" i="45"/>
  <c r="BF138" i="45"/>
  <c r="BE138" i="45"/>
  <c r="BD138" i="45"/>
  <c r="BC138" i="45"/>
  <c r="BB138" i="45"/>
  <c r="BA138" i="45"/>
  <c r="AZ138" i="45"/>
  <c r="AY138" i="45"/>
  <c r="AX138" i="45"/>
  <c r="AW138" i="45"/>
  <c r="AV138" i="45"/>
  <c r="AU138" i="45"/>
  <c r="AT138" i="45"/>
  <c r="CC129" i="45"/>
  <c r="CB129" i="45"/>
  <c r="CA129" i="45"/>
  <c r="BZ129" i="45"/>
  <c r="BY129" i="45"/>
  <c r="BX129" i="45"/>
  <c r="BW129" i="45"/>
  <c r="BV129" i="45"/>
  <c r="BU129" i="45"/>
  <c r="BT129" i="45"/>
  <c r="BS129" i="45"/>
  <c r="BR129" i="45"/>
  <c r="BQ129" i="45"/>
  <c r="BP129" i="45"/>
  <c r="BO129" i="45"/>
  <c r="BN129" i="45"/>
  <c r="BM129" i="45"/>
  <c r="BL129" i="45"/>
  <c r="BK129" i="45"/>
  <c r="BJ129" i="45"/>
  <c r="BI129" i="45"/>
  <c r="BH129" i="45"/>
  <c r="BG129" i="45"/>
  <c r="BF129" i="45"/>
  <c r="BE129" i="45"/>
  <c r="BD129" i="45"/>
  <c r="BC129" i="45"/>
  <c r="BB129" i="45"/>
  <c r="BA129" i="45"/>
  <c r="AZ129" i="45"/>
  <c r="AY129" i="45"/>
  <c r="AX129" i="45"/>
  <c r="AW129" i="45"/>
  <c r="AV129" i="45"/>
  <c r="AU129" i="45"/>
  <c r="AT129" i="45"/>
  <c r="CC128" i="45"/>
  <c r="CB128" i="45"/>
  <c r="CA128" i="45"/>
  <c r="BZ128" i="45"/>
  <c r="BY128" i="45"/>
  <c r="BX128" i="45"/>
  <c r="BW128" i="45"/>
  <c r="BV128" i="45"/>
  <c r="BU128" i="45"/>
  <c r="BT128" i="45"/>
  <c r="BS128" i="45"/>
  <c r="BR128" i="45"/>
  <c r="BQ128" i="45"/>
  <c r="BP128" i="45"/>
  <c r="BO128" i="45"/>
  <c r="BN128" i="45"/>
  <c r="BM128" i="45"/>
  <c r="BL128" i="45"/>
  <c r="BK128" i="45"/>
  <c r="BJ128" i="45"/>
  <c r="BI128" i="45"/>
  <c r="BH128" i="45"/>
  <c r="BG128" i="45"/>
  <c r="BF128" i="45"/>
  <c r="BE128" i="45"/>
  <c r="BD128" i="45"/>
  <c r="BC128" i="45"/>
  <c r="BB128" i="45"/>
  <c r="BA128" i="45"/>
  <c r="AZ128" i="45"/>
  <c r="AY128" i="45"/>
  <c r="AX128" i="45"/>
  <c r="AW128" i="45"/>
  <c r="AV128" i="45"/>
  <c r="AU128" i="45"/>
  <c r="AT128" i="45"/>
  <c r="CC127" i="45"/>
  <c r="CB127" i="45"/>
  <c r="CA127" i="45"/>
  <c r="BZ127" i="45"/>
  <c r="BY127" i="45"/>
  <c r="BX127" i="45"/>
  <c r="BW127" i="45"/>
  <c r="BV127" i="45"/>
  <c r="BU127" i="45"/>
  <c r="BT127" i="45"/>
  <c r="BS127" i="45"/>
  <c r="BR127" i="45"/>
  <c r="BQ127" i="45"/>
  <c r="BP127" i="45"/>
  <c r="BO127" i="45"/>
  <c r="BN127" i="45"/>
  <c r="BM127" i="45"/>
  <c r="BL127" i="45"/>
  <c r="BK127" i="45"/>
  <c r="BJ127" i="45"/>
  <c r="BI127" i="45"/>
  <c r="BH127" i="45"/>
  <c r="BG127" i="45"/>
  <c r="BF127" i="45"/>
  <c r="BE127" i="45"/>
  <c r="BD127" i="45"/>
  <c r="BC127" i="45"/>
  <c r="BB127" i="45"/>
  <c r="BA127" i="45"/>
  <c r="AZ127" i="45"/>
  <c r="AY127" i="45"/>
  <c r="AX127" i="45"/>
  <c r="AW127" i="45"/>
  <c r="AV127" i="45"/>
  <c r="AU127" i="45"/>
  <c r="AT127" i="45"/>
  <c r="CC126" i="45"/>
  <c r="CB126" i="45"/>
  <c r="CA126" i="45"/>
  <c r="BZ126" i="45"/>
  <c r="BY126" i="45"/>
  <c r="BX126" i="45"/>
  <c r="BW126" i="45"/>
  <c r="BV126" i="45"/>
  <c r="BU126" i="45"/>
  <c r="BT126" i="45"/>
  <c r="BS126" i="45"/>
  <c r="BR126" i="45"/>
  <c r="BQ126" i="45"/>
  <c r="BP126" i="45"/>
  <c r="BO126" i="45"/>
  <c r="BN126" i="45"/>
  <c r="BM126" i="45"/>
  <c r="BL126" i="45"/>
  <c r="BK126" i="45"/>
  <c r="BJ126" i="45"/>
  <c r="BI126" i="45"/>
  <c r="BH126" i="45"/>
  <c r="BG126" i="45"/>
  <c r="BF126" i="45"/>
  <c r="BE126" i="45"/>
  <c r="BD126" i="45"/>
  <c r="BC126" i="45"/>
  <c r="BB126" i="45"/>
  <c r="BA126" i="45"/>
  <c r="AZ126" i="45"/>
  <c r="AY126" i="45"/>
  <c r="AX126" i="45"/>
  <c r="AW126" i="45"/>
  <c r="AV126" i="45"/>
  <c r="AU126" i="45"/>
  <c r="AT126" i="45"/>
  <c r="CC125" i="45"/>
  <c r="CB125" i="45"/>
  <c r="CA125" i="45"/>
  <c r="BZ125" i="45"/>
  <c r="BY125" i="45"/>
  <c r="BX125" i="45"/>
  <c r="BW125" i="45"/>
  <c r="BV125" i="45"/>
  <c r="BU125" i="45"/>
  <c r="BT125" i="45"/>
  <c r="BS125" i="45"/>
  <c r="BR125" i="45"/>
  <c r="BQ125" i="45"/>
  <c r="BP125" i="45"/>
  <c r="BO125" i="45"/>
  <c r="BN125" i="45"/>
  <c r="BM125" i="45"/>
  <c r="BL125" i="45"/>
  <c r="BK125" i="45"/>
  <c r="BJ125" i="45"/>
  <c r="BI125" i="45"/>
  <c r="BH125" i="45"/>
  <c r="BG125" i="45"/>
  <c r="BF125" i="45"/>
  <c r="BE125" i="45"/>
  <c r="BD125" i="45"/>
  <c r="BC125" i="45"/>
  <c r="BB125" i="45"/>
  <c r="BA125" i="45"/>
  <c r="AZ125" i="45"/>
  <c r="AY125" i="45"/>
  <c r="AX125" i="45"/>
  <c r="AW125" i="45"/>
  <c r="AV125" i="45"/>
  <c r="AU125" i="45"/>
  <c r="AT125" i="45"/>
  <c r="CC124" i="45"/>
  <c r="CB124" i="45"/>
  <c r="CA124" i="45"/>
  <c r="BZ124" i="45"/>
  <c r="BY124" i="45"/>
  <c r="BX124" i="45"/>
  <c r="BW124" i="45"/>
  <c r="BV124" i="45"/>
  <c r="BU124" i="45"/>
  <c r="BT124" i="45"/>
  <c r="BS124" i="45"/>
  <c r="BR124" i="45"/>
  <c r="BQ124" i="45"/>
  <c r="BP124" i="45"/>
  <c r="BO124" i="45"/>
  <c r="BN124" i="45"/>
  <c r="BM124" i="45"/>
  <c r="BL124" i="45"/>
  <c r="BK124" i="45"/>
  <c r="BJ124" i="45"/>
  <c r="BI124" i="45"/>
  <c r="BH124" i="45"/>
  <c r="BG124" i="45"/>
  <c r="BF124" i="45"/>
  <c r="BE124" i="45"/>
  <c r="BD124" i="45"/>
  <c r="BC124" i="45"/>
  <c r="BB124" i="45"/>
  <c r="BA124" i="45"/>
  <c r="AZ124" i="45"/>
  <c r="AY124" i="45"/>
  <c r="AX124" i="45"/>
  <c r="AW124" i="45"/>
  <c r="AV124" i="45"/>
  <c r="AU124" i="45"/>
  <c r="AT124" i="45"/>
  <c r="CC123" i="45"/>
  <c r="CB123" i="45"/>
  <c r="CA123" i="45"/>
  <c r="BZ123" i="45"/>
  <c r="BY123" i="45"/>
  <c r="BX123" i="45"/>
  <c r="BW123" i="45"/>
  <c r="BV123" i="45"/>
  <c r="BU123" i="45"/>
  <c r="BT123" i="45"/>
  <c r="BS123" i="45"/>
  <c r="BR123" i="45"/>
  <c r="BQ123" i="45"/>
  <c r="BP123" i="45"/>
  <c r="BO123" i="45"/>
  <c r="BN123" i="45"/>
  <c r="BM123" i="45"/>
  <c r="BL123" i="45"/>
  <c r="BK123" i="45"/>
  <c r="BJ123" i="45"/>
  <c r="BI123" i="45"/>
  <c r="BH123" i="45"/>
  <c r="BG123" i="45"/>
  <c r="BF123" i="45"/>
  <c r="BE123" i="45"/>
  <c r="BD123" i="45"/>
  <c r="BC123" i="45"/>
  <c r="BB123" i="45"/>
  <c r="BA123" i="45"/>
  <c r="AZ123" i="45"/>
  <c r="AY123" i="45"/>
  <c r="AX123" i="45"/>
  <c r="AW123" i="45"/>
  <c r="AV123" i="45"/>
  <c r="AU123" i="45"/>
  <c r="AT123" i="45"/>
  <c r="CC122" i="45"/>
  <c r="CB122" i="45"/>
  <c r="CA122" i="45"/>
  <c r="BZ122" i="45"/>
  <c r="BY122" i="45"/>
  <c r="BX122" i="45"/>
  <c r="BW122" i="45"/>
  <c r="BV122" i="45"/>
  <c r="BU122" i="45"/>
  <c r="BT122" i="45"/>
  <c r="BS122" i="45"/>
  <c r="BR122" i="45"/>
  <c r="BQ122" i="45"/>
  <c r="BP122" i="45"/>
  <c r="BO122" i="45"/>
  <c r="BN122" i="45"/>
  <c r="BM122" i="45"/>
  <c r="BL122" i="45"/>
  <c r="BK122" i="45"/>
  <c r="BJ122" i="45"/>
  <c r="BI122" i="45"/>
  <c r="BH122" i="45"/>
  <c r="BG122" i="45"/>
  <c r="BF122" i="45"/>
  <c r="BE122" i="45"/>
  <c r="BD122" i="45"/>
  <c r="BC122" i="45"/>
  <c r="BB122" i="45"/>
  <c r="BA122" i="45"/>
  <c r="AZ122" i="45"/>
  <c r="AY122" i="45"/>
  <c r="AX122" i="45"/>
  <c r="AW122" i="45"/>
  <c r="AV122" i="45"/>
  <c r="AU122" i="45"/>
  <c r="AT122" i="45"/>
  <c r="CC113" i="45"/>
  <c r="CB113" i="45"/>
  <c r="CA113" i="45"/>
  <c r="BZ113" i="45"/>
  <c r="BY113" i="45"/>
  <c r="BX113" i="45"/>
  <c r="BW113" i="45"/>
  <c r="BV113" i="45"/>
  <c r="BU113" i="45"/>
  <c r="BT113" i="45"/>
  <c r="BS113" i="45"/>
  <c r="BR113" i="45"/>
  <c r="BQ113" i="45"/>
  <c r="BP113" i="45"/>
  <c r="BO113" i="45"/>
  <c r="BN113" i="45"/>
  <c r="BM113" i="45"/>
  <c r="BL113" i="45"/>
  <c r="BK113" i="45"/>
  <c r="BJ113" i="45"/>
  <c r="BI113" i="45"/>
  <c r="BH113" i="45"/>
  <c r="BG113" i="45"/>
  <c r="BF113" i="45"/>
  <c r="BE113" i="45"/>
  <c r="BD113" i="45"/>
  <c r="BC113" i="45"/>
  <c r="BB113" i="45"/>
  <c r="BA113" i="45"/>
  <c r="AZ113" i="45"/>
  <c r="AY113" i="45"/>
  <c r="AX113" i="45"/>
  <c r="AW113" i="45"/>
  <c r="AV113" i="45"/>
  <c r="AU113" i="45"/>
  <c r="AT113" i="45"/>
  <c r="CC112" i="45"/>
  <c r="CB112" i="45"/>
  <c r="CA112" i="45"/>
  <c r="BZ112" i="45"/>
  <c r="BY112" i="45"/>
  <c r="BX112" i="45"/>
  <c r="BW112" i="45"/>
  <c r="BV112" i="45"/>
  <c r="BU112" i="45"/>
  <c r="BT112" i="45"/>
  <c r="BS112" i="45"/>
  <c r="BR112" i="45"/>
  <c r="BQ112" i="45"/>
  <c r="BP112" i="45"/>
  <c r="BO112" i="45"/>
  <c r="BN112" i="45"/>
  <c r="BM112" i="45"/>
  <c r="BL112" i="45"/>
  <c r="BK112" i="45"/>
  <c r="BJ112" i="45"/>
  <c r="BI112" i="45"/>
  <c r="BH112" i="45"/>
  <c r="BG112" i="45"/>
  <c r="BF112" i="45"/>
  <c r="BE112" i="45"/>
  <c r="BD112" i="45"/>
  <c r="BC112" i="45"/>
  <c r="BB112" i="45"/>
  <c r="BA112" i="45"/>
  <c r="AZ112" i="45"/>
  <c r="AY112" i="45"/>
  <c r="AX112" i="45"/>
  <c r="AW112" i="45"/>
  <c r="AV112" i="45"/>
  <c r="AU112" i="45"/>
  <c r="AT112" i="45"/>
  <c r="CC111" i="45"/>
  <c r="CB111" i="45"/>
  <c r="CA111" i="45"/>
  <c r="BZ111" i="45"/>
  <c r="BY111" i="45"/>
  <c r="BX111" i="45"/>
  <c r="BW111" i="45"/>
  <c r="BV111" i="45"/>
  <c r="BU111" i="45"/>
  <c r="BT111" i="45"/>
  <c r="BS111" i="45"/>
  <c r="BR111" i="45"/>
  <c r="BQ111" i="45"/>
  <c r="BP111" i="45"/>
  <c r="BO111" i="45"/>
  <c r="BN111" i="45"/>
  <c r="BM111" i="45"/>
  <c r="BL111" i="45"/>
  <c r="BK111" i="45"/>
  <c r="BJ111" i="45"/>
  <c r="BI111" i="45"/>
  <c r="BH111" i="45"/>
  <c r="BG111" i="45"/>
  <c r="BF111" i="45"/>
  <c r="BE111" i="45"/>
  <c r="BD111" i="45"/>
  <c r="BC111" i="45"/>
  <c r="BB111" i="45"/>
  <c r="BA111" i="45"/>
  <c r="AZ111" i="45"/>
  <c r="AY111" i="45"/>
  <c r="AX111" i="45"/>
  <c r="AW111" i="45"/>
  <c r="AV111" i="45"/>
  <c r="AU111" i="45"/>
  <c r="AT111" i="45"/>
  <c r="CC110" i="45"/>
  <c r="CB110" i="45"/>
  <c r="CA110" i="45"/>
  <c r="BZ110" i="45"/>
  <c r="BY110" i="45"/>
  <c r="BX110" i="45"/>
  <c r="BW110" i="45"/>
  <c r="BV110" i="45"/>
  <c r="BU110" i="45"/>
  <c r="BT110" i="45"/>
  <c r="BS110" i="45"/>
  <c r="BR110" i="45"/>
  <c r="BQ110" i="45"/>
  <c r="BP110" i="45"/>
  <c r="BO110" i="45"/>
  <c r="BN110" i="45"/>
  <c r="BM110" i="45"/>
  <c r="BL110" i="45"/>
  <c r="BK110" i="45"/>
  <c r="BJ110" i="45"/>
  <c r="BI110" i="45"/>
  <c r="BH110" i="45"/>
  <c r="BG110" i="45"/>
  <c r="BF110" i="45"/>
  <c r="BE110" i="45"/>
  <c r="BD110" i="45"/>
  <c r="BC110" i="45"/>
  <c r="BB110" i="45"/>
  <c r="BA110" i="45"/>
  <c r="AZ110" i="45"/>
  <c r="AY110" i="45"/>
  <c r="AX110" i="45"/>
  <c r="AW110" i="45"/>
  <c r="AV110" i="45"/>
  <c r="AU110" i="45"/>
  <c r="AT110" i="45"/>
  <c r="CC109" i="45"/>
  <c r="CB109" i="45"/>
  <c r="CA109" i="45"/>
  <c r="BZ109" i="45"/>
  <c r="BY109" i="45"/>
  <c r="BX109" i="45"/>
  <c r="BW109" i="45"/>
  <c r="BV109" i="45"/>
  <c r="BU109" i="45"/>
  <c r="BT109" i="45"/>
  <c r="BS109" i="45"/>
  <c r="BR109" i="45"/>
  <c r="BQ109" i="45"/>
  <c r="BP109" i="45"/>
  <c r="BO109" i="45"/>
  <c r="BN109" i="45"/>
  <c r="BM109" i="45"/>
  <c r="BL109" i="45"/>
  <c r="BK109" i="45"/>
  <c r="BJ109" i="45"/>
  <c r="BI109" i="45"/>
  <c r="BH109" i="45"/>
  <c r="BG109" i="45"/>
  <c r="BF109" i="45"/>
  <c r="BE109" i="45"/>
  <c r="BD109" i="45"/>
  <c r="BC109" i="45"/>
  <c r="BB109" i="45"/>
  <c r="BA109" i="45"/>
  <c r="AZ109" i="45"/>
  <c r="AY109" i="45"/>
  <c r="AX109" i="45"/>
  <c r="AW109" i="45"/>
  <c r="AV109" i="45"/>
  <c r="AU109" i="45"/>
  <c r="AT109" i="45"/>
  <c r="CC108" i="45"/>
  <c r="CB108" i="45"/>
  <c r="CA108" i="45"/>
  <c r="BZ108" i="45"/>
  <c r="BY108" i="45"/>
  <c r="BX108" i="45"/>
  <c r="BW108" i="45"/>
  <c r="BV108" i="45"/>
  <c r="BU108" i="45"/>
  <c r="BT108" i="45"/>
  <c r="BS108" i="45"/>
  <c r="BR108" i="45"/>
  <c r="BQ108" i="45"/>
  <c r="BP108" i="45"/>
  <c r="BO108" i="45"/>
  <c r="BN108" i="45"/>
  <c r="BM108" i="45"/>
  <c r="BL108" i="45"/>
  <c r="BK108" i="45"/>
  <c r="BJ108" i="45"/>
  <c r="BI108" i="45"/>
  <c r="BH108" i="45"/>
  <c r="BG108" i="45"/>
  <c r="BF108" i="45"/>
  <c r="BE108" i="45"/>
  <c r="BD108" i="45"/>
  <c r="BC108" i="45"/>
  <c r="BB108" i="45"/>
  <c r="BA108" i="45"/>
  <c r="AZ108" i="45"/>
  <c r="AY108" i="45"/>
  <c r="AX108" i="45"/>
  <c r="AW108" i="45"/>
  <c r="AV108" i="45"/>
  <c r="AU108" i="45"/>
  <c r="AT108" i="45"/>
  <c r="CC107" i="45"/>
  <c r="CB107" i="45"/>
  <c r="CA107" i="45"/>
  <c r="BZ107" i="45"/>
  <c r="BY107" i="45"/>
  <c r="BX107" i="45"/>
  <c r="BW107" i="45"/>
  <c r="BV107" i="45"/>
  <c r="BU107" i="45"/>
  <c r="BT107" i="45"/>
  <c r="BS107" i="45"/>
  <c r="BR107" i="45"/>
  <c r="BQ107" i="45"/>
  <c r="BP107" i="45"/>
  <c r="BO107" i="45"/>
  <c r="BN107" i="45"/>
  <c r="BM107" i="45"/>
  <c r="BL107" i="45"/>
  <c r="BK107" i="45"/>
  <c r="BJ107" i="45"/>
  <c r="BI107" i="45"/>
  <c r="BH107" i="45"/>
  <c r="BG107" i="45"/>
  <c r="BF107" i="45"/>
  <c r="BE107" i="45"/>
  <c r="BD107" i="45"/>
  <c r="BC107" i="45"/>
  <c r="BB107" i="45"/>
  <c r="BA107" i="45"/>
  <c r="AZ107" i="45"/>
  <c r="AY107" i="45"/>
  <c r="AX107" i="45"/>
  <c r="AW107" i="45"/>
  <c r="AV107" i="45"/>
  <c r="AU107" i="45"/>
  <c r="AT107" i="45"/>
  <c r="CC106" i="45"/>
  <c r="CB106" i="45"/>
  <c r="CA106" i="45"/>
  <c r="BZ106" i="45"/>
  <c r="BY106" i="45"/>
  <c r="BX106" i="45"/>
  <c r="BW106" i="45"/>
  <c r="BV106" i="45"/>
  <c r="BU106" i="45"/>
  <c r="BT106" i="45"/>
  <c r="BS106" i="45"/>
  <c r="BR106" i="45"/>
  <c r="BQ106" i="45"/>
  <c r="BP106" i="45"/>
  <c r="BO106" i="45"/>
  <c r="BN106" i="45"/>
  <c r="BM106" i="45"/>
  <c r="BL106" i="45"/>
  <c r="BK106" i="45"/>
  <c r="BJ106" i="45"/>
  <c r="BI106" i="45"/>
  <c r="BH106" i="45"/>
  <c r="BG106" i="45"/>
  <c r="BF106" i="45"/>
  <c r="BE106" i="45"/>
  <c r="BD106" i="45"/>
  <c r="BC106" i="45"/>
  <c r="BB106" i="45"/>
  <c r="BA106" i="45"/>
  <c r="AZ106" i="45"/>
  <c r="AY106" i="45"/>
  <c r="AX106" i="45"/>
  <c r="AW106" i="45"/>
  <c r="AV106" i="45"/>
  <c r="AU106" i="45"/>
  <c r="AT106" i="45"/>
  <c r="CC97" i="45"/>
  <c r="CB97" i="45"/>
  <c r="CA97" i="45"/>
  <c r="BZ97" i="45"/>
  <c r="BY97" i="45"/>
  <c r="BX97" i="45"/>
  <c r="BW97" i="45"/>
  <c r="BV97" i="45"/>
  <c r="BU97" i="45"/>
  <c r="BT97" i="45"/>
  <c r="BS97" i="45"/>
  <c r="BR97" i="45"/>
  <c r="BQ97" i="45"/>
  <c r="BP97" i="45"/>
  <c r="BO97" i="45"/>
  <c r="BN97" i="45"/>
  <c r="BM97" i="45"/>
  <c r="BL97" i="45"/>
  <c r="BK97" i="45"/>
  <c r="BJ97" i="45"/>
  <c r="BI97" i="45"/>
  <c r="BH97" i="45"/>
  <c r="BG97" i="45"/>
  <c r="BF97" i="45"/>
  <c r="BE97" i="45"/>
  <c r="BD97" i="45"/>
  <c r="BC97" i="45"/>
  <c r="BB97" i="45"/>
  <c r="BA97" i="45"/>
  <c r="AZ97" i="45"/>
  <c r="AY97" i="45"/>
  <c r="AX97" i="45"/>
  <c r="AW97" i="45"/>
  <c r="AV97" i="45"/>
  <c r="AU97" i="45"/>
  <c r="AT97" i="45"/>
  <c r="CC96" i="45"/>
  <c r="CB96" i="45"/>
  <c r="CA96" i="45"/>
  <c r="BZ96" i="45"/>
  <c r="BY96" i="45"/>
  <c r="BX96" i="45"/>
  <c r="BW96" i="45"/>
  <c r="BV96" i="45"/>
  <c r="BU96" i="45"/>
  <c r="BT96" i="45"/>
  <c r="BS96" i="45"/>
  <c r="BR96" i="45"/>
  <c r="BQ96" i="45"/>
  <c r="BP96" i="45"/>
  <c r="BO96" i="45"/>
  <c r="BN96" i="45"/>
  <c r="BM96" i="45"/>
  <c r="BL96" i="45"/>
  <c r="BK96" i="45"/>
  <c r="BJ96" i="45"/>
  <c r="BI96" i="45"/>
  <c r="BH96" i="45"/>
  <c r="BG96" i="45"/>
  <c r="BF96" i="45"/>
  <c r="BE96" i="45"/>
  <c r="BD96" i="45"/>
  <c r="BC96" i="45"/>
  <c r="BB96" i="45"/>
  <c r="BA96" i="45"/>
  <c r="AZ96" i="45"/>
  <c r="AY96" i="45"/>
  <c r="AX96" i="45"/>
  <c r="AW96" i="45"/>
  <c r="AV96" i="45"/>
  <c r="AU96" i="45"/>
  <c r="AT96" i="45"/>
  <c r="CC95" i="45"/>
  <c r="CB95" i="45"/>
  <c r="CA95" i="45"/>
  <c r="BZ95" i="45"/>
  <c r="BY95" i="45"/>
  <c r="BX95" i="45"/>
  <c r="BW95" i="45"/>
  <c r="BV95" i="45"/>
  <c r="BU95" i="45"/>
  <c r="BT95" i="45"/>
  <c r="BS95" i="45"/>
  <c r="BR95" i="45"/>
  <c r="BQ95" i="45"/>
  <c r="BP95" i="45"/>
  <c r="BO95" i="45"/>
  <c r="BN95" i="45"/>
  <c r="BM95" i="45"/>
  <c r="BL95" i="45"/>
  <c r="BK95" i="45"/>
  <c r="BJ95" i="45"/>
  <c r="BI95" i="45"/>
  <c r="BH95" i="45"/>
  <c r="BG95" i="45"/>
  <c r="BF95" i="45"/>
  <c r="BE95" i="45"/>
  <c r="BD95" i="45"/>
  <c r="BC95" i="45"/>
  <c r="BB95" i="45"/>
  <c r="BA95" i="45"/>
  <c r="AZ95" i="45"/>
  <c r="AY95" i="45"/>
  <c r="AX95" i="45"/>
  <c r="AW95" i="45"/>
  <c r="AV95" i="45"/>
  <c r="AU95" i="45"/>
  <c r="AT95" i="45"/>
  <c r="CC94" i="45"/>
  <c r="CB94" i="45"/>
  <c r="CA94" i="45"/>
  <c r="BZ94" i="45"/>
  <c r="BY94" i="45"/>
  <c r="BX94" i="45"/>
  <c r="BW94" i="45"/>
  <c r="BV94" i="45"/>
  <c r="BU94" i="45"/>
  <c r="BT94" i="45"/>
  <c r="BS94" i="45"/>
  <c r="BR94" i="45"/>
  <c r="BQ94" i="45"/>
  <c r="BP94" i="45"/>
  <c r="BO94" i="45"/>
  <c r="BN94" i="45"/>
  <c r="BM94" i="45"/>
  <c r="BL94" i="45"/>
  <c r="BK94" i="45"/>
  <c r="BJ94" i="45"/>
  <c r="BI94" i="45"/>
  <c r="BH94" i="45"/>
  <c r="BG94" i="45"/>
  <c r="BF94" i="45"/>
  <c r="BE94" i="45"/>
  <c r="BD94" i="45"/>
  <c r="BC94" i="45"/>
  <c r="BB94" i="45"/>
  <c r="BA94" i="45"/>
  <c r="AZ94" i="45"/>
  <c r="AY94" i="45"/>
  <c r="AX94" i="45"/>
  <c r="AW94" i="45"/>
  <c r="AV94" i="45"/>
  <c r="AU94" i="45"/>
  <c r="AT94" i="45"/>
  <c r="CC93" i="45"/>
  <c r="CB93" i="45"/>
  <c r="CA93" i="45"/>
  <c r="BZ93" i="45"/>
  <c r="BY93" i="45"/>
  <c r="BX93" i="45"/>
  <c r="BW93" i="45"/>
  <c r="BV93" i="45"/>
  <c r="BU93" i="45"/>
  <c r="BT93" i="45"/>
  <c r="BS93" i="45"/>
  <c r="BR93" i="45"/>
  <c r="BQ93" i="45"/>
  <c r="BP93" i="45"/>
  <c r="BO93" i="45"/>
  <c r="BN93" i="45"/>
  <c r="BM93" i="45"/>
  <c r="BL93" i="45"/>
  <c r="BK93" i="45"/>
  <c r="BJ93" i="45"/>
  <c r="BI93" i="45"/>
  <c r="BH93" i="45"/>
  <c r="BG93" i="45"/>
  <c r="BF93" i="45"/>
  <c r="BE93" i="45"/>
  <c r="BD93" i="45"/>
  <c r="BC93" i="45"/>
  <c r="BB93" i="45"/>
  <c r="BA93" i="45"/>
  <c r="AZ93" i="45"/>
  <c r="AY93" i="45"/>
  <c r="AX93" i="45"/>
  <c r="AW93" i="45"/>
  <c r="AV93" i="45"/>
  <c r="AU93" i="45"/>
  <c r="AT93" i="45"/>
  <c r="CC92" i="45"/>
  <c r="CB92" i="45"/>
  <c r="CA92" i="45"/>
  <c r="BZ92" i="45"/>
  <c r="BY92" i="45"/>
  <c r="BX92" i="45"/>
  <c r="BW92" i="45"/>
  <c r="BV92" i="45"/>
  <c r="BU92" i="45"/>
  <c r="BT92" i="45"/>
  <c r="BS92" i="45"/>
  <c r="BR92" i="45"/>
  <c r="BQ92" i="45"/>
  <c r="BP92" i="45"/>
  <c r="BO92" i="45"/>
  <c r="BN92" i="45"/>
  <c r="BM92" i="45"/>
  <c r="BL92" i="45"/>
  <c r="BK92" i="45"/>
  <c r="BJ92" i="45"/>
  <c r="BI92" i="45"/>
  <c r="BH92" i="45"/>
  <c r="BG92" i="45"/>
  <c r="BF92" i="45"/>
  <c r="BE92" i="45"/>
  <c r="BD92" i="45"/>
  <c r="BC92" i="45"/>
  <c r="BB92" i="45"/>
  <c r="BA92" i="45"/>
  <c r="AZ92" i="45"/>
  <c r="AY92" i="45"/>
  <c r="AX92" i="45"/>
  <c r="AW92" i="45"/>
  <c r="AV92" i="45"/>
  <c r="AU92" i="45"/>
  <c r="AT92" i="45"/>
  <c r="CC91" i="45"/>
  <c r="CB91" i="45"/>
  <c r="CA91" i="45"/>
  <c r="BZ91" i="45"/>
  <c r="BY91" i="45"/>
  <c r="BX91" i="45"/>
  <c r="BW91" i="45"/>
  <c r="BV91" i="45"/>
  <c r="BU91" i="45"/>
  <c r="BT91" i="45"/>
  <c r="BS91" i="45"/>
  <c r="BR91" i="45"/>
  <c r="BQ91" i="45"/>
  <c r="BP91" i="45"/>
  <c r="BO91" i="45"/>
  <c r="BN91" i="45"/>
  <c r="BM91" i="45"/>
  <c r="BL91" i="45"/>
  <c r="BK91" i="45"/>
  <c r="BJ91" i="45"/>
  <c r="BI91" i="45"/>
  <c r="BH91" i="45"/>
  <c r="BG91" i="45"/>
  <c r="BF91" i="45"/>
  <c r="BE91" i="45"/>
  <c r="BD91" i="45"/>
  <c r="BC91" i="45"/>
  <c r="BB91" i="45"/>
  <c r="BA91" i="45"/>
  <c r="AZ91" i="45"/>
  <c r="AY91" i="45"/>
  <c r="AX91" i="45"/>
  <c r="AW91" i="45"/>
  <c r="AV91" i="45"/>
  <c r="AU91" i="45"/>
  <c r="AT91" i="45"/>
  <c r="CC90" i="45"/>
  <c r="CB90" i="45"/>
  <c r="CA90" i="45"/>
  <c r="BZ90" i="45"/>
  <c r="BY90" i="45"/>
  <c r="BX90" i="45"/>
  <c r="BW90" i="45"/>
  <c r="BV90" i="45"/>
  <c r="BU90" i="45"/>
  <c r="BT90" i="45"/>
  <c r="BS90" i="45"/>
  <c r="BR90" i="45"/>
  <c r="BQ90" i="45"/>
  <c r="BP90" i="45"/>
  <c r="BO90" i="45"/>
  <c r="BN90" i="45"/>
  <c r="BM90" i="45"/>
  <c r="BL90" i="45"/>
  <c r="BK90" i="45"/>
  <c r="BJ90" i="45"/>
  <c r="BI90" i="45"/>
  <c r="BH90" i="45"/>
  <c r="BG90" i="45"/>
  <c r="BF90" i="45"/>
  <c r="BE90" i="45"/>
  <c r="BD90" i="45"/>
  <c r="BC90" i="45"/>
  <c r="BB90" i="45"/>
  <c r="BA90" i="45"/>
  <c r="AZ90" i="45"/>
  <c r="AY90" i="45"/>
  <c r="AX90" i="45"/>
  <c r="AW90" i="45"/>
  <c r="AV90" i="45"/>
  <c r="AU90" i="45"/>
  <c r="AT90" i="45"/>
  <c r="CC81" i="45"/>
  <c r="CB81" i="45"/>
  <c r="CA81" i="45"/>
  <c r="BZ81" i="45"/>
  <c r="BY81" i="45"/>
  <c r="BX81" i="45"/>
  <c r="BW81" i="45"/>
  <c r="BV81" i="45"/>
  <c r="BU81" i="45"/>
  <c r="BT81" i="45"/>
  <c r="BS81" i="45"/>
  <c r="BR81" i="45"/>
  <c r="BQ81" i="45"/>
  <c r="BP81" i="45"/>
  <c r="BO81" i="45"/>
  <c r="BN81" i="45"/>
  <c r="BM81" i="45"/>
  <c r="BL81" i="45"/>
  <c r="BK81" i="45"/>
  <c r="BJ81" i="45"/>
  <c r="BI81" i="45"/>
  <c r="BH81" i="45"/>
  <c r="BG81" i="45"/>
  <c r="BF81" i="45"/>
  <c r="BE81" i="45"/>
  <c r="BD81" i="45"/>
  <c r="BC81" i="45"/>
  <c r="BB81" i="45"/>
  <c r="BA81" i="45"/>
  <c r="AZ81" i="45"/>
  <c r="AY81" i="45"/>
  <c r="AX81" i="45"/>
  <c r="AW81" i="45"/>
  <c r="AV81" i="45"/>
  <c r="AU81" i="45"/>
  <c r="AT81" i="45"/>
  <c r="CC80" i="45"/>
  <c r="CB80" i="45"/>
  <c r="CA80" i="45"/>
  <c r="BZ80" i="45"/>
  <c r="BY80" i="45"/>
  <c r="BX80" i="45"/>
  <c r="BW80" i="45"/>
  <c r="BV80" i="45"/>
  <c r="BU80" i="45"/>
  <c r="BT80" i="45"/>
  <c r="BS80" i="45"/>
  <c r="BR80" i="45"/>
  <c r="BQ80" i="45"/>
  <c r="BP80" i="45"/>
  <c r="BO80" i="45"/>
  <c r="BN80" i="45"/>
  <c r="BM80" i="45"/>
  <c r="BL80" i="45"/>
  <c r="BK80" i="45"/>
  <c r="BJ80" i="45"/>
  <c r="BI80" i="45"/>
  <c r="BH80" i="45"/>
  <c r="BG80" i="45"/>
  <c r="BF80" i="45"/>
  <c r="BE80" i="45"/>
  <c r="BD80" i="45"/>
  <c r="BC80" i="45"/>
  <c r="BB80" i="45"/>
  <c r="BA80" i="45"/>
  <c r="AZ80" i="45"/>
  <c r="AY80" i="45"/>
  <c r="AX80" i="45"/>
  <c r="AW80" i="45"/>
  <c r="AV80" i="45"/>
  <c r="AU80" i="45"/>
  <c r="AT80" i="45"/>
  <c r="CC79" i="45"/>
  <c r="CB79" i="45"/>
  <c r="CA79" i="45"/>
  <c r="BZ79" i="45"/>
  <c r="BY79" i="45"/>
  <c r="BX79" i="45"/>
  <c r="BW79" i="45"/>
  <c r="BV79" i="45"/>
  <c r="BU79" i="45"/>
  <c r="BT79" i="45"/>
  <c r="BS79" i="45"/>
  <c r="BR79" i="45"/>
  <c r="BQ79" i="45"/>
  <c r="BP79" i="45"/>
  <c r="BO79" i="45"/>
  <c r="BN79" i="45"/>
  <c r="BM79" i="45"/>
  <c r="BL79" i="45"/>
  <c r="BK79" i="45"/>
  <c r="BJ79" i="45"/>
  <c r="BI79" i="45"/>
  <c r="BH79" i="45"/>
  <c r="BG79" i="45"/>
  <c r="BF79" i="45"/>
  <c r="BE79" i="45"/>
  <c r="BD79" i="45"/>
  <c r="BC79" i="45"/>
  <c r="BB79" i="45"/>
  <c r="BA79" i="45"/>
  <c r="AZ79" i="45"/>
  <c r="AY79" i="45"/>
  <c r="AX79" i="45"/>
  <c r="AW79" i="45"/>
  <c r="AV79" i="45"/>
  <c r="AU79" i="45"/>
  <c r="AT79" i="45"/>
  <c r="CC78" i="45"/>
  <c r="CB78" i="45"/>
  <c r="CA78" i="45"/>
  <c r="BZ78" i="45"/>
  <c r="BY78" i="45"/>
  <c r="BX78" i="45"/>
  <c r="BW78" i="45"/>
  <c r="BV78" i="45"/>
  <c r="BU78" i="45"/>
  <c r="BT78" i="45"/>
  <c r="BS78" i="45"/>
  <c r="BR78" i="45"/>
  <c r="BQ78" i="45"/>
  <c r="BP78" i="45"/>
  <c r="BO78" i="45"/>
  <c r="BN78" i="45"/>
  <c r="BM78" i="45"/>
  <c r="BL78" i="45"/>
  <c r="BK78" i="45"/>
  <c r="BJ78" i="45"/>
  <c r="BI78" i="45"/>
  <c r="BH78" i="45"/>
  <c r="BG78" i="45"/>
  <c r="BF78" i="45"/>
  <c r="BE78" i="45"/>
  <c r="BD78" i="45"/>
  <c r="BC78" i="45"/>
  <c r="BB78" i="45"/>
  <c r="BA78" i="45"/>
  <c r="AZ78" i="45"/>
  <c r="AY78" i="45"/>
  <c r="AX78" i="45"/>
  <c r="AW78" i="45"/>
  <c r="AV78" i="45"/>
  <c r="AU78" i="45"/>
  <c r="AT78" i="45"/>
  <c r="CC77" i="45"/>
  <c r="CB77" i="45"/>
  <c r="CA77" i="45"/>
  <c r="BZ77" i="45"/>
  <c r="BY77" i="45"/>
  <c r="BX77" i="45"/>
  <c r="BW77" i="45"/>
  <c r="BV77" i="45"/>
  <c r="BU77" i="45"/>
  <c r="BT77" i="45"/>
  <c r="BS77" i="45"/>
  <c r="BR77" i="45"/>
  <c r="BQ77" i="45"/>
  <c r="BP77" i="45"/>
  <c r="BO77" i="45"/>
  <c r="BN77" i="45"/>
  <c r="BM77" i="45"/>
  <c r="BL77" i="45"/>
  <c r="BK77" i="45"/>
  <c r="BJ77" i="45"/>
  <c r="BI77" i="45"/>
  <c r="BH77" i="45"/>
  <c r="BG77" i="45"/>
  <c r="BF77" i="45"/>
  <c r="BE77" i="45"/>
  <c r="BD77" i="45"/>
  <c r="BC77" i="45"/>
  <c r="BB77" i="45"/>
  <c r="BA77" i="45"/>
  <c r="AZ77" i="45"/>
  <c r="AY77" i="45"/>
  <c r="AX77" i="45"/>
  <c r="AW77" i="45"/>
  <c r="AV77" i="45"/>
  <c r="AU77" i="45"/>
  <c r="AT77" i="45"/>
  <c r="CC76" i="45"/>
  <c r="CB76" i="45"/>
  <c r="CA76" i="45"/>
  <c r="BZ76" i="45"/>
  <c r="BY76" i="45"/>
  <c r="BX76" i="45"/>
  <c r="BW76" i="45"/>
  <c r="BV76" i="45"/>
  <c r="BU76" i="45"/>
  <c r="BT76" i="45"/>
  <c r="BS76" i="45"/>
  <c r="BR76" i="45"/>
  <c r="BQ76" i="45"/>
  <c r="BP76" i="45"/>
  <c r="BO76" i="45"/>
  <c r="BN76" i="45"/>
  <c r="BM76" i="45"/>
  <c r="BL76" i="45"/>
  <c r="BK76" i="45"/>
  <c r="BJ76" i="45"/>
  <c r="BI76" i="45"/>
  <c r="BH76" i="45"/>
  <c r="BG76" i="45"/>
  <c r="BF76" i="45"/>
  <c r="BE76" i="45"/>
  <c r="BD76" i="45"/>
  <c r="BC76" i="45"/>
  <c r="BB76" i="45"/>
  <c r="BA76" i="45"/>
  <c r="AZ76" i="45"/>
  <c r="AY76" i="45"/>
  <c r="AX76" i="45"/>
  <c r="AW76" i="45"/>
  <c r="AV76" i="45"/>
  <c r="AU76" i="45"/>
  <c r="AT76" i="45"/>
  <c r="CC75" i="45"/>
  <c r="CB75" i="45"/>
  <c r="CA75" i="45"/>
  <c r="BZ75" i="45"/>
  <c r="BY75" i="45"/>
  <c r="BX75" i="45"/>
  <c r="BW75" i="45"/>
  <c r="BV75" i="45"/>
  <c r="BU75" i="45"/>
  <c r="BT75" i="45"/>
  <c r="BS75" i="45"/>
  <c r="BR75" i="45"/>
  <c r="BQ75" i="45"/>
  <c r="BP75" i="45"/>
  <c r="BO75" i="45"/>
  <c r="BN75" i="45"/>
  <c r="BM75" i="45"/>
  <c r="BL75" i="45"/>
  <c r="BK75" i="45"/>
  <c r="BJ75" i="45"/>
  <c r="BI75" i="45"/>
  <c r="BH75" i="45"/>
  <c r="BG75" i="45"/>
  <c r="BF75" i="45"/>
  <c r="BE75" i="45"/>
  <c r="BD75" i="45"/>
  <c r="BC75" i="45"/>
  <c r="BB75" i="45"/>
  <c r="BA75" i="45"/>
  <c r="AZ75" i="45"/>
  <c r="AY75" i="45"/>
  <c r="AX75" i="45"/>
  <c r="AW75" i="45"/>
  <c r="AV75" i="45"/>
  <c r="AU75" i="45"/>
  <c r="AT75" i="45"/>
  <c r="CC74" i="45"/>
  <c r="CB74" i="45"/>
  <c r="CA74" i="45"/>
  <c r="BZ74" i="45"/>
  <c r="BY74" i="45"/>
  <c r="BX74" i="45"/>
  <c r="BW74" i="45"/>
  <c r="BV74" i="45"/>
  <c r="BU74" i="45"/>
  <c r="BT74" i="45"/>
  <c r="BS74" i="45"/>
  <c r="BR74" i="45"/>
  <c r="BQ74" i="45"/>
  <c r="BP74" i="45"/>
  <c r="BO74" i="45"/>
  <c r="BN74" i="45"/>
  <c r="BM74" i="45"/>
  <c r="BL74" i="45"/>
  <c r="BK74" i="45"/>
  <c r="BJ74" i="45"/>
  <c r="BI74" i="45"/>
  <c r="BH74" i="45"/>
  <c r="BG74" i="45"/>
  <c r="BF74" i="45"/>
  <c r="BE74" i="45"/>
  <c r="BD74" i="45"/>
  <c r="BC74" i="45"/>
  <c r="BB74" i="45"/>
  <c r="BA74" i="45"/>
  <c r="AZ74" i="45"/>
  <c r="AY74" i="45"/>
  <c r="AX74" i="45"/>
  <c r="AW74" i="45"/>
  <c r="AV74" i="45"/>
  <c r="AU74" i="45"/>
  <c r="AT74" i="45"/>
  <c r="CC65" i="45"/>
  <c r="CB65" i="45"/>
  <c r="CA65" i="45"/>
  <c r="BZ65" i="45"/>
  <c r="BY65" i="45"/>
  <c r="BX65" i="45"/>
  <c r="BW65" i="45"/>
  <c r="BV65" i="45"/>
  <c r="BU65" i="45"/>
  <c r="BT65" i="45"/>
  <c r="BS65" i="45"/>
  <c r="BR65" i="45"/>
  <c r="BQ65" i="45"/>
  <c r="BP65" i="45"/>
  <c r="BO65" i="45"/>
  <c r="BN65" i="45"/>
  <c r="BM65" i="45"/>
  <c r="BL65" i="45"/>
  <c r="BK65" i="45"/>
  <c r="BJ65" i="45"/>
  <c r="BI65" i="45"/>
  <c r="BH65" i="45"/>
  <c r="BG65" i="45"/>
  <c r="BF65" i="45"/>
  <c r="BE65" i="45"/>
  <c r="BD65" i="45"/>
  <c r="BC65" i="45"/>
  <c r="BB65" i="45"/>
  <c r="BA65" i="45"/>
  <c r="AZ65" i="45"/>
  <c r="AY65" i="45"/>
  <c r="AX65" i="45"/>
  <c r="AW65" i="45"/>
  <c r="AV65" i="45"/>
  <c r="AU65" i="45"/>
  <c r="AT65" i="45"/>
  <c r="CC64" i="45"/>
  <c r="CB64" i="45"/>
  <c r="CA64" i="45"/>
  <c r="BZ64" i="45"/>
  <c r="BY64" i="45"/>
  <c r="BX64" i="45"/>
  <c r="BW64" i="45"/>
  <c r="BV64" i="45"/>
  <c r="BU64" i="45"/>
  <c r="BT64" i="45"/>
  <c r="BS64" i="45"/>
  <c r="BR64" i="45"/>
  <c r="BQ64" i="45"/>
  <c r="BP64" i="45"/>
  <c r="BO64" i="45"/>
  <c r="BN64" i="45"/>
  <c r="BM64" i="45"/>
  <c r="BL64" i="45"/>
  <c r="BK64" i="45"/>
  <c r="BJ64" i="45"/>
  <c r="BI64" i="45"/>
  <c r="BH64" i="45"/>
  <c r="BG64" i="45"/>
  <c r="BF64" i="45"/>
  <c r="BE64" i="45"/>
  <c r="BD64" i="45"/>
  <c r="BC64" i="45"/>
  <c r="BB64" i="45"/>
  <c r="BA64" i="45"/>
  <c r="AZ64" i="45"/>
  <c r="AY64" i="45"/>
  <c r="AX64" i="45"/>
  <c r="AW64" i="45"/>
  <c r="AV64" i="45"/>
  <c r="AU64" i="45"/>
  <c r="AT64" i="45"/>
  <c r="CC63" i="45"/>
  <c r="CB63" i="45"/>
  <c r="CA63" i="45"/>
  <c r="BZ63" i="45"/>
  <c r="BY63" i="45"/>
  <c r="BX63" i="45"/>
  <c r="BW63" i="45"/>
  <c r="BV63" i="45"/>
  <c r="BU63" i="45"/>
  <c r="BT63" i="45"/>
  <c r="BS63" i="45"/>
  <c r="BR63" i="45"/>
  <c r="BQ63" i="45"/>
  <c r="BP63" i="45"/>
  <c r="BO63" i="45"/>
  <c r="BN63" i="45"/>
  <c r="BM63" i="45"/>
  <c r="BL63" i="45"/>
  <c r="BK63" i="45"/>
  <c r="BJ63" i="45"/>
  <c r="BI63" i="45"/>
  <c r="BH63" i="45"/>
  <c r="BG63" i="45"/>
  <c r="BF63" i="45"/>
  <c r="BE63" i="45"/>
  <c r="BD63" i="45"/>
  <c r="BC63" i="45"/>
  <c r="BB63" i="45"/>
  <c r="BA63" i="45"/>
  <c r="AZ63" i="45"/>
  <c r="AY63" i="45"/>
  <c r="AX63" i="45"/>
  <c r="AW63" i="45"/>
  <c r="AV63" i="45"/>
  <c r="AU63" i="45"/>
  <c r="AT63" i="45"/>
  <c r="CC62" i="45"/>
  <c r="CB62" i="45"/>
  <c r="CA62" i="45"/>
  <c r="BZ62" i="45"/>
  <c r="BY62" i="45"/>
  <c r="BX62" i="45"/>
  <c r="BW62" i="45"/>
  <c r="BV62" i="45"/>
  <c r="BU62" i="45"/>
  <c r="BT62" i="45"/>
  <c r="BS62" i="45"/>
  <c r="BR62" i="45"/>
  <c r="BQ62" i="45"/>
  <c r="BP62" i="45"/>
  <c r="BO62" i="45"/>
  <c r="BN62" i="45"/>
  <c r="BM62" i="45"/>
  <c r="BL62" i="45"/>
  <c r="BK62" i="45"/>
  <c r="BJ62" i="45"/>
  <c r="BI62" i="45"/>
  <c r="BH62" i="45"/>
  <c r="BG62" i="45"/>
  <c r="BF62" i="45"/>
  <c r="BE62" i="45"/>
  <c r="BD62" i="45"/>
  <c r="BC62" i="45"/>
  <c r="BB62" i="45"/>
  <c r="BA62" i="45"/>
  <c r="AZ62" i="45"/>
  <c r="AY62" i="45"/>
  <c r="AX62" i="45"/>
  <c r="AW62" i="45"/>
  <c r="AV62" i="45"/>
  <c r="AU62" i="45"/>
  <c r="AT62" i="45"/>
  <c r="CC61" i="45"/>
  <c r="CB61" i="45"/>
  <c r="CA61" i="45"/>
  <c r="BZ61" i="45"/>
  <c r="BY61" i="45"/>
  <c r="BX61" i="45"/>
  <c r="BW61" i="45"/>
  <c r="BV61" i="45"/>
  <c r="BU61" i="45"/>
  <c r="BT61" i="45"/>
  <c r="BS61" i="45"/>
  <c r="BR61" i="45"/>
  <c r="BQ61" i="45"/>
  <c r="BP61" i="45"/>
  <c r="BO61" i="45"/>
  <c r="BN61" i="45"/>
  <c r="BM61" i="45"/>
  <c r="BL61" i="45"/>
  <c r="BK61" i="45"/>
  <c r="BJ61" i="45"/>
  <c r="BI61" i="45"/>
  <c r="BH61" i="45"/>
  <c r="BG61" i="45"/>
  <c r="BF61" i="45"/>
  <c r="BE61" i="45"/>
  <c r="BD61" i="45"/>
  <c r="BC61" i="45"/>
  <c r="BB61" i="45"/>
  <c r="BA61" i="45"/>
  <c r="AZ61" i="45"/>
  <c r="AY61" i="45"/>
  <c r="AX61" i="45"/>
  <c r="AW61" i="45"/>
  <c r="AV61" i="45"/>
  <c r="AU61" i="45"/>
  <c r="AT61" i="45"/>
  <c r="CC60" i="45"/>
  <c r="CB60" i="45"/>
  <c r="CA60" i="45"/>
  <c r="BZ60" i="45"/>
  <c r="BY60" i="45"/>
  <c r="BX60" i="45"/>
  <c r="BW60" i="45"/>
  <c r="BV60" i="45"/>
  <c r="BU60" i="45"/>
  <c r="BT60" i="45"/>
  <c r="BS60" i="45"/>
  <c r="BR60" i="45"/>
  <c r="BQ60" i="45"/>
  <c r="BP60" i="45"/>
  <c r="BO60" i="45"/>
  <c r="BN60" i="45"/>
  <c r="BM60" i="45"/>
  <c r="BL60" i="45"/>
  <c r="BK60" i="45"/>
  <c r="BJ60" i="45"/>
  <c r="BI60" i="45"/>
  <c r="BH60" i="45"/>
  <c r="BG60" i="45"/>
  <c r="BF60" i="45"/>
  <c r="BE60" i="45"/>
  <c r="BD60" i="45"/>
  <c r="BC60" i="45"/>
  <c r="BB60" i="45"/>
  <c r="BA60" i="45"/>
  <c r="AZ60" i="45"/>
  <c r="AY60" i="45"/>
  <c r="AX60" i="45"/>
  <c r="AW60" i="45"/>
  <c r="AV60" i="45"/>
  <c r="AU60" i="45"/>
  <c r="AT60" i="45"/>
  <c r="CC59" i="45"/>
  <c r="CB59" i="45"/>
  <c r="CA59" i="45"/>
  <c r="BZ59" i="45"/>
  <c r="BY59" i="45"/>
  <c r="BX59" i="45"/>
  <c r="BW59" i="45"/>
  <c r="BV59" i="45"/>
  <c r="BU59" i="45"/>
  <c r="BT59" i="45"/>
  <c r="BS59" i="45"/>
  <c r="BR59" i="45"/>
  <c r="BQ59" i="45"/>
  <c r="BP59" i="45"/>
  <c r="BO59" i="45"/>
  <c r="BN59" i="45"/>
  <c r="BM59" i="45"/>
  <c r="BL59" i="45"/>
  <c r="BK59" i="45"/>
  <c r="BJ59" i="45"/>
  <c r="BI59" i="45"/>
  <c r="BH59" i="45"/>
  <c r="BG59" i="45"/>
  <c r="BF59" i="45"/>
  <c r="BE59" i="45"/>
  <c r="BD59" i="45"/>
  <c r="BC59" i="45"/>
  <c r="BB59" i="45"/>
  <c r="BA59" i="45"/>
  <c r="AZ59" i="45"/>
  <c r="AY59" i="45"/>
  <c r="AX59" i="45"/>
  <c r="AW59" i="45"/>
  <c r="AV59" i="45"/>
  <c r="AU59" i="45"/>
  <c r="AT59" i="45"/>
  <c r="CC58" i="45"/>
  <c r="CB58" i="45"/>
  <c r="CA58" i="45"/>
  <c r="BZ58" i="45"/>
  <c r="BY58" i="45"/>
  <c r="BX58" i="45"/>
  <c r="BW58" i="45"/>
  <c r="BV58" i="45"/>
  <c r="BU58" i="45"/>
  <c r="BT58" i="45"/>
  <c r="BS58" i="45"/>
  <c r="BR58" i="45"/>
  <c r="BQ58" i="45"/>
  <c r="BP58" i="45"/>
  <c r="BO58" i="45"/>
  <c r="BN58" i="45"/>
  <c r="BM58" i="45"/>
  <c r="BL58" i="45"/>
  <c r="BK58" i="45"/>
  <c r="BJ58" i="45"/>
  <c r="BI58" i="45"/>
  <c r="BH58" i="45"/>
  <c r="BG58" i="45"/>
  <c r="BF58" i="45"/>
  <c r="BE58" i="45"/>
  <c r="BD58" i="45"/>
  <c r="BC58" i="45"/>
  <c r="BB58" i="45"/>
  <c r="BA58" i="45"/>
  <c r="AZ58" i="45"/>
  <c r="AY58" i="45"/>
  <c r="AX58" i="45"/>
  <c r="AW58" i="45"/>
  <c r="AV58" i="45"/>
  <c r="AU58" i="45"/>
  <c r="AT58" i="45"/>
  <c r="CC49" i="45"/>
  <c r="CB49" i="45"/>
  <c r="CA49" i="45"/>
  <c r="BZ49" i="45"/>
  <c r="BY49" i="45"/>
  <c r="BX49" i="45"/>
  <c r="BW49" i="45"/>
  <c r="BV49" i="45"/>
  <c r="BU49" i="45"/>
  <c r="BT49" i="45"/>
  <c r="BS49" i="45"/>
  <c r="BR49" i="45"/>
  <c r="BQ49" i="45"/>
  <c r="BP49" i="45"/>
  <c r="BO49" i="45"/>
  <c r="BN49" i="45"/>
  <c r="BM49" i="45"/>
  <c r="BL49" i="45"/>
  <c r="BK49" i="45"/>
  <c r="BJ49" i="45"/>
  <c r="BI49" i="45"/>
  <c r="BH49" i="45"/>
  <c r="BG49" i="45"/>
  <c r="BF49" i="45"/>
  <c r="BE49" i="45"/>
  <c r="BD49" i="45"/>
  <c r="BC49" i="45"/>
  <c r="BB49" i="45"/>
  <c r="BA49" i="45"/>
  <c r="AZ49" i="45"/>
  <c r="AY49" i="45"/>
  <c r="AX49" i="45"/>
  <c r="AW49" i="45"/>
  <c r="AV49" i="45"/>
  <c r="AU49" i="45"/>
  <c r="AT49" i="45"/>
  <c r="CC48" i="45"/>
  <c r="CB48" i="45"/>
  <c r="CA48" i="45"/>
  <c r="BZ48" i="45"/>
  <c r="BY48" i="45"/>
  <c r="BX48" i="45"/>
  <c r="BW48" i="45"/>
  <c r="BV48" i="45"/>
  <c r="BU48" i="45"/>
  <c r="BT48" i="45"/>
  <c r="BS48" i="45"/>
  <c r="BR48" i="45"/>
  <c r="BQ48" i="45"/>
  <c r="BP48" i="45"/>
  <c r="BO48" i="45"/>
  <c r="BN48" i="45"/>
  <c r="BM48" i="45"/>
  <c r="BL48" i="45"/>
  <c r="BK48" i="45"/>
  <c r="BJ48" i="45"/>
  <c r="BI48" i="45"/>
  <c r="BH48" i="45"/>
  <c r="BG48" i="45"/>
  <c r="BF48" i="45"/>
  <c r="BE48" i="45"/>
  <c r="BD48" i="45"/>
  <c r="BC48" i="45"/>
  <c r="BB48" i="45"/>
  <c r="BA48" i="45"/>
  <c r="AZ48" i="45"/>
  <c r="AY48" i="45"/>
  <c r="AX48" i="45"/>
  <c r="AW48" i="45"/>
  <c r="AV48" i="45"/>
  <c r="AU48" i="45"/>
  <c r="AT48" i="45"/>
  <c r="CC47" i="45"/>
  <c r="CB47" i="45"/>
  <c r="CA47" i="45"/>
  <c r="BZ47" i="45"/>
  <c r="BY47" i="45"/>
  <c r="BX47" i="45"/>
  <c r="BW47" i="45"/>
  <c r="BV47" i="45"/>
  <c r="BU47" i="45"/>
  <c r="BT47" i="45"/>
  <c r="BS47" i="45"/>
  <c r="BR47" i="45"/>
  <c r="BQ47" i="45"/>
  <c r="BP47" i="45"/>
  <c r="BO47" i="45"/>
  <c r="BN47" i="45"/>
  <c r="BM47" i="45"/>
  <c r="BL47" i="45"/>
  <c r="BK47" i="45"/>
  <c r="BJ47" i="45"/>
  <c r="BI47" i="45"/>
  <c r="BH47" i="45"/>
  <c r="BG47" i="45"/>
  <c r="BF47" i="45"/>
  <c r="BE47" i="45"/>
  <c r="BD47" i="45"/>
  <c r="BC47" i="45"/>
  <c r="BB47" i="45"/>
  <c r="BA47" i="45"/>
  <c r="AZ47" i="45"/>
  <c r="AY47" i="45"/>
  <c r="AX47" i="45"/>
  <c r="AW47" i="45"/>
  <c r="AV47" i="45"/>
  <c r="AU47" i="45"/>
  <c r="AT47" i="45"/>
  <c r="CC46" i="45"/>
  <c r="CB46" i="45"/>
  <c r="CA46" i="45"/>
  <c r="BZ46" i="45"/>
  <c r="BY46" i="45"/>
  <c r="BX46" i="45"/>
  <c r="BW46" i="45"/>
  <c r="BV46" i="45"/>
  <c r="BU46" i="45"/>
  <c r="BT46" i="45"/>
  <c r="BS46" i="45"/>
  <c r="BR46" i="45"/>
  <c r="BQ46" i="45"/>
  <c r="BP46" i="45"/>
  <c r="BO46" i="45"/>
  <c r="BN46" i="45"/>
  <c r="BM46" i="45"/>
  <c r="BL46" i="45"/>
  <c r="BK46" i="45"/>
  <c r="BJ46" i="45"/>
  <c r="BI46" i="45"/>
  <c r="BH46" i="45"/>
  <c r="BG46" i="45"/>
  <c r="BF46" i="45"/>
  <c r="BE46" i="45"/>
  <c r="BD46" i="45"/>
  <c r="BC46" i="45"/>
  <c r="BB46" i="45"/>
  <c r="BA46" i="45"/>
  <c r="AZ46" i="45"/>
  <c r="AY46" i="45"/>
  <c r="AX46" i="45"/>
  <c r="AW46" i="45"/>
  <c r="AV46" i="45"/>
  <c r="AU46" i="45"/>
  <c r="AT46" i="45"/>
  <c r="CC45" i="45"/>
  <c r="CB45" i="45"/>
  <c r="CA45" i="45"/>
  <c r="BZ45" i="45"/>
  <c r="BY45" i="45"/>
  <c r="BX45" i="45"/>
  <c r="BW45" i="45"/>
  <c r="BV45" i="45"/>
  <c r="BU45" i="45"/>
  <c r="BT45" i="45"/>
  <c r="BS45" i="45"/>
  <c r="BR45" i="45"/>
  <c r="BQ45" i="45"/>
  <c r="BP45" i="45"/>
  <c r="BO45" i="45"/>
  <c r="BN45" i="45"/>
  <c r="BM45" i="45"/>
  <c r="BL45" i="45"/>
  <c r="BK45" i="45"/>
  <c r="BJ45" i="45"/>
  <c r="BI45" i="45"/>
  <c r="BH45" i="45"/>
  <c r="BG45" i="45"/>
  <c r="BF45" i="45"/>
  <c r="BE45" i="45"/>
  <c r="BD45" i="45"/>
  <c r="BC45" i="45"/>
  <c r="BB45" i="45"/>
  <c r="BA45" i="45"/>
  <c r="AZ45" i="45"/>
  <c r="AY45" i="45"/>
  <c r="AX45" i="45"/>
  <c r="AW45" i="45"/>
  <c r="AV45" i="45"/>
  <c r="AU45" i="45"/>
  <c r="AT45" i="45"/>
  <c r="CC44" i="45"/>
  <c r="CB44" i="45"/>
  <c r="CA44" i="45"/>
  <c r="BZ44" i="45"/>
  <c r="BY44" i="45"/>
  <c r="BX44" i="45"/>
  <c r="BW44" i="45"/>
  <c r="BV44" i="45"/>
  <c r="BU44" i="45"/>
  <c r="BT44" i="45"/>
  <c r="BS44" i="45"/>
  <c r="BR44" i="45"/>
  <c r="BQ44" i="45"/>
  <c r="BP44" i="45"/>
  <c r="BO44" i="45"/>
  <c r="BN44" i="45"/>
  <c r="BM44" i="45"/>
  <c r="BL44" i="45"/>
  <c r="BK44" i="45"/>
  <c r="BJ44" i="45"/>
  <c r="BI44" i="45"/>
  <c r="BH44" i="45"/>
  <c r="BG44" i="45"/>
  <c r="BF44" i="45"/>
  <c r="BE44" i="45"/>
  <c r="BD44" i="45"/>
  <c r="BC44" i="45"/>
  <c r="BB44" i="45"/>
  <c r="BA44" i="45"/>
  <c r="AZ44" i="45"/>
  <c r="AY44" i="45"/>
  <c r="AX44" i="45"/>
  <c r="AW44" i="45"/>
  <c r="AV44" i="45"/>
  <c r="AU44" i="45"/>
  <c r="AT44" i="45"/>
  <c r="CC43" i="45"/>
  <c r="CB43" i="45"/>
  <c r="CA43" i="45"/>
  <c r="BZ43" i="45"/>
  <c r="BY43" i="45"/>
  <c r="BX43" i="45"/>
  <c r="BW43" i="45"/>
  <c r="BV43" i="45"/>
  <c r="BU43" i="45"/>
  <c r="BT43" i="45"/>
  <c r="BS43" i="45"/>
  <c r="BR43" i="45"/>
  <c r="BQ43" i="45"/>
  <c r="BP43" i="45"/>
  <c r="BO43" i="45"/>
  <c r="BN43" i="45"/>
  <c r="BM43" i="45"/>
  <c r="BL43" i="45"/>
  <c r="BK43" i="45"/>
  <c r="BJ43" i="45"/>
  <c r="BI43" i="45"/>
  <c r="BH43" i="45"/>
  <c r="BG43" i="45"/>
  <c r="BF43" i="45"/>
  <c r="BE43" i="45"/>
  <c r="BD43" i="45"/>
  <c r="BC43" i="45"/>
  <c r="BB43" i="45"/>
  <c r="BA43" i="45"/>
  <c r="AZ43" i="45"/>
  <c r="AY43" i="45"/>
  <c r="AX43" i="45"/>
  <c r="AW43" i="45"/>
  <c r="AV43" i="45"/>
  <c r="AU43" i="45"/>
  <c r="AT43" i="45"/>
  <c r="CC42" i="45"/>
  <c r="CB42" i="45"/>
  <c r="CA42" i="45"/>
  <c r="BZ42" i="45"/>
  <c r="BY42" i="45"/>
  <c r="BX42" i="45"/>
  <c r="BW42" i="45"/>
  <c r="BV42" i="45"/>
  <c r="BU42" i="45"/>
  <c r="BT42" i="45"/>
  <c r="BS42" i="45"/>
  <c r="BR42" i="45"/>
  <c r="BQ42" i="45"/>
  <c r="BP42" i="45"/>
  <c r="BO42" i="45"/>
  <c r="BN42" i="45"/>
  <c r="BM42" i="45"/>
  <c r="BL42" i="45"/>
  <c r="BK42" i="45"/>
  <c r="BJ42" i="45"/>
  <c r="BI42" i="45"/>
  <c r="BH42" i="45"/>
  <c r="BG42" i="45"/>
  <c r="BF42" i="45"/>
  <c r="BE42" i="45"/>
  <c r="BD42" i="45"/>
  <c r="BC42" i="45"/>
  <c r="BB42" i="45"/>
  <c r="BA42" i="45"/>
  <c r="AZ42" i="45"/>
  <c r="AY42" i="45"/>
  <c r="AX42" i="45"/>
  <c r="AW42" i="45"/>
  <c r="AV42" i="45"/>
  <c r="AU42" i="45"/>
  <c r="AT42" i="45"/>
  <c r="CC33" i="45"/>
  <c r="CB33" i="45"/>
  <c r="CA33" i="45"/>
  <c r="BZ33" i="45"/>
  <c r="BY33" i="45"/>
  <c r="BX33" i="45"/>
  <c r="BW33" i="45"/>
  <c r="BV33" i="45"/>
  <c r="BU33" i="45"/>
  <c r="BT33" i="45"/>
  <c r="BS33" i="45"/>
  <c r="BR33" i="45"/>
  <c r="BQ33" i="45"/>
  <c r="BP33" i="45"/>
  <c r="BO33" i="45"/>
  <c r="BN33" i="45"/>
  <c r="BM33" i="45"/>
  <c r="BL33" i="45"/>
  <c r="BK33" i="45"/>
  <c r="BJ33" i="45"/>
  <c r="BI33" i="45"/>
  <c r="BH33" i="45"/>
  <c r="BG33" i="45"/>
  <c r="BF33" i="45"/>
  <c r="BE33" i="45"/>
  <c r="BD33" i="45"/>
  <c r="BC33" i="45"/>
  <c r="BB33" i="45"/>
  <c r="BA33" i="45"/>
  <c r="AZ33" i="45"/>
  <c r="AY33" i="45"/>
  <c r="AX33" i="45"/>
  <c r="AW33" i="45"/>
  <c r="AV33" i="45"/>
  <c r="AU33" i="45"/>
  <c r="AT33" i="45"/>
  <c r="CC32" i="45"/>
  <c r="CB32" i="45"/>
  <c r="CA32" i="45"/>
  <c r="BZ32" i="45"/>
  <c r="BY32" i="45"/>
  <c r="BX32" i="45"/>
  <c r="BW32" i="45"/>
  <c r="BV32" i="45"/>
  <c r="BU32" i="45"/>
  <c r="BT32" i="45"/>
  <c r="BS32" i="45"/>
  <c r="BR32" i="45"/>
  <c r="BQ32" i="45"/>
  <c r="BP32" i="45"/>
  <c r="BO32" i="45"/>
  <c r="BN32" i="45"/>
  <c r="BM32" i="45"/>
  <c r="BL32" i="45"/>
  <c r="BK32" i="45"/>
  <c r="BJ32" i="45"/>
  <c r="BI32" i="45"/>
  <c r="BH32" i="45"/>
  <c r="BG32" i="45"/>
  <c r="BF32" i="45"/>
  <c r="BE32" i="45"/>
  <c r="BD32" i="45"/>
  <c r="BC32" i="45"/>
  <c r="BB32" i="45"/>
  <c r="BA32" i="45"/>
  <c r="AZ32" i="45"/>
  <c r="AY32" i="45"/>
  <c r="AX32" i="45"/>
  <c r="AW32" i="45"/>
  <c r="AV32" i="45"/>
  <c r="AU32" i="45"/>
  <c r="AT32" i="45"/>
  <c r="CC31" i="45"/>
  <c r="CB31" i="45"/>
  <c r="CA31" i="45"/>
  <c r="BZ31" i="45"/>
  <c r="BY31" i="45"/>
  <c r="BX31" i="45"/>
  <c r="BW31" i="45"/>
  <c r="BV31" i="45"/>
  <c r="BU31" i="45"/>
  <c r="BT31" i="45"/>
  <c r="BS31" i="45"/>
  <c r="BR31" i="45"/>
  <c r="BQ31" i="45"/>
  <c r="BP31" i="45"/>
  <c r="BO31" i="45"/>
  <c r="BN31" i="45"/>
  <c r="BM31" i="45"/>
  <c r="BL31" i="45"/>
  <c r="BK31" i="45"/>
  <c r="BJ31" i="45"/>
  <c r="BI31" i="45"/>
  <c r="BH31" i="45"/>
  <c r="BG31" i="45"/>
  <c r="BF31" i="45"/>
  <c r="BE31" i="45"/>
  <c r="BD31" i="45"/>
  <c r="BC31" i="45"/>
  <c r="BB31" i="45"/>
  <c r="BA31" i="45"/>
  <c r="AZ31" i="45"/>
  <c r="AY31" i="45"/>
  <c r="AX31" i="45"/>
  <c r="AW31" i="45"/>
  <c r="AV31" i="45"/>
  <c r="AU31" i="45"/>
  <c r="AT31" i="45"/>
  <c r="CC30" i="45"/>
  <c r="CB30" i="45"/>
  <c r="CA30" i="45"/>
  <c r="BZ30" i="45"/>
  <c r="BY30" i="45"/>
  <c r="BX30" i="45"/>
  <c r="BW30" i="45"/>
  <c r="BV30" i="45"/>
  <c r="BU30" i="45"/>
  <c r="BT30" i="45"/>
  <c r="BS30" i="45"/>
  <c r="BR30" i="45"/>
  <c r="BQ30" i="45"/>
  <c r="BP30" i="45"/>
  <c r="BO30" i="45"/>
  <c r="BN30" i="45"/>
  <c r="BM30" i="45"/>
  <c r="BL30" i="45"/>
  <c r="BK30" i="45"/>
  <c r="BJ30" i="45"/>
  <c r="BI30" i="45"/>
  <c r="BH30" i="45"/>
  <c r="BG30" i="45"/>
  <c r="BF30" i="45"/>
  <c r="BE30" i="45"/>
  <c r="BD30" i="45"/>
  <c r="BC30" i="45"/>
  <c r="BB30" i="45"/>
  <c r="BA30" i="45"/>
  <c r="AZ30" i="45"/>
  <c r="AY30" i="45"/>
  <c r="AX30" i="45"/>
  <c r="AW30" i="45"/>
  <c r="AV30" i="45"/>
  <c r="AU30" i="45"/>
  <c r="AT30" i="45"/>
  <c r="CC29" i="45"/>
  <c r="CB29" i="45"/>
  <c r="CA29" i="45"/>
  <c r="BZ29" i="45"/>
  <c r="BY29" i="45"/>
  <c r="BX29" i="45"/>
  <c r="BW29" i="45"/>
  <c r="BV29" i="45"/>
  <c r="BU29" i="45"/>
  <c r="BT29" i="45"/>
  <c r="BS29" i="45"/>
  <c r="BR29" i="45"/>
  <c r="BQ29" i="45"/>
  <c r="BP29" i="45"/>
  <c r="BO29" i="45"/>
  <c r="BN29" i="45"/>
  <c r="BM29" i="45"/>
  <c r="BL29" i="45"/>
  <c r="BK29" i="45"/>
  <c r="BJ29" i="45"/>
  <c r="BI29" i="45"/>
  <c r="BH29" i="45"/>
  <c r="BG29" i="45"/>
  <c r="BF29" i="45"/>
  <c r="BE29" i="45"/>
  <c r="BD29" i="45"/>
  <c r="BC29" i="45"/>
  <c r="BB29" i="45"/>
  <c r="BA29" i="45"/>
  <c r="AZ29" i="45"/>
  <c r="AY29" i="45"/>
  <c r="AX29" i="45"/>
  <c r="AW29" i="45"/>
  <c r="AV29" i="45"/>
  <c r="AU29" i="45"/>
  <c r="AT29" i="45"/>
  <c r="CC28" i="45"/>
  <c r="CB28" i="45"/>
  <c r="CA28" i="45"/>
  <c r="BZ28" i="45"/>
  <c r="BY28" i="45"/>
  <c r="BX28" i="45"/>
  <c r="BW28" i="45"/>
  <c r="BV28" i="45"/>
  <c r="BU28" i="45"/>
  <c r="BT28" i="45"/>
  <c r="BS28" i="45"/>
  <c r="BR28" i="45"/>
  <c r="BQ28" i="45"/>
  <c r="BP28" i="45"/>
  <c r="BO28" i="45"/>
  <c r="BN28" i="45"/>
  <c r="BM28" i="45"/>
  <c r="BL28" i="45"/>
  <c r="BK28" i="45"/>
  <c r="BJ28" i="45"/>
  <c r="BI28" i="45"/>
  <c r="BH28" i="45"/>
  <c r="BG28" i="45"/>
  <c r="BF28" i="45"/>
  <c r="BE28" i="45"/>
  <c r="BD28" i="45"/>
  <c r="BC28" i="45"/>
  <c r="BB28" i="45"/>
  <c r="BA28" i="45"/>
  <c r="AZ28" i="45"/>
  <c r="AY28" i="45"/>
  <c r="AX28" i="45"/>
  <c r="AW28" i="45"/>
  <c r="AV28" i="45"/>
  <c r="AU28" i="45"/>
  <c r="AT28" i="45"/>
  <c r="CC27" i="45"/>
  <c r="CB27" i="45"/>
  <c r="CA27" i="45"/>
  <c r="BZ27" i="45"/>
  <c r="BY27" i="45"/>
  <c r="BX27" i="45"/>
  <c r="BW27" i="45"/>
  <c r="BV27" i="45"/>
  <c r="BU27" i="45"/>
  <c r="BT27" i="45"/>
  <c r="BS27" i="45"/>
  <c r="BR27" i="45"/>
  <c r="BQ27" i="45"/>
  <c r="BP27" i="45"/>
  <c r="BO27" i="45"/>
  <c r="BN27" i="45"/>
  <c r="BM27" i="45"/>
  <c r="BL27" i="45"/>
  <c r="BK27" i="45"/>
  <c r="BJ27" i="45"/>
  <c r="BI27" i="45"/>
  <c r="BH27" i="45"/>
  <c r="BG27" i="45"/>
  <c r="BF27" i="45"/>
  <c r="BE27" i="45"/>
  <c r="BD27" i="45"/>
  <c r="BC27" i="45"/>
  <c r="BB27" i="45"/>
  <c r="BA27" i="45"/>
  <c r="AZ27" i="45"/>
  <c r="AY27" i="45"/>
  <c r="AX27" i="45"/>
  <c r="AW27" i="45"/>
  <c r="AV27" i="45"/>
  <c r="AU27" i="45"/>
  <c r="AT27" i="45"/>
  <c r="CC26" i="45"/>
  <c r="CB26" i="45"/>
  <c r="CA26" i="45"/>
  <c r="BZ26" i="45"/>
  <c r="BY26" i="45"/>
  <c r="BX26" i="45"/>
  <c r="BW26" i="45"/>
  <c r="BV26" i="45"/>
  <c r="BU26" i="45"/>
  <c r="BT26" i="45"/>
  <c r="BS26" i="45"/>
  <c r="BR26" i="45"/>
  <c r="BQ26" i="45"/>
  <c r="BP26" i="45"/>
  <c r="BO26" i="45"/>
  <c r="BN26" i="45"/>
  <c r="BM26" i="45"/>
  <c r="BL26" i="45"/>
  <c r="BK26" i="45"/>
  <c r="BJ26" i="45"/>
  <c r="BI26" i="45"/>
  <c r="BH26" i="45"/>
  <c r="BG26" i="45"/>
  <c r="BF26" i="45"/>
  <c r="BE26" i="45"/>
  <c r="BD26" i="45"/>
  <c r="BC26" i="45"/>
  <c r="BB26" i="45"/>
  <c r="BA26" i="45"/>
  <c r="AZ26" i="45"/>
  <c r="AY26" i="45"/>
  <c r="AX26" i="45"/>
  <c r="AW26" i="45"/>
  <c r="AV26" i="45"/>
  <c r="AU26" i="45"/>
  <c r="AT26" i="45"/>
  <c r="AN410" i="45"/>
  <c r="C21" i="45"/>
  <c r="AT21" i="45" s="1"/>
  <c r="AN26" i="45"/>
  <c r="AI21" i="45"/>
  <c r="AJ21" i="45"/>
  <c r="CA21" i="45" s="1"/>
  <c r="AK21" i="45"/>
  <c r="AL21" i="45"/>
  <c r="CC21" i="45" s="1"/>
  <c r="AE21" i="45"/>
  <c r="AE37" i="45" s="1"/>
  <c r="AE53" i="45" s="1"/>
  <c r="AJ7" i="45"/>
  <c r="CA17" i="45"/>
  <c r="CA16" i="45"/>
  <c r="CA15" i="45"/>
  <c r="CA14" i="45"/>
  <c r="CA13" i="45"/>
  <c r="CA12" i="45"/>
  <c r="CA11" i="45"/>
  <c r="CA10" i="45"/>
  <c r="CA5" i="45"/>
  <c r="AR417" i="45"/>
  <c r="AQ417" i="45" s="1"/>
  <c r="AN417" i="45"/>
  <c r="AR416" i="45"/>
  <c r="AQ416" i="45" s="1"/>
  <c r="AN416" i="45"/>
  <c r="AR415" i="45"/>
  <c r="AQ415" i="45" s="1"/>
  <c r="AN415" i="45"/>
  <c r="AR414" i="45"/>
  <c r="AQ414" i="45" s="1"/>
  <c r="AN414" i="45"/>
  <c r="AR413" i="45"/>
  <c r="AQ413" i="45" s="1"/>
  <c r="AN413" i="45"/>
  <c r="AR412" i="45"/>
  <c r="AQ412" i="45" s="1"/>
  <c r="AN412" i="45"/>
  <c r="AR411" i="45"/>
  <c r="AQ411" i="45" s="1"/>
  <c r="AN411" i="45"/>
  <c r="AR410" i="45"/>
  <c r="AQ410" i="45" s="1"/>
  <c r="AM406" i="45"/>
  <c r="AR401" i="45"/>
  <c r="AQ401" i="45" s="1"/>
  <c r="AN401" i="45"/>
  <c r="AR400" i="45"/>
  <c r="AQ400" i="45" s="1"/>
  <c r="AN400" i="45"/>
  <c r="AR399" i="45"/>
  <c r="AQ399" i="45" s="1"/>
  <c r="AN399" i="45"/>
  <c r="AR398" i="45"/>
  <c r="AQ398" i="45" s="1"/>
  <c r="AN398" i="45"/>
  <c r="AR397" i="45"/>
  <c r="AQ397" i="45" s="1"/>
  <c r="AN397" i="45"/>
  <c r="AR396" i="45"/>
  <c r="AQ396" i="45" s="1"/>
  <c r="AN396" i="45"/>
  <c r="AR395" i="45"/>
  <c r="AQ395" i="45" s="1"/>
  <c r="AN395" i="45"/>
  <c r="AR394" i="45"/>
  <c r="AQ394" i="45" s="1"/>
  <c r="AN394" i="45"/>
  <c r="AM390" i="45"/>
  <c r="AR385" i="45"/>
  <c r="AQ385" i="45" s="1"/>
  <c r="AN385" i="45"/>
  <c r="AR384" i="45"/>
  <c r="AQ384" i="45" s="1"/>
  <c r="AN384" i="45"/>
  <c r="AR383" i="45"/>
  <c r="AQ383" i="45" s="1"/>
  <c r="AN383" i="45"/>
  <c r="AR382" i="45"/>
  <c r="AQ382" i="45" s="1"/>
  <c r="AN382" i="45"/>
  <c r="AR381" i="45"/>
  <c r="AQ381" i="45" s="1"/>
  <c r="AN381" i="45"/>
  <c r="AR380" i="45"/>
  <c r="AQ380" i="45" s="1"/>
  <c r="AN380" i="45"/>
  <c r="AR379" i="45"/>
  <c r="AQ379" i="45" s="1"/>
  <c r="AN379" i="45"/>
  <c r="AR378" i="45"/>
  <c r="AQ378" i="45" s="1"/>
  <c r="AN378" i="45"/>
  <c r="AM374" i="45"/>
  <c r="AR369" i="45"/>
  <c r="AQ369" i="45" s="1"/>
  <c r="AN369" i="45"/>
  <c r="AR368" i="45"/>
  <c r="AQ368" i="45" s="1"/>
  <c r="AN368" i="45"/>
  <c r="AR367" i="45"/>
  <c r="AQ367" i="45" s="1"/>
  <c r="AN367" i="45"/>
  <c r="AR366" i="45"/>
  <c r="AQ366" i="45" s="1"/>
  <c r="AN366" i="45"/>
  <c r="AR365" i="45"/>
  <c r="AQ365" i="45" s="1"/>
  <c r="AN365" i="45"/>
  <c r="AR364" i="45"/>
  <c r="AQ364" i="45" s="1"/>
  <c r="AN364" i="45"/>
  <c r="AR363" i="45"/>
  <c r="AQ363" i="45" s="1"/>
  <c r="AN363" i="45"/>
  <c r="AR362" i="45"/>
  <c r="AQ362" i="45" s="1"/>
  <c r="AN362" i="45"/>
  <c r="AM358" i="45"/>
  <c r="AR353" i="45"/>
  <c r="AQ353" i="45" s="1"/>
  <c r="AN353" i="45"/>
  <c r="AR352" i="45"/>
  <c r="AQ352" i="45" s="1"/>
  <c r="AN352" i="45"/>
  <c r="AR351" i="45"/>
  <c r="AQ351" i="45" s="1"/>
  <c r="AN351" i="45"/>
  <c r="AR350" i="45"/>
  <c r="AQ350" i="45" s="1"/>
  <c r="AN350" i="45"/>
  <c r="AR349" i="45"/>
  <c r="AQ349" i="45" s="1"/>
  <c r="AN349" i="45"/>
  <c r="AR348" i="45"/>
  <c r="AQ348" i="45" s="1"/>
  <c r="AN348" i="45"/>
  <c r="AR347" i="45"/>
  <c r="AQ347" i="45" s="1"/>
  <c r="AN347" i="45"/>
  <c r="AR346" i="45"/>
  <c r="AQ346" i="45" s="1"/>
  <c r="AN346" i="45"/>
  <c r="AM342" i="45"/>
  <c r="AR337" i="45"/>
  <c r="AQ337" i="45" s="1"/>
  <c r="AN337" i="45"/>
  <c r="AR336" i="45"/>
  <c r="AQ336" i="45" s="1"/>
  <c r="AN336" i="45"/>
  <c r="AR335" i="45"/>
  <c r="AQ335" i="45" s="1"/>
  <c r="AN335" i="45"/>
  <c r="AR334" i="45"/>
  <c r="AQ334" i="45" s="1"/>
  <c r="AN334" i="45"/>
  <c r="AR333" i="45"/>
  <c r="AQ333" i="45" s="1"/>
  <c r="AN333" i="45"/>
  <c r="AR332" i="45"/>
  <c r="AQ332" i="45" s="1"/>
  <c r="AN332" i="45"/>
  <c r="AR331" i="45"/>
  <c r="AQ331" i="45" s="1"/>
  <c r="AN331" i="45"/>
  <c r="AR330" i="45"/>
  <c r="AQ330" i="45" s="1"/>
  <c r="AN330" i="45"/>
  <c r="AM326" i="45"/>
  <c r="AN321" i="45"/>
  <c r="AN320" i="45"/>
  <c r="AN319" i="45"/>
  <c r="AN318" i="45"/>
  <c r="AN317" i="45"/>
  <c r="AN316" i="45"/>
  <c r="AN315" i="45"/>
  <c r="AN314" i="45"/>
  <c r="AN305" i="45"/>
  <c r="AN304" i="45"/>
  <c r="AN303" i="45"/>
  <c r="AN302" i="45"/>
  <c r="AN301" i="45"/>
  <c r="AN300" i="45"/>
  <c r="AN299" i="45"/>
  <c r="AN298" i="45"/>
  <c r="AN289" i="45"/>
  <c r="AN288" i="45"/>
  <c r="AN287" i="45"/>
  <c r="AN286" i="45"/>
  <c r="AN285" i="45"/>
  <c r="AN284" i="45"/>
  <c r="AN283" i="45"/>
  <c r="AN282" i="45"/>
  <c r="AN273" i="45"/>
  <c r="AN272" i="45"/>
  <c r="AN271" i="45"/>
  <c r="AN270" i="45"/>
  <c r="AN269" i="45"/>
  <c r="AN268" i="45"/>
  <c r="AN267" i="45"/>
  <c r="AN266" i="45"/>
  <c r="AN257" i="45"/>
  <c r="AN256" i="45"/>
  <c r="AN255" i="45"/>
  <c r="AN254" i="45"/>
  <c r="AN253" i="45"/>
  <c r="AN252" i="45"/>
  <c r="AN251" i="45"/>
  <c r="AN250" i="45"/>
  <c r="AN241" i="45"/>
  <c r="AN240" i="45"/>
  <c r="AN239" i="45"/>
  <c r="AN238" i="45"/>
  <c r="AN237" i="45"/>
  <c r="AN236" i="45"/>
  <c r="AN235" i="45"/>
  <c r="AN234" i="45"/>
  <c r="AN225" i="45"/>
  <c r="AN224" i="45"/>
  <c r="AN223" i="45"/>
  <c r="AN222" i="45"/>
  <c r="AN221" i="45"/>
  <c r="AN220" i="45"/>
  <c r="AN219" i="45"/>
  <c r="AN218" i="45"/>
  <c r="AJ23" i="45" l="1"/>
  <c r="AJ37" i="45"/>
  <c r="CA37" i="45" s="1"/>
  <c r="AL37" i="45"/>
  <c r="AL53" i="45" s="1"/>
  <c r="AE55" i="45"/>
  <c r="AE69" i="45"/>
  <c r="BV53" i="45"/>
  <c r="AJ53" i="45"/>
  <c r="BV21" i="45"/>
  <c r="BZ21" i="45"/>
  <c r="AI37" i="45"/>
  <c r="AE39" i="45"/>
  <c r="BV37" i="45"/>
  <c r="CB21" i="45"/>
  <c r="AK37" i="45"/>
  <c r="AP373" i="45"/>
  <c r="AP374" i="45" s="1"/>
  <c r="AO374" i="45" s="1"/>
  <c r="AP405" i="45"/>
  <c r="AP406" i="45" s="1"/>
  <c r="AO406" i="45" s="1"/>
  <c r="AP389" i="45"/>
  <c r="AP390" i="45" s="1"/>
  <c r="AO390" i="45" s="1"/>
  <c r="AP357" i="45"/>
  <c r="AP358" i="45" s="1"/>
  <c r="AO358" i="45" s="1"/>
  <c r="AP341" i="45"/>
  <c r="AP342" i="45" s="1"/>
  <c r="AO342" i="45" s="1"/>
  <c r="AP325" i="45"/>
  <c r="AP326" i="45" s="1"/>
  <c r="AO326" i="45" s="1"/>
  <c r="AL39" i="45" l="1"/>
  <c r="CC37" i="45"/>
  <c r="AJ39" i="45"/>
  <c r="CB37" i="45"/>
  <c r="AK53" i="45"/>
  <c r="AK39" i="45"/>
  <c r="AI39" i="45"/>
  <c r="BZ37" i="45"/>
  <c r="AI53" i="45"/>
  <c r="AE71" i="45"/>
  <c r="BV69" i="45"/>
  <c r="AE85" i="45"/>
  <c r="CA53" i="45"/>
  <c r="AJ55" i="45"/>
  <c r="AJ69" i="45"/>
  <c r="CC53" i="45"/>
  <c r="AL55" i="45"/>
  <c r="AL69" i="45"/>
  <c r="AJ71" i="45" l="1"/>
  <c r="CA69" i="45"/>
  <c r="AJ85" i="45"/>
  <c r="AL71" i="45"/>
  <c r="CC69" i="45"/>
  <c r="AL85" i="45"/>
  <c r="AI55" i="45"/>
  <c r="BZ53" i="45"/>
  <c r="AI69" i="45"/>
  <c r="CB53" i="45"/>
  <c r="AK69" i="45"/>
  <c r="AK55" i="45"/>
  <c r="AE87" i="45"/>
  <c r="BV85" i="45"/>
  <c r="AE101" i="45"/>
  <c r="AE103" i="45" l="1"/>
  <c r="BV101" i="45"/>
  <c r="AE117" i="45"/>
  <c r="AK71" i="45"/>
  <c r="CB69" i="45"/>
  <c r="AK85" i="45"/>
  <c r="AJ87" i="45"/>
  <c r="CA85" i="45"/>
  <c r="AJ101" i="45"/>
  <c r="AL87" i="45"/>
  <c r="CC85" i="45"/>
  <c r="AL101" i="45"/>
  <c r="AI71" i="45"/>
  <c r="BZ69" i="45"/>
  <c r="AI85" i="45"/>
  <c r="AL103" i="45" l="1"/>
  <c r="CC101" i="45"/>
  <c r="AL117" i="45"/>
  <c r="AI87" i="45"/>
  <c r="BZ85" i="45"/>
  <c r="AI101" i="45"/>
  <c r="AE119" i="45"/>
  <c r="BV117" i="45"/>
  <c r="AE133" i="45"/>
  <c r="AK87" i="45"/>
  <c r="CB85" i="45"/>
  <c r="AK101" i="45"/>
  <c r="AJ103" i="45"/>
  <c r="AJ117" i="45"/>
  <c r="CA101" i="45"/>
  <c r="AK103" i="45" l="1"/>
  <c r="CB101" i="45"/>
  <c r="AK117" i="45"/>
  <c r="AL119" i="45"/>
  <c r="CC117" i="45"/>
  <c r="AL133" i="45"/>
  <c r="AJ119" i="45"/>
  <c r="CA117" i="45"/>
  <c r="AJ133" i="45"/>
  <c r="AI103" i="45"/>
  <c r="BZ101" i="45"/>
  <c r="AI117" i="45"/>
  <c r="AE135" i="45"/>
  <c r="BV133" i="45"/>
  <c r="AE149" i="45"/>
  <c r="AJ135" i="45" l="1"/>
  <c r="CA133" i="45"/>
  <c r="AJ149" i="45"/>
  <c r="AI119" i="45"/>
  <c r="BZ117" i="45"/>
  <c r="AI133" i="45"/>
  <c r="AE151" i="45"/>
  <c r="BV149" i="45"/>
  <c r="AE165" i="45"/>
  <c r="AK119" i="45"/>
  <c r="CB117" i="45"/>
  <c r="AK133" i="45"/>
  <c r="AL135" i="45"/>
  <c r="CC133" i="45"/>
  <c r="AL149" i="45"/>
  <c r="AE167" i="45" l="1"/>
  <c r="BV165" i="45"/>
  <c r="AE181" i="45"/>
  <c r="AK135" i="45"/>
  <c r="CB133" i="45"/>
  <c r="AK149" i="45"/>
  <c r="AL151" i="45"/>
  <c r="CC149" i="45"/>
  <c r="AL165" i="45"/>
  <c r="AJ151" i="45"/>
  <c r="CA149" i="45"/>
  <c r="AJ165" i="45"/>
  <c r="AI135" i="45"/>
  <c r="BZ133" i="45"/>
  <c r="AI149" i="45"/>
  <c r="AK151" i="45" l="1"/>
  <c r="CB149" i="45"/>
  <c r="AK165" i="45"/>
  <c r="AJ167" i="45"/>
  <c r="CA165" i="45"/>
  <c r="AJ181" i="45"/>
  <c r="AL167" i="45"/>
  <c r="CC165" i="45"/>
  <c r="AL181" i="45"/>
  <c r="AI151" i="45"/>
  <c r="BZ149" i="45"/>
  <c r="AI165" i="45"/>
  <c r="AE183" i="45"/>
  <c r="BV181" i="45"/>
  <c r="AE197" i="45"/>
  <c r="AL183" i="45" l="1"/>
  <c r="CC181" i="45"/>
  <c r="AL197" i="45"/>
  <c r="AI167" i="45"/>
  <c r="BZ165" i="45"/>
  <c r="AI181" i="45"/>
  <c r="AJ183" i="45"/>
  <c r="AJ197" i="45"/>
  <c r="CA181" i="45"/>
  <c r="AE199" i="45"/>
  <c r="BV197" i="45"/>
  <c r="AE213" i="45"/>
  <c r="AK167" i="45"/>
  <c r="CB165" i="45"/>
  <c r="AK181" i="45"/>
  <c r="AN209" i="45"/>
  <c r="AN208" i="45"/>
  <c r="AN207" i="45"/>
  <c r="AN206" i="45"/>
  <c r="AN205" i="45"/>
  <c r="AN204" i="45"/>
  <c r="AN203" i="45"/>
  <c r="AN202" i="45"/>
  <c r="AN193" i="45"/>
  <c r="AN192" i="45"/>
  <c r="AN191" i="45"/>
  <c r="AN190" i="45"/>
  <c r="AN189" i="45"/>
  <c r="AN188" i="45"/>
  <c r="AN187" i="45"/>
  <c r="AN186" i="45"/>
  <c r="AN177" i="45"/>
  <c r="AN176" i="45"/>
  <c r="AN175" i="45"/>
  <c r="AN174" i="45"/>
  <c r="AN173" i="45"/>
  <c r="AN172" i="45"/>
  <c r="AN171" i="45"/>
  <c r="AN170" i="45"/>
  <c r="AN161" i="45"/>
  <c r="AN160" i="45"/>
  <c r="AN159" i="45"/>
  <c r="AN158" i="45"/>
  <c r="AN157" i="45"/>
  <c r="AN156" i="45"/>
  <c r="AN155" i="45"/>
  <c r="AN154" i="45"/>
  <c r="AN145" i="45"/>
  <c r="AN144" i="45"/>
  <c r="AN143" i="45"/>
  <c r="AN142" i="45"/>
  <c r="AN141" i="45"/>
  <c r="AN140" i="45"/>
  <c r="AN139" i="45"/>
  <c r="AN138" i="45"/>
  <c r="AN129" i="45"/>
  <c r="AN128" i="45"/>
  <c r="AN127" i="45"/>
  <c r="AN126" i="45"/>
  <c r="AN125" i="45"/>
  <c r="AN124" i="45"/>
  <c r="AN123" i="45"/>
  <c r="AN122" i="45"/>
  <c r="AN113" i="45"/>
  <c r="AN112" i="45"/>
  <c r="AN111" i="45"/>
  <c r="AN110" i="45"/>
  <c r="AN109" i="45"/>
  <c r="AN108" i="45"/>
  <c r="AN107" i="45"/>
  <c r="AN106" i="45"/>
  <c r="AN97" i="45"/>
  <c r="AN96" i="45"/>
  <c r="AN95" i="45"/>
  <c r="AN94" i="45"/>
  <c r="AN93" i="45"/>
  <c r="AN92" i="45"/>
  <c r="AN91" i="45"/>
  <c r="AN90" i="45"/>
  <c r="AN81" i="45"/>
  <c r="AN80" i="45"/>
  <c r="AN79" i="45"/>
  <c r="AN78" i="45"/>
  <c r="AN77" i="45"/>
  <c r="AN76" i="45"/>
  <c r="AN75" i="45"/>
  <c r="AN74" i="45"/>
  <c r="AN65" i="45"/>
  <c r="AN64" i="45"/>
  <c r="AN63" i="45"/>
  <c r="AN62" i="45"/>
  <c r="AN61" i="45"/>
  <c r="AN60" i="45"/>
  <c r="AN59" i="45"/>
  <c r="AN58" i="45"/>
  <c r="AN49" i="45"/>
  <c r="AN48" i="45"/>
  <c r="AN47" i="45"/>
  <c r="AN46" i="45"/>
  <c r="AN45" i="45"/>
  <c r="AN44" i="45"/>
  <c r="AN43" i="45"/>
  <c r="AN42" i="45"/>
  <c r="AN33" i="45"/>
  <c r="AN32" i="45"/>
  <c r="AN31" i="45"/>
  <c r="AN30" i="45"/>
  <c r="AN29" i="45"/>
  <c r="AN28" i="45"/>
  <c r="AN27" i="45"/>
  <c r="AN10" i="45"/>
  <c r="AI23" i="45"/>
  <c r="C7" i="45"/>
  <c r="AT10" i="45" s="1"/>
  <c r="AL7" i="45"/>
  <c r="CC15" i="45" s="1"/>
  <c r="AK7" i="45"/>
  <c r="AZ10" i="45"/>
  <c r="BA10" i="45"/>
  <c r="BB10" i="45"/>
  <c r="BC10" i="45"/>
  <c r="BD10" i="45"/>
  <c r="BE10" i="45"/>
  <c r="BF10" i="45"/>
  <c r="BG10" i="45"/>
  <c r="BH10" i="45"/>
  <c r="BI10" i="45"/>
  <c r="BJ10" i="45"/>
  <c r="BK10" i="45"/>
  <c r="BL10" i="45"/>
  <c r="BM10" i="45"/>
  <c r="BN10" i="45"/>
  <c r="BO10" i="45"/>
  <c r="BP10" i="45"/>
  <c r="BQ10" i="45"/>
  <c r="BR10" i="45"/>
  <c r="BS10" i="45"/>
  <c r="BT10" i="45"/>
  <c r="BU10" i="45"/>
  <c r="BV10" i="45"/>
  <c r="BW10" i="45"/>
  <c r="BX10" i="45"/>
  <c r="BY10" i="45"/>
  <c r="BZ10" i="45"/>
  <c r="CB10" i="45"/>
  <c r="AY11" i="45"/>
  <c r="AZ11" i="45"/>
  <c r="BA11" i="45"/>
  <c r="BB11" i="45"/>
  <c r="BC11" i="45"/>
  <c r="BD11" i="45"/>
  <c r="BE11" i="45"/>
  <c r="BF11" i="45"/>
  <c r="BG11" i="45"/>
  <c r="BH11" i="45"/>
  <c r="BI11" i="45"/>
  <c r="BJ11" i="45"/>
  <c r="BK11" i="45"/>
  <c r="BL11" i="45"/>
  <c r="BM11" i="45"/>
  <c r="BN11" i="45"/>
  <c r="BO11" i="45"/>
  <c r="BP11" i="45"/>
  <c r="BQ11" i="45"/>
  <c r="BR11" i="45"/>
  <c r="BS11" i="45"/>
  <c r="BT11" i="45"/>
  <c r="BU11" i="45"/>
  <c r="BV11" i="45"/>
  <c r="BW11" i="45"/>
  <c r="BX11" i="45"/>
  <c r="BY11" i="45"/>
  <c r="BZ11" i="45"/>
  <c r="CB11" i="45"/>
  <c r="CC11" i="45"/>
  <c r="AV12" i="45"/>
  <c r="AW12" i="45"/>
  <c r="AX12" i="45"/>
  <c r="AY12" i="45"/>
  <c r="AZ12" i="45"/>
  <c r="BA12" i="45"/>
  <c r="BB12" i="45"/>
  <c r="BC12" i="45"/>
  <c r="BD12" i="45"/>
  <c r="BE12" i="45"/>
  <c r="BF12" i="45"/>
  <c r="BG12" i="45"/>
  <c r="BH12" i="45"/>
  <c r="BI12" i="45"/>
  <c r="BJ12" i="45"/>
  <c r="BK12" i="45"/>
  <c r="BL12" i="45"/>
  <c r="BM12" i="45"/>
  <c r="BN12" i="45"/>
  <c r="BO12" i="45"/>
  <c r="BP12" i="45"/>
  <c r="BQ12" i="45"/>
  <c r="BR12" i="45"/>
  <c r="BS12" i="45"/>
  <c r="BT12" i="45"/>
  <c r="BU12" i="45"/>
  <c r="BV12" i="45"/>
  <c r="BW12" i="45"/>
  <c r="BX12" i="45"/>
  <c r="BY12" i="45"/>
  <c r="BZ12" i="45"/>
  <c r="CB12" i="45"/>
  <c r="CC12" i="45"/>
  <c r="AV13" i="45"/>
  <c r="AX13" i="45"/>
  <c r="AY13" i="45"/>
  <c r="AZ13" i="45"/>
  <c r="BA13" i="45"/>
  <c r="BB13" i="45"/>
  <c r="BC13" i="45"/>
  <c r="BD13" i="45"/>
  <c r="BE13" i="45"/>
  <c r="BF13" i="45"/>
  <c r="BG13" i="45"/>
  <c r="BH13" i="45"/>
  <c r="BI13" i="45"/>
  <c r="BJ13" i="45"/>
  <c r="BK13" i="45"/>
  <c r="BL13" i="45"/>
  <c r="BM13" i="45"/>
  <c r="BN13" i="45"/>
  <c r="BO13" i="45"/>
  <c r="BP13" i="45"/>
  <c r="BQ13" i="45"/>
  <c r="BR13" i="45"/>
  <c r="BS13" i="45"/>
  <c r="BT13" i="45"/>
  <c r="BU13" i="45"/>
  <c r="BV13" i="45"/>
  <c r="BW13" i="45"/>
  <c r="BX13" i="45"/>
  <c r="BY13" i="45"/>
  <c r="BZ13" i="45"/>
  <c r="CB13" i="45"/>
  <c r="CC13" i="45"/>
  <c r="AU14" i="45"/>
  <c r="AV14" i="45"/>
  <c r="AW14" i="45"/>
  <c r="AY14" i="45"/>
  <c r="AZ14" i="45"/>
  <c r="BA14" i="45"/>
  <c r="BB14" i="45"/>
  <c r="BC14" i="45"/>
  <c r="BD14" i="45"/>
  <c r="BE14" i="45"/>
  <c r="BF14" i="45"/>
  <c r="BG14" i="45"/>
  <c r="BH14" i="45"/>
  <c r="BI14" i="45"/>
  <c r="BJ14" i="45"/>
  <c r="BK14" i="45"/>
  <c r="BL14" i="45"/>
  <c r="BM14" i="45"/>
  <c r="BN14" i="45"/>
  <c r="BO14" i="45"/>
  <c r="BP14" i="45"/>
  <c r="BQ14" i="45"/>
  <c r="BR14" i="45"/>
  <c r="BS14" i="45"/>
  <c r="BT14" i="45"/>
  <c r="BU14" i="45"/>
  <c r="BV14" i="45"/>
  <c r="BW14" i="45"/>
  <c r="BX14" i="45"/>
  <c r="BY14" i="45"/>
  <c r="BZ14" i="45"/>
  <c r="CB14" i="45"/>
  <c r="CC14" i="45"/>
  <c r="AU15" i="45"/>
  <c r="AV15" i="45"/>
  <c r="AW15" i="45"/>
  <c r="AX15" i="45"/>
  <c r="AY15" i="45"/>
  <c r="AZ15" i="45"/>
  <c r="BA15" i="45"/>
  <c r="BB15" i="45"/>
  <c r="BC15" i="45"/>
  <c r="BD15" i="45"/>
  <c r="BE15" i="45"/>
  <c r="BF15" i="45"/>
  <c r="BG15" i="45"/>
  <c r="BH15" i="45"/>
  <c r="BI15" i="45"/>
  <c r="BJ15" i="45"/>
  <c r="BK15" i="45"/>
  <c r="BL15" i="45"/>
  <c r="BM15" i="45"/>
  <c r="BN15" i="45"/>
  <c r="BO15" i="45"/>
  <c r="BP15" i="45"/>
  <c r="BQ15" i="45"/>
  <c r="BR15" i="45"/>
  <c r="BS15" i="45"/>
  <c r="BT15" i="45"/>
  <c r="BU15" i="45"/>
  <c r="BV15" i="45"/>
  <c r="CB15" i="45"/>
  <c r="AU16" i="45"/>
  <c r="AV16" i="45"/>
  <c r="AW16" i="45"/>
  <c r="AX16" i="45"/>
  <c r="AY16" i="45"/>
  <c r="AZ16" i="45"/>
  <c r="BA16" i="45"/>
  <c r="BB16" i="45"/>
  <c r="BC16" i="45"/>
  <c r="BD16" i="45"/>
  <c r="BE16" i="45"/>
  <c r="BF16" i="45"/>
  <c r="BG16" i="45"/>
  <c r="BH16" i="45"/>
  <c r="BI16" i="45"/>
  <c r="BJ16" i="45"/>
  <c r="BK16" i="45"/>
  <c r="BL16" i="45"/>
  <c r="BM16" i="45"/>
  <c r="BN16" i="45"/>
  <c r="BO16" i="45"/>
  <c r="BP16" i="45"/>
  <c r="BQ16" i="45"/>
  <c r="BR16" i="45"/>
  <c r="BS16" i="45"/>
  <c r="BT16" i="45"/>
  <c r="BU16" i="45"/>
  <c r="BV16" i="45"/>
  <c r="BW16" i="45"/>
  <c r="BX16" i="45"/>
  <c r="BY16" i="45"/>
  <c r="BZ16" i="45"/>
  <c r="CB16" i="45"/>
  <c r="CC16" i="45"/>
  <c r="AU17" i="45"/>
  <c r="AV17" i="45"/>
  <c r="AW17" i="45"/>
  <c r="AX17" i="45"/>
  <c r="AY17" i="45"/>
  <c r="AZ17" i="45"/>
  <c r="BA17" i="45"/>
  <c r="BB17" i="45"/>
  <c r="BC17" i="45"/>
  <c r="BD17" i="45"/>
  <c r="BE17" i="45"/>
  <c r="BF17" i="45"/>
  <c r="BG17" i="45"/>
  <c r="BH17" i="45"/>
  <c r="BI17" i="45"/>
  <c r="BJ17" i="45"/>
  <c r="BK17" i="45"/>
  <c r="BL17" i="45"/>
  <c r="BM17" i="45"/>
  <c r="BN17" i="45"/>
  <c r="BO17" i="45"/>
  <c r="BP17" i="45"/>
  <c r="BQ17" i="45"/>
  <c r="BR17" i="45"/>
  <c r="BS17" i="45"/>
  <c r="BT17" i="45"/>
  <c r="BU17" i="45"/>
  <c r="BV17" i="45"/>
  <c r="BW17" i="45"/>
  <c r="BX17" i="45"/>
  <c r="BY17" i="45"/>
  <c r="BZ17" i="45"/>
  <c r="CB17" i="45"/>
  <c r="CC17" i="45"/>
  <c r="BZ5" i="45"/>
  <c r="CB5" i="45"/>
  <c r="CC5" i="45"/>
  <c r="BD5" i="45"/>
  <c r="BE5" i="45"/>
  <c r="BF5" i="45"/>
  <c r="BG5" i="45"/>
  <c r="BH5" i="45"/>
  <c r="BI5" i="45"/>
  <c r="BJ5" i="45"/>
  <c r="BK5" i="45"/>
  <c r="BL5" i="45"/>
  <c r="BM5" i="45"/>
  <c r="BN5" i="45"/>
  <c r="BO5" i="45"/>
  <c r="BP5" i="45"/>
  <c r="BQ5" i="45"/>
  <c r="BR5" i="45"/>
  <c r="BS5" i="45"/>
  <c r="BT5" i="45"/>
  <c r="BU5" i="45"/>
  <c r="BV5" i="45"/>
  <c r="BW5" i="45"/>
  <c r="BX5" i="45"/>
  <c r="BY5" i="45"/>
  <c r="BC5" i="45"/>
  <c r="AU5" i="45"/>
  <c r="AV5" i="45"/>
  <c r="AW5" i="45"/>
  <c r="AX5" i="45"/>
  <c r="AY5" i="45"/>
  <c r="AZ5" i="45"/>
  <c r="BA5" i="45"/>
  <c r="BB5" i="45"/>
  <c r="AM6" i="45"/>
  <c r="AR10" i="45"/>
  <c r="AQ10" i="45" s="1"/>
  <c r="AN15" i="45"/>
  <c r="AN16" i="45"/>
  <c r="AN17" i="45"/>
  <c r="AN11" i="45"/>
  <c r="AN12" i="45"/>
  <c r="AN13" i="45"/>
  <c r="AN14" i="45"/>
  <c r="AR14" i="45"/>
  <c r="AR13" i="45"/>
  <c r="AE215" i="45" l="1"/>
  <c r="BV213" i="45"/>
  <c r="AE229" i="45"/>
  <c r="AJ199" i="45"/>
  <c r="CA197" i="45"/>
  <c r="AJ213" i="45"/>
  <c r="AK183" i="45"/>
  <c r="CB181" i="45"/>
  <c r="AK197" i="45"/>
  <c r="AL199" i="45"/>
  <c r="CC197" i="45"/>
  <c r="AL213" i="45"/>
  <c r="AI183" i="45"/>
  <c r="BZ181" i="45"/>
  <c r="AI197" i="45"/>
  <c r="AN18" i="45"/>
  <c r="AL215" i="45" l="1"/>
  <c r="CC213" i="45"/>
  <c r="AL229" i="45"/>
  <c r="AJ215" i="45"/>
  <c r="AJ229" i="45"/>
  <c r="CA213" i="45"/>
  <c r="AK199" i="45"/>
  <c r="CB197" i="45"/>
  <c r="AK213" i="45"/>
  <c r="AI199" i="45"/>
  <c r="BZ197" i="45"/>
  <c r="AI213" i="45"/>
  <c r="AE231" i="45"/>
  <c r="BV229" i="45"/>
  <c r="AE245" i="45"/>
  <c r="AK215" i="45" l="1"/>
  <c r="CB213" i="45"/>
  <c r="AK229" i="45"/>
  <c r="AI215" i="45"/>
  <c r="BZ213" i="45"/>
  <c r="AI229" i="45"/>
  <c r="AJ231" i="45"/>
  <c r="CA229" i="45"/>
  <c r="AJ245" i="45"/>
  <c r="AE247" i="45"/>
  <c r="BV245" i="45"/>
  <c r="AE261" i="45"/>
  <c r="AL231" i="45"/>
  <c r="CC229" i="45"/>
  <c r="AL245" i="45"/>
  <c r="AE263" i="45" l="1"/>
  <c r="BV261" i="45"/>
  <c r="AE277" i="45"/>
  <c r="AL247" i="45"/>
  <c r="CC245" i="45"/>
  <c r="AL261" i="45"/>
  <c r="AK231" i="45"/>
  <c r="CB229" i="45"/>
  <c r="AK245" i="45"/>
  <c r="AI231" i="45"/>
  <c r="BZ229" i="45"/>
  <c r="AI245" i="45"/>
  <c r="AJ247" i="45"/>
  <c r="AJ261" i="45"/>
  <c r="CA245" i="45"/>
  <c r="AI247" i="45" l="1"/>
  <c r="BZ245" i="45"/>
  <c r="AI261" i="45"/>
  <c r="AE279" i="45"/>
  <c r="BV277" i="45"/>
  <c r="AE293" i="45"/>
  <c r="AJ263" i="45"/>
  <c r="CA261" i="45"/>
  <c r="AJ277" i="45"/>
  <c r="AL263" i="45"/>
  <c r="CC261" i="45"/>
  <c r="AL277" i="45"/>
  <c r="AK247" i="45"/>
  <c r="CB245" i="45"/>
  <c r="AK261" i="45"/>
  <c r="AL279" i="45" l="1"/>
  <c r="CC277" i="45"/>
  <c r="AL293" i="45"/>
  <c r="AK263" i="45"/>
  <c r="CB261" i="45"/>
  <c r="AK277" i="45"/>
  <c r="AI263" i="45"/>
  <c r="BZ261" i="45"/>
  <c r="AI277" i="45"/>
  <c r="AE295" i="45"/>
  <c r="BV293" i="45"/>
  <c r="AE309" i="45"/>
  <c r="AJ279" i="45"/>
  <c r="CA277" i="45"/>
  <c r="AJ293" i="45"/>
  <c r="AI279" i="45" l="1"/>
  <c r="BZ277" i="45"/>
  <c r="AI293" i="45"/>
  <c r="AE311" i="45"/>
  <c r="BV309" i="45"/>
  <c r="AE325" i="45"/>
  <c r="AJ295" i="45"/>
  <c r="CA293" i="45"/>
  <c r="AJ309" i="45"/>
  <c r="AL295" i="45"/>
  <c r="CC293" i="45"/>
  <c r="AL309" i="45"/>
  <c r="AK279" i="45"/>
  <c r="CB277" i="45"/>
  <c r="AK293" i="45"/>
  <c r="AJ311" i="45" l="1"/>
  <c r="CA309" i="45"/>
  <c r="AJ325" i="45"/>
  <c r="AL311" i="45"/>
  <c r="CC309" i="45"/>
  <c r="AL325" i="45"/>
  <c r="AE327" i="45"/>
  <c r="BV325" i="45"/>
  <c r="AE341" i="45"/>
  <c r="AK295" i="45"/>
  <c r="CB293" i="45"/>
  <c r="AK309" i="45"/>
  <c r="AI295" i="45"/>
  <c r="AI309" i="45"/>
  <c r="BZ293" i="45"/>
  <c r="AK311" i="45" l="1"/>
  <c r="CB309" i="45"/>
  <c r="AK325" i="45"/>
  <c r="AJ327" i="45"/>
  <c r="CA325" i="45"/>
  <c r="AJ341" i="45"/>
  <c r="AI311" i="45"/>
  <c r="BZ309" i="45"/>
  <c r="AI325" i="45"/>
  <c r="AL327" i="45"/>
  <c r="CC325" i="45"/>
  <c r="AL341" i="45"/>
  <c r="AE343" i="45"/>
  <c r="BV341" i="45"/>
  <c r="AE357" i="45"/>
  <c r="AJ343" i="45" l="1"/>
  <c r="CA341" i="45"/>
  <c r="AJ357" i="45"/>
  <c r="AL343" i="45"/>
  <c r="CC341" i="45"/>
  <c r="AL357" i="45"/>
  <c r="AE359" i="45"/>
  <c r="BV357" i="45"/>
  <c r="AE373" i="45"/>
  <c r="AK327" i="45"/>
  <c r="CB325" i="45"/>
  <c r="AK341" i="45"/>
  <c r="AI327" i="45"/>
  <c r="BZ325" i="45"/>
  <c r="AI341" i="45"/>
  <c r="AL359" i="45" l="1"/>
  <c r="CC357" i="45"/>
  <c r="AL373" i="45"/>
  <c r="AK343" i="45"/>
  <c r="CB341" i="45"/>
  <c r="AK357" i="45"/>
  <c r="AE375" i="45"/>
  <c r="BV373" i="45"/>
  <c r="AE389" i="45"/>
  <c r="AI343" i="45"/>
  <c r="BZ341" i="45"/>
  <c r="AI357" i="45"/>
  <c r="AJ359" i="45"/>
  <c r="CA357" i="45"/>
  <c r="AJ373" i="45"/>
  <c r="AK359" i="45" l="1"/>
  <c r="CB357" i="45"/>
  <c r="AK373" i="45"/>
  <c r="AI359" i="45"/>
  <c r="BZ357" i="45"/>
  <c r="AI373" i="45"/>
  <c r="AE391" i="45"/>
  <c r="BV389" i="45"/>
  <c r="AE405" i="45"/>
  <c r="AJ375" i="45"/>
  <c r="CA373" i="45"/>
  <c r="AJ389" i="45"/>
  <c r="AL375" i="45"/>
  <c r="CC373" i="45"/>
  <c r="AL389" i="45"/>
  <c r="AI375" i="45" l="1"/>
  <c r="BZ373" i="45"/>
  <c r="AI389" i="45"/>
  <c r="AJ391" i="45"/>
  <c r="CA389" i="45"/>
  <c r="AJ405" i="45"/>
  <c r="AL391" i="45"/>
  <c r="CC389" i="45"/>
  <c r="AL405" i="45"/>
  <c r="AK375" i="45"/>
  <c r="CB373" i="45"/>
  <c r="AK389" i="45"/>
  <c r="AE407" i="45"/>
  <c r="BV405" i="45"/>
  <c r="AK391" i="45" l="1"/>
  <c r="CB389" i="45"/>
  <c r="AK405" i="45"/>
  <c r="AJ407" i="45"/>
  <c r="CA405" i="45"/>
  <c r="AL407" i="45"/>
  <c r="CC405" i="45"/>
  <c r="AI391" i="45"/>
  <c r="BZ389" i="45"/>
  <c r="AI405" i="45"/>
  <c r="AI407" i="45" l="1"/>
  <c r="BZ405" i="45"/>
  <c r="AK407" i="45"/>
  <c r="CB405" i="45"/>
  <c r="AR321" i="45" l="1"/>
  <c r="AQ321" i="45" s="1"/>
  <c r="AR320" i="45"/>
  <c r="AQ320" i="45" s="1"/>
  <c r="AR319" i="45"/>
  <c r="AQ319" i="45" s="1"/>
  <c r="AR318" i="45"/>
  <c r="AQ318" i="45" s="1"/>
  <c r="AR317" i="45"/>
  <c r="AQ317" i="45" s="1"/>
  <c r="AR316" i="45"/>
  <c r="AQ316" i="45" s="1"/>
  <c r="AR315" i="45"/>
  <c r="AQ315" i="45" s="1"/>
  <c r="AR314" i="45"/>
  <c r="AQ314" i="45" s="1"/>
  <c r="AM310" i="45"/>
  <c r="AR305" i="45"/>
  <c r="AQ305" i="45" s="1"/>
  <c r="AR304" i="45"/>
  <c r="AQ304" i="45" s="1"/>
  <c r="AR303" i="45"/>
  <c r="AQ303" i="45" s="1"/>
  <c r="AR302" i="45"/>
  <c r="AQ302" i="45" s="1"/>
  <c r="AR301" i="45"/>
  <c r="AQ301" i="45" s="1"/>
  <c r="AR300" i="45"/>
  <c r="AQ300" i="45" s="1"/>
  <c r="AR299" i="45"/>
  <c r="AQ299" i="45" s="1"/>
  <c r="AR298" i="45"/>
  <c r="AQ298" i="45" s="1"/>
  <c r="AM294" i="45"/>
  <c r="AR289" i="45"/>
  <c r="AQ289" i="45" s="1"/>
  <c r="AR288" i="45"/>
  <c r="AQ288" i="45" s="1"/>
  <c r="AR287" i="45"/>
  <c r="AQ287" i="45" s="1"/>
  <c r="AR286" i="45"/>
  <c r="AQ286" i="45" s="1"/>
  <c r="AR285" i="45"/>
  <c r="AQ285" i="45" s="1"/>
  <c r="AR284" i="45"/>
  <c r="AQ284" i="45" s="1"/>
  <c r="AR283" i="45"/>
  <c r="AQ283" i="45" s="1"/>
  <c r="AR282" i="45"/>
  <c r="AQ282" i="45" s="1"/>
  <c r="AM278" i="45"/>
  <c r="AR273" i="45"/>
  <c r="AQ273" i="45" s="1"/>
  <c r="AR272" i="45"/>
  <c r="AQ272" i="45" s="1"/>
  <c r="AR271" i="45"/>
  <c r="AQ271" i="45" s="1"/>
  <c r="AR270" i="45"/>
  <c r="AQ270" i="45" s="1"/>
  <c r="AR269" i="45"/>
  <c r="AQ269" i="45" s="1"/>
  <c r="AR268" i="45"/>
  <c r="AQ268" i="45" s="1"/>
  <c r="AR267" i="45"/>
  <c r="AQ267" i="45" s="1"/>
  <c r="AR266" i="45"/>
  <c r="AQ266" i="45" s="1"/>
  <c r="AM262" i="45"/>
  <c r="AR257" i="45"/>
  <c r="AQ257" i="45" s="1"/>
  <c r="AR256" i="45"/>
  <c r="AQ256" i="45" s="1"/>
  <c r="AR255" i="45"/>
  <c r="AQ255" i="45" s="1"/>
  <c r="AR254" i="45"/>
  <c r="AQ254" i="45" s="1"/>
  <c r="AR253" i="45"/>
  <c r="AQ253" i="45" s="1"/>
  <c r="AR252" i="45"/>
  <c r="AQ252" i="45" s="1"/>
  <c r="AR251" i="45"/>
  <c r="AQ251" i="45" s="1"/>
  <c r="AR250" i="45"/>
  <c r="AQ250" i="45" s="1"/>
  <c r="AM246" i="45"/>
  <c r="AR241" i="45"/>
  <c r="AQ241" i="45" s="1"/>
  <c r="AR240" i="45"/>
  <c r="AQ240" i="45" s="1"/>
  <c r="AR239" i="45"/>
  <c r="AQ239" i="45" s="1"/>
  <c r="AR238" i="45"/>
  <c r="AQ238" i="45" s="1"/>
  <c r="AR237" i="45"/>
  <c r="AQ237" i="45" s="1"/>
  <c r="AR236" i="45"/>
  <c r="AQ236" i="45" s="1"/>
  <c r="AR235" i="45"/>
  <c r="AQ235" i="45" s="1"/>
  <c r="AR234" i="45"/>
  <c r="AQ234" i="45" s="1"/>
  <c r="AM230" i="45"/>
  <c r="AR225" i="45"/>
  <c r="AQ225" i="45" s="1"/>
  <c r="AR224" i="45"/>
  <c r="AQ224" i="45" s="1"/>
  <c r="AR223" i="45"/>
  <c r="AQ223" i="45" s="1"/>
  <c r="AR222" i="45"/>
  <c r="AQ222" i="45" s="1"/>
  <c r="AR221" i="45"/>
  <c r="AQ221" i="45" s="1"/>
  <c r="AR220" i="45"/>
  <c r="AQ220" i="45" s="1"/>
  <c r="AR219" i="45"/>
  <c r="AQ219" i="45" s="1"/>
  <c r="AR218" i="45"/>
  <c r="AQ218" i="45" s="1"/>
  <c r="AM214" i="45"/>
  <c r="AR209" i="45"/>
  <c r="AQ209" i="45" s="1"/>
  <c r="AR208" i="45"/>
  <c r="AQ208" i="45" s="1"/>
  <c r="AR207" i="45"/>
  <c r="AQ207" i="45" s="1"/>
  <c r="AR206" i="45"/>
  <c r="AQ206" i="45" s="1"/>
  <c r="AR205" i="45"/>
  <c r="AQ205" i="45" s="1"/>
  <c r="AR204" i="45"/>
  <c r="AQ204" i="45" s="1"/>
  <c r="AR203" i="45"/>
  <c r="AQ203" i="45" s="1"/>
  <c r="AR202" i="45"/>
  <c r="AQ202" i="45" s="1"/>
  <c r="AM198" i="45"/>
  <c r="AR193" i="45"/>
  <c r="AQ193" i="45" s="1"/>
  <c r="AR192" i="45"/>
  <c r="AQ192" i="45" s="1"/>
  <c r="AR191" i="45"/>
  <c r="AQ191" i="45" s="1"/>
  <c r="AR190" i="45"/>
  <c r="AQ190" i="45" s="1"/>
  <c r="AR189" i="45"/>
  <c r="AQ189" i="45" s="1"/>
  <c r="AR188" i="45"/>
  <c r="AQ188" i="45" s="1"/>
  <c r="AR187" i="45"/>
  <c r="AQ187" i="45" s="1"/>
  <c r="AR186" i="45"/>
  <c r="AQ186" i="45" s="1"/>
  <c r="AM182" i="45"/>
  <c r="AR177" i="45"/>
  <c r="AQ177" i="45" s="1"/>
  <c r="AR176" i="45"/>
  <c r="AQ176" i="45" s="1"/>
  <c r="AR175" i="45"/>
  <c r="AQ175" i="45" s="1"/>
  <c r="AR174" i="45"/>
  <c r="AQ174" i="45" s="1"/>
  <c r="AR173" i="45"/>
  <c r="AQ173" i="45" s="1"/>
  <c r="AR172" i="45"/>
  <c r="AQ172" i="45" s="1"/>
  <c r="AR171" i="45"/>
  <c r="AQ171" i="45" s="1"/>
  <c r="AR170" i="45"/>
  <c r="AQ170" i="45" s="1"/>
  <c r="AM166" i="45"/>
  <c r="AR161" i="45"/>
  <c r="AQ161" i="45" s="1"/>
  <c r="AR160" i="45"/>
  <c r="AQ160" i="45" s="1"/>
  <c r="AR159" i="45"/>
  <c r="AQ159" i="45" s="1"/>
  <c r="AR158" i="45"/>
  <c r="AQ158" i="45" s="1"/>
  <c r="AR157" i="45"/>
  <c r="AQ157" i="45" s="1"/>
  <c r="AR156" i="45"/>
  <c r="AQ156" i="45" s="1"/>
  <c r="AR155" i="45"/>
  <c r="AQ155" i="45" s="1"/>
  <c r="AR154" i="45"/>
  <c r="AQ154" i="45" s="1"/>
  <c r="AM150" i="45"/>
  <c r="AR145" i="45"/>
  <c r="AQ145" i="45" s="1"/>
  <c r="AR144" i="45"/>
  <c r="AQ144" i="45" s="1"/>
  <c r="AR143" i="45"/>
  <c r="AQ143" i="45" s="1"/>
  <c r="AR142" i="45"/>
  <c r="AQ142" i="45" s="1"/>
  <c r="AR141" i="45"/>
  <c r="AQ141" i="45" s="1"/>
  <c r="AR140" i="45"/>
  <c r="AQ140" i="45" s="1"/>
  <c r="AR139" i="45"/>
  <c r="AQ139" i="45" s="1"/>
  <c r="AR138" i="45"/>
  <c r="AQ138" i="45" s="1"/>
  <c r="AM134" i="45"/>
  <c r="AR129" i="45"/>
  <c r="AQ129" i="45" s="1"/>
  <c r="AR128" i="45"/>
  <c r="AQ128" i="45" s="1"/>
  <c r="AR127" i="45"/>
  <c r="AQ127" i="45" s="1"/>
  <c r="AR126" i="45"/>
  <c r="AQ126" i="45" s="1"/>
  <c r="AR125" i="45"/>
  <c r="AQ125" i="45" s="1"/>
  <c r="AR124" i="45"/>
  <c r="AQ124" i="45" s="1"/>
  <c r="AR123" i="45"/>
  <c r="AQ123" i="45" s="1"/>
  <c r="AR122" i="45"/>
  <c r="AQ122" i="45" s="1"/>
  <c r="AM118" i="45"/>
  <c r="AR113" i="45"/>
  <c r="AQ113" i="45" s="1"/>
  <c r="AR112" i="45"/>
  <c r="AQ112" i="45" s="1"/>
  <c r="AR111" i="45"/>
  <c r="AQ111" i="45" s="1"/>
  <c r="AR110" i="45"/>
  <c r="AQ110" i="45" s="1"/>
  <c r="AR109" i="45"/>
  <c r="AQ109" i="45" s="1"/>
  <c r="AR108" i="45"/>
  <c r="AQ108" i="45" s="1"/>
  <c r="AR107" i="45"/>
  <c r="AQ107" i="45" s="1"/>
  <c r="AR106" i="45"/>
  <c r="AQ106" i="45" s="1"/>
  <c r="AM102" i="45"/>
  <c r="AR97" i="45"/>
  <c r="AQ97" i="45" s="1"/>
  <c r="AR96" i="45"/>
  <c r="AQ96" i="45" s="1"/>
  <c r="AR95" i="45"/>
  <c r="AQ95" i="45" s="1"/>
  <c r="AR94" i="45"/>
  <c r="AQ94" i="45" s="1"/>
  <c r="AR93" i="45"/>
  <c r="AQ93" i="45" s="1"/>
  <c r="AR92" i="45"/>
  <c r="AQ92" i="45" s="1"/>
  <c r="AR91" i="45"/>
  <c r="AQ91" i="45" s="1"/>
  <c r="AR90" i="45"/>
  <c r="AQ90" i="45" s="1"/>
  <c r="AM86" i="45"/>
  <c r="AR81" i="45"/>
  <c r="AQ81" i="45" s="1"/>
  <c r="AR80" i="45"/>
  <c r="AQ80" i="45" s="1"/>
  <c r="AR79" i="45"/>
  <c r="AQ79" i="45" s="1"/>
  <c r="AR78" i="45"/>
  <c r="AQ78" i="45" s="1"/>
  <c r="AR77" i="45"/>
  <c r="AQ77" i="45" s="1"/>
  <c r="AR76" i="45"/>
  <c r="AQ76" i="45" s="1"/>
  <c r="AR75" i="45"/>
  <c r="AQ75" i="45" s="1"/>
  <c r="AR74" i="45"/>
  <c r="AQ74" i="45" s="1"/>
  <c r="AM70" i="45"/>
  <c r="AR65" i="45"/>
  <c r="AQ65" i="45" s="1"/>
  <c r="AR64" i="45"/>
  <c r="AQ64" i="45" s="1"/>
  <c r="AR63" i="45"/>
  <c r="AQ63" i="45" s="1"/>
  <c r="AR62" i="45"/>
  <c r="AQ62" i="45" s="1"/>
  <c r="AR61" i="45"/>
  <c r="AQ61" i="45" s="1"/>
  <c r="AR60" i="45"/>
  <c r="AQ60" i="45" s="1"/>
  <c r="AR59" i="45"/>
  <c r="AQ59" i="45" s="1"/>
  <c r="AR58" i="45"/>
  <c r="AQ58" i="45" s="1"/>
  <c r="AM54" i="45"/>
  <c r="AR49" i="45"/>
  <c r="AQ49" i="45" s="1"/>
  <c r="AR48" i="45"/>
  <c r="AQ48" i="45" s="1"/>
  <c r="AR47" i="45"/>
  <c r="AQ47" i="45" s="1"/>
  <c r="AR46" i="45"/>
  <c r="AQ46" i="45" s="1"/>
  <c r="AR45" i="45"/>
  <c r="AQ45" i="45" s="1"/>
  <c r="AR44" i="45"/>
  <c r="AQ44" i="45" s="1"/>
  <c r="AR43" i="45"/>
  <c r="AQ43" i="45" s="1"/>
  <c r="AR42" i="45"/>
  <c r="AQ42" i="45" s="1"/>
  <c r="AM38" i="45"/>
  <c r="AR33" i="45"/>
  <c r="AQ33" i="45" s="1"/>
  <c r="AR32" i="45"/>
  <c r="AQ32" i="45" s="1"/>
  <c r="AR31" i="45"/>
  <c r="AQ31" i="45" s="1"/>
  <c r="AR30" i="45"/>
  <c r="AQ30" i="45" s="1"/>
  <c r="AR29" i="45"/>
  <c r="AQ29" i="45" s="1"/>
  <c r="AR28" i="45"/>
  <c r="AQ28" i="45" s="1"/>
  <c r="AR27" i="45"/>
  <c r="AQ27" i="45" s="1"/>
  <c r="AR26" i="45"/>
  <c r="AQ26" i="45" s="1"/>
  <c r="AM22" i="45"/>
  <c r="AH21" i="45"/>
  <c r="AG21" i="45"/>
  <c r="AF21" i="45"/>
  <c r="AE23" i="45"/>
  <c r="AD21" i="45"/>
  <c r="AC21" i="45"/>
  <c r="AB21" i="45"/>
  <c r="AA21" i="45"/>
  <c r="Z21" i="45"/>
  <c r="Y21" i="45"/>
  <c r="X21" i="45"/>
  <c r="W21" i="45"/>
  <c r="V21" i="45"/>
  <c r="U21" i="45"/>
  <c r="T21" i="45"/>
  <c r="S21" i="45"/>
  <c r="R21" i="45"/>
  <c r="Q21" i="45"/>
  <c r="P21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AT17" i="45"/>
  <c r="AR17" i="45"/>
  <c r="AQ17" i="45"/>
  <c r="AT16" i="45"/>
  <c r="AR16" i="45"/>
  <c r="AQ16" i="45"/>
  <c r="AT15" i="45"/>
  <c r="AR15" i="45"/>
  <c r="AQ15" i="45" s="1"/>
  <c r="AT14" i="45"/>
  <c r="AQ14" i="45"/>
  <c r="AT13" i="45"/>
  <c r="AQ13" i="45"/>
  <c r="AR12" i="45"/>
  <c r="AQ12" i="45" s="1"/>
  <c r="AT11" i="45"/>
  <c r="AR11" i="45"/>
  <c r="AQ11" i="45" s="1"/>
  <c r="CC10" i="45"/>
  <c r="AI7" i="45"/>
  <c r="BZ15" i="45" s="1"/>
  <c r="AH7" i="45"/>
  <c r="BY15" i="45" s="1"/>
  <c r="AG7" i="45"/>
  <c r="BX15" i="45" s="1"/>
  <c r="AF7" i="45"/>
  <c r="BW15" i="45" s="1"/>
  <c r="AE7" i="45"/>
  <c r="AD7" i="45"/>
  <c r="AC7" i="45"/>
  <c r="AB7" i="45"/>
  <c r="AA7" i="45"/>
  <c r="Z7" i="45"/>
  <c r="Y7" i="45"/>
  <c r="X7" i="45"/>
  <c r="W7" i="45"/>
  <c r="V7" i="45"/>
  <c r="U7" i="45"/>
  <c r="T7" i="45"/>
  <c r="S7" i="45"/>
  <c r="R7" i="45"/>
  <c r="Q7" i="45"/>
  <c r="P7" i="45"/>
  <c r="O7" i="45"/>
  <c r="N7" i="45"/>
  <c r="M7" i="45"/>
  <c r="L7" i="45"/>
  <c r="K7" i="45"/>
  <c r="J7" i="45"/>
  <c r="I7" i="45"/>
  <c r="H7" i="45"/>
  <c r="AY10" i="45" s="1"/>
  <c r="G7" i="45"/>
  <c r="F7" i="45"/>
  <c r="E7" i="45"/>
  <c r="D7" i="45"/>
  <c r="AT12" i="45"/>
  <c r="AT5" i="45"/>
  <c r="AP3" i="45"/>
  <c r="AO3" i="45"/>
  <c r="AN3" i="45"/>
  <c r="AM3" i="45"/>
  <c r="AL3" i="45"/>
  <c r="AK3" i="45"/>
  <c r="L3" i="45"/>
  <c r="K3" i="45"/>
  <c r="J3" i="45"/>
  <c r="I3" i="45"/>
  <c r="H3" i="45"/>
  <c r="G3" i="45"/>
  <c r="F3" i="45"/>
  <c r="E3" i="45"/>
  <c r="D3" i="45"/>
  <c r="AU21" i="45" l="1"/>
  <c r="D37" i="45"/>
  <c r="AY21" i="45"/>
  <c r="H37" i="45"/>
  <c r="BC21" i="45"/>
  <c r="L37" i="45"/>
  <c r="P23" i="45"/>
  <c r="BG21" i="45"/>
  <c r="P37" i="45"/>
  <c r="T23" i="45"/>
  <c r="BK21" i="45"/>
  <c r="T37" i="45"/>
  <c r="X23" i="45"/>
  <c r="BO21" i="45"/>
  <c r="X37" i="45"/>
  <c r="AB23" i="45"/>
  <c r="BS21" i="45"/>
  <c r="AB37" i="45"/>
  <c r="AF23" i="45"/>
  <c r="BW21" i="45"/>
  <c r="AF37" i="45"/>
  <c r="AV21" i="45"/>
  <c r="E37" i="45"/>
  <c r="AZ21" i="45"/>
  <c r="I37" i="45"/>
  <c r="M23" i="45"/>
  <c r="BD21" i="45"/>
  <c r="M37" i="45"/>
  <c r="Q23" i="45"/>
  <c r="BH21" i="45"/>
  <c r="Q37" i="45"/>
  <c r="U23" i="45"/>
  <c r="BL21" i="45"/>
  <c r="U37" i="45"/>
  <c r="Y23" i="45"/>
  <c r="BP21" i="45"/>
  <c r="Y37" i="45"/>
  <c r="AC23" i="45"/>
  <c r="BT21" i="45"/>
  <c r="AC37" i="45"/>
  <c r="AG23" i="45"/>
  <c r="BX21" i="45"/>
  <c r="AG37" i="45"/>
  <c r="AW21" i="45"/>
  <c r="F37" i="45"/>
  <c r="BA21" i="45"/>
  <c r="J37" i="45"/>
  <c r="N23" i="45"/>
  <c r="BE21" i="45"/>
  <c r="N37" i="45"/>
  <c r="R23" i="45"/>
  <c r="BI21" i="45"/>
  <c r="R37" i="45"/>
  <c r="V23" i="45"/>
  <c r="BM21" i="45"/>
  <c r="V37" i="45"/>
  <c r="Z23" i="45"/>
  <c r="BQ21" i="45"/>
  <c r="Z37" i="45"/>
  <c r="AD23" i="45"/>
  <c r="BU21" i="45"/>
  <c r="AD37" i="45"/>
  <c r="AH23" i="45"/>
  <c r="BY21" i="45"/>
  <c r="AH37" i="45"/>
  <c r="AX21" i="45"/>
  <c r="G37" i="45"/>
  <c r="BB21" i="45"/>
  <c r="K37" i="45"/>
  <c r="O23" i="45"/>
  <c r="O37" i="45"/>
  <c r="BF21" i="45"/>
  <c r="S23" i="45"/>
  <c r="BJ21" i="45"/>
  <c r="S37" i="45"/>
  <c r="W23" i="45"/>
  <c r="BN21" i="45"/>
  <c r="W37" i="45"/>
  <c r="AA23" i="45"/>
  <c r="BR21" i="45"/>
  <c r="AA37" i="45"/>
  <c r="AP5" i="45"/>
  <c r="AP6" i="45" s="1"/>
  <c r="AO6" i="45" s="1"/>
  <c r="C37" i="45"/>
  <c r="C53" i="45" s="1"/>
  <c r="C23" i="45"/>
  <c r="D23" i="45"/>
  <c r="H23" i="45"/>
  <c r="L23" i="45"/>
  <c r="AL23" i="45"/>
  <c r="K23" i="45"/>
  <c r="AK23" i="45"/>
  <c r="E23" i="45"/>
  <c r="I23" i="45"/>
  <c r="F23" i="45"/>
  <c r="J23" i="45"/>
  <c r="G23" i="45"/>
  <c r="AU12" i="45"/>
  <c r="AU10" i="45"/>
  <c r="AU11" i="45"/>
  <c r="AU13" i="45"/>
  <c r="AV11" i="45"/>
  <c r="AV10" i="45"/>
  <c r="AX14" i="45"/>
  <c r="AX10" i="45"/>
  <c r="AX11" i="45"/>
  <c r="AW10" i="45"/>
  <c r="AW11" i="45"/>
  <c r="AW13" i="45"/>
  <c r="AN114" i="45"/>
  <c r="AN34" i="45"/>
  <c r="AP277" i="45"/>
  <c r="AP278" i="45" s="1"/>
  <c r="AO278" i="45" s="1"/>
  <c r="AP229" i="45"/>
  <c r="AP230" i="45" s="1"/>
  <c r="AO230" i="45" s="1"/>
  <c r="AN178" i="45"/>
  <c r="AN290" i="45"/>
  <c r="AP85" i="45"/>
  <c r="AP86" i="45" s="1"/>
  <c r="AO86" i="45" s="1"/>
  <c r="AP53" i="45"/>
  <c r="AP54" i="45" s="1"/>
  <c r="AO54" i="45" s="1"/>
  <c r="AN50" i="45"/>
  <c r="AP101" i="45"/>
  <c r="AP102" i="45" s="1"/>
  <c r="AO102" i="45" s="1"/>
  <c r="AN130" i="45"/>
  <c r="AP117" i="45"/>
  <c r="AP118" i="45" s="1"/>
  <c r="AO118" i="45" s="1"/>
  <c r="AN194" i="45"/>
  <c r="AN242" i="45"/>
  <c r="AN306" i="45"/>
  <c r="AP293" i="45"/>
  <c r="AP294" i="45" s="1"/>
  <c r="AO294" i="45" s="1"/>
  <c r="AP165" i="45"/>
  <c r="AP166" i="45" s="1"/>
  <c r="AO166" i="45" s="1"/>
  <c r="AN146" i="45"/>
  <c r="AN322" i="45"/>
  <c r="AM7" i="45"/>
  <c r="AN162" i="45"/>
  <c r="AP197" i="45"/>
  <c r="AP198" i="45" s="1"/>
  <c r="AO198" i="45" s="1"/>
  <c r="AN226" i="45"/>
  <c r="AP261" i="45"/>
  <c r="AP262" i="45" s="1"/>
  <c r="AO262" i="45" s="1"/>
  <c r="AP37" i="45"/>
  <c r="AP38" i="45" s="1"/>
  <c r="AO38" i="45" s="1"/>
  <c r="AP21" i="45"/>
  <c r="AP22" i="45" s="1"/>
  <c r="AO22" i="45" s="1"/>
  <c r="AN66" i="45"/>
  <c r="AN82" i="45"/>
  <c r="AP69" i="45"/>
  <c r="AP70" i="45" s="1"/>
  <c r="AO70" i="45" s="1"/>
  <c r="AN98" i="45"/>
  <c r="AP133" i="45"/>
  <c r="AP134" i="45" s="1"/>
  <c r="AO134" i="45" s="1"/>
  <c r="AP149" i="45"/>
  <c r="AP150" i="45" s="1"/>
  <c r="AO150" i="45" s="1"/>
  <c r="AP181" i="45"/>
  <c r="AP182" i="45" s="1"/>
  <c r="AO182" i="45" s="1"/>
  <c r="AN210" i="45"/>
  <c r="AP309" i="45"/>
  <c r="AP310" i="45" s="1"/>
  <c r="AO310" i="45" s="1"/>
  <c r="AP213" i="45"/>
  <c r="AP214" i="45" s="1"/>
  <c r="AO214" i="45" s="1"/>
  <c r="AN258" i="45"/>
  <c r="AP245" i="45"/>
  <c r="AP246" i="45" s="1"/>
  <c r="AO246" i="45" s="1"/>
  <c r="AN274" i="45"/>
  <c r="BM37" i="45" l="1"/>
  <c r="V53" i="45"/>
  <c r="V39" i="45"/>
  <c r="BT37" i="45"/>
  <c r="AC53" i="45"/>
  <c r="AC39" i="45"/>
  <c r="BD37" i="45"/>
  <c r="M53" i="45"/>
  <c r="M39" i="45"/>
  <c r="BK37" i="45"/>
  <c r="T53" i="45"/>
  <c r="T39" i="45"/>
  <c r="AY37" i="45"/>
  <c r="H53" i="45"/>
  <c r="H39" i="45"/>
  <c r="C39" i="45"/>
  <c r="AT37" i="45"/>
  <c r="S39" i="45"/>
  <c r="BJ37" i="45"/>
  <c r="S53" i="45"/>
  <c r="O39" i="45"/>
  <c r="BF37" i="45"/>
  <c r="O53" i="45"/>
  <c r="G39" i="45"/>
  <c r="AX37" i="45"/>
  <c r="G53" i="45"/>
  <c r="BQ37" i="45"/>
  <c r="Z53" i="45"/>
  <c r="Z39" i="45"/>
  <c r="BA37" i="45"/>
  <c r="J53" i="45"/>
  <c r="J39" i="45"/>
  <c r="BX37" i="45"/>
  <c r="AG39" i="45"/>
  <c r="AG53" i="45"/>
  <c r="BH37" i="45"/>
  <c r="Q39" i="45"/>
  <c r="Q53" i="45"/>
  <c r="AV37" i="45"/>
  <c r="E53" i="45"/>
  <c r="E39" i="45"/>
  <c r="BO37" i="45"/>
  <c r="X53" i="45"/>
  <c r="X39" i="45"/>
  <c r="W39" i="45"/>
  <c r="BN37" i="45"/>
  <c r="W53" i="45"/>
  <c r="BU37" i="45"/>
  <c r="AD53" i="45"/>
  <c r="AD39" i="45"/>
  <c r="BE37" i="45"/>
  <c r="N53" i="45"/>
  <c r="N39" i="45"/>
  <c r="BL37" i="45"/>
  <c r="U53" i="45"/>
  <c r="U39" i="45"/>
  <c r="BS37" i="45"/>
  <c r="AB39" i="45"/>
  <c r="AB53" i="45"/>
  <c r="BC37" i="45"/>
  <c r="L39" i="45"/>
  <c r="L53" i="45"/>
  <c r="AU37" i="45"/>
  <c r="D53" i="45"/>
  <c r="D39" i="45"/>
  <c r="C55" i="45"/>
  <c r="AT53" i="45"/>
  <c r="C69" i="45"/>
  <c r="AA39" i="45"/>
  <c r="BR37" i="45"/>
  <c r="AA53" i="45"/>
  <c r="K39" i="45"/>
  <c r="BB37" i="45"/>
  <c r="K53" i="45"/>
  <c r="BY37" i="45"/>
  <c r="AH53" i="45"/>
  <c r="AH39" i="45"/>
  <c r="BI37" i="45"/>
  <c r="R53" i="45"/>
  <c r="R39" i="45"/>
  <c r="AW37" i="45"/>
  <c r="F53" i="45"/>
  <c r="F39" i="45"/>
  <c r="BP37" i="45"/>
  <c r="Y39" i="45"/>
  <c r="Y53" i="45"/>
  <c r="AZ37" i="45"/>
  <c r="I39" i="45"/>
  <c r="I53" i="45"/>
  <c r="BW37" i="45"/>
  <c r="AF53" i="45"/>
  <c r="AF39" i="45"/>
  <c r="BG37" i="45"/>
  <c r="P53" i="45"/>
  <c r="P39" i="45"/>
  <c r="AM23" i="45"/>
  <c r="AM39" i="45" l="1"/>
  <c r="BY53" i="45"/>
  <c r="AH55" i="45"/>
  <c r="AH69" i="45"/>
  <c r="C71" i="45"/>
  <c r="C85" i="45"/>
  <c r="AT69" i="45"/>
  <c r="AU53" i="45"/>
  <c r="D55" i="45"/>
  <c r="D69" i="45"/>
  <c r="BE53" i="45"/>
  <c r="N69" i="45"/>
  <c r="N55" i="45"/>
  <c r="AV53" i="45"/>
  <c r="E69" i="45"/>
  <c r="E55" i="45"/>
  <c r="BQ53" i="45"/>
  <c r="Z55" i="45"/>
  <c r="Z69" i="45"/>
  <c r="S55" i="45"/>
  <c r="BJ53" i="45"/>
  <c r="S69" i="45"/>
  <c r="BD53" i="45"/>
  <c r="M55" i="45"/>
  <c r="M69" i="45"/>
  <c r="BW53" i="45"/>
  <c r="AF55" i="45"/>
  <c r="AF69" i="45"/>
  <c r="BI53" i="45"/>
  <c r="R55" i="45"/>
  <c r="R69" i="45"/>
  <c r="AA55" i="45"/>
  <c r="AA69" i="45"/>
  <c r="BR53" i="45"/>
  <c r="BS53" i="45"/>
  <c r="AB69" i="45"/>
  <c r="AB55" i="45"/>
  <c r="BL53" i="45"/>
  <c r="U69" i="45"/>
  <c r="U55" i="45"/>
  <c r="W55" i="45"/>
  <c r="W69" i="45"/>
  <c r="BN53" i="45"/>
  <c r="BO53" i="45"/>
  <c r="X55" i="45"/>
  <c r="X69" i="45"/>
  <c r="BX53" i="45"/>
  <c r="AG69" i="45"/>
  <c r="AG55" i="45"/>
  <c r="BA53" i="45"/>
  <c r="J55" i="45"/>
  <c r="J69" i="45"/>
  <c r="O55" i="45"/>
  <c r="O69" i="45"/>
  <c r="BF53" i="45"/>
  <c r="BK53" i="45"/>
  <c r="T55" i="45"/>
  <c r="T69" i="45"/>
  <c r="BG53" i="45"/>
  <c r="P55" i="45"/>
  <c r="P69" i="45"/>
  <c r="BP53" i="45"/>
  <c r="Y69" i="45"/>
  <c r="Y55" i="45"/>
  <c r="AW53" i="45"/>
  <c r="F69" i="45"/>
  <c r="F55" i="45"/>
  <c r="K55" i="45"/>
  <c r="K69" i="45"/>
  <c r="BB53" i="45"/>
  <c r="BC53" i="45"/>
  <c r="L55" i="45"/>
  <c r="L69" i="45"/>
  <c r="BH53" i="45"/>
  <c r="Q69" i="45"/>
  <c r="Q55" i="45"/>
  <c r="G55" i="45"/>
  <c r="G69" i="45"/>
  <c r="AX53" i="45"/>
  <c r="AY53" i="45"/>
  <c r="H55" i="45"/>
  <c r="H69" i="45"/>
  <c r="BM53" i="45"/>
  <c r="V55" i="45"/>
  <c r="V69" i="45"/>
  <c r="AZ53" i="45"/>
  <c r="I69" i="45"/>
  <c r="I55" i="45"/>
  <c r="BU53" i="45"/>
  <c r="AD69" i="45"/>
  <c r="AD55" i="45"/>
  <c r="BT53" i="45"/>
  <c r="AC55" i="45"/>
  <c r="AC69" i="45"/>
  <c r="AM55" i="45" l="1"/>
  <c r="V71" i="45"/>
  <c r="BM69" i="45"/>
  <c r="V85" i="45"/>
  <c r="L71" i="45"/>
  <c r="BC69" i="45"/>
  <c r="L85" i="45"/>
  <c r="K71" i="45"/>
  <c r="K85" i="45"/>
  <c r="BB69" i="45"/>
  <c r="P71" i="45"/>
  <c r="BG69" i="45"/>
  <c r="P85" i="45"/>
  <c r="AA71" i="45"/>
  <c r="BR69" i="45"/>
  <c r="AA85" i="45"/>
  <c r="M71" i="45"/>
  <c r="BD69" i="45"/>
  <c r="M85" i="45"/>
  <c r="AD71" i="45"/>
  <c r="BU69" i="45"/>
  <c r="AD85" i="45"/>
  <c r="J71" i="45"/>
  <c r="BA69" i="45"/>
  <c r="J85" i="45"/>
  <c r="AG71" i="45"/>
  <c r="BX69" i="45"/>
  <c r="AG85" i="45"/>
  <c r="AB71" i="45"/>
  <c r="BS69" i="45"/>
  <c r="AB85" i="45"/>
  <c r="AF71" i="45"/>
  <c r="BW69" i="45"/>
  <c r="AF85" i="45"/>
  <c r="N71" i="45"/>
  <c r="BE69" i="45"/>
  <c r="N85" i="45"/>
  <c r="AH71" i="45"/>
  <c r="BY69" i="45"/>
  <c r="AH85" i="45"/>
  <c r="I71" i="45"/>
  <c r="AZ69" i="45"/>
  <c r="I85" i="45"/>
  <c r="Q71" i="45"/>
  <c r="BH69" i="45"/>
  <c r="Q85" i="45"/>
  <c r="Y71" i="45"/>
  <c r="BP69" i="45"/>
  <c r="Y85" i="45"/>
  <c r="U71" i="45"/>
  <c r="BL69" i="45"/>
  <c r="U85" i="45"/>
  <c r="R71" i="45"/>
  <c r="BI69" i="45"/>
  <c r="R85" i="45"/>
  <c r="Z71" i="45"/>
  <c r="BQ69" i="45"/>
  <c r="Z85" i="45"/>
  <c r="E71" i="45"/>
  <c r="AV69" i="45"/>
  <c r="E85" i="45"/>
  <c r="AC71" i="45"/>
  <c r="BT69" i="45"/>
  <c r="AC85" i="45"/>
  <c r="H71" i="45"/>
  <c r="AY69" i="45"/>
  <c r="H85" i="45"/>
  <c r="G71" i="45"/>
  <c r="AX69" i="45"/>
  <c r="G85" i="45"/>
  <c r="F71" i="45"/>
  <c r="AW69" i="45"/>
  <c r="F85" i="45"/>
  <c r="T71" i="45"/>
  <c r="BK69" i="45"/>
  <c r="T85" i="45"/>
  <c r="O71" i="45"/>
  <c r="BF69" i="45"/>
  <c r="O85" i="45"/>
  <c r="X71" i="45"/>
  <c r="BO69" i="45"/>
  <c r="X85" i="45"/>
  <c r="W71" i="45"/>
  <c r="BN69" i="45"/>
  <c r="W85" i="45"/>
  <c r="S71" i="45"/>
  <c r="S85" i="45"/>
  <c r="BJ69" i="45"/>
  <c r="D71" i="45"/>
  <c r="AU69" i="45"/>
  <c r="D85" i="45"/>
  <c r="C87" i="45"/>
  <c r="AT85" i="45"/>
  <c r="C101" i="45"/>
  <c r="B8" i="43"/>
  <c r="C8" i="43" s="1"/>
  <c r="D8" i="43" s="1"/>
  <c r="D5" i="43"/>
  <c r="C5" i="43"/>
  <c r="B2" i="43"/>
  <c r="C2" i="43" s="1"/>
  <c r="D2" i="43" s="1"/>
  <c r="AM71" i="45" l="1"/>
  <c r="S87" i="45"/>
  <c r="BJ85" i="45"/>
  <c r="S101" i="45"/>
  <c r="O87" i="45"/>
  <c r="BF85" i="45"/>
  <c r="O101" i="45"/>
  <c r="R87" i="45"/>
  <c r="BI85" i="45"/>
  <c r="R101" i="45"/>
  <c r="I87" i="45"/>
  <c r="AZ85" i="45"/>
  <c r="I101" i="45"/>
  <c r="L87" i="45"/>
  <c r="BC85" i="45"/>
  <c r="L101" i="45"/>
  <c r="C103" i="45"/>
  <c r="AT101" i="45"/>
  <c r="C117" i="45"/>
  <c r="G87" i="45"/>
  <c r="AX85" i="45"/>
  <c r="G101" i="45"/>
  <c r="Q87" i="45"/>
  <c r="BH85" i="45"/>
  <c r="Q101" i="45"/>
  <c r="AD87" i="45"/>
  <c r="BU85" i="45"/>
  <c r="AD101" i="45"/>
  <c r="W87" i="45"/>
  <c r="BN85" i="45"/>
  <c r="W101" i="45"/>
  <c r="F87" i="45"/>
  <c r="AW85" i="45"/>
  <c r="F101" i="45"/>
  <c r="E87" i="45"/>
  <c r="AV85" i="45"/>
  <c r="E101" i="45"/>
  <c r="Y87" i="45"/>
  <c r="BP85" i="45"/>
  <c r="Y101" i="45"/>
  <c r="N87" i="45"/>
  <c r="BE85" i="45"/>
  <c r="N101" i="45"/>
  <c r="J87" i="45"/>
  <c r="BA85" i="45"/>
  <c r="J101" i="45"/>
  <c r="P87" i="45"/>
  <c r="BG85" i="45"/>
  <c r="P101" i="45"/>
  <c r="K87" i="45"/>
  <c r="BB85" i="45"/>
  <c r="K101" i="45"/>
  <c r="D87" i="45"/>
  <c r="AU85" i="45"/>
  <c r="D101" i="45"/>
  <c r="H87" i="45"/>
  <c r="AY85" i="45"/>
  <c r="H101" i="45"/>
  <c r="AB87" i="45"/>
  <c r="BS85" i="45"/>
  <c r="AB101" i="45"/>
  <c r="M87" i="45"/>
  <c r="BD85" i="45"/>
  <c r="M101" i="45"/>
  <c r="X87" i="45"/>
  <c r="BO85" i="45"/>
  <c r="X101" i="45"/>
  <c r="Z87" i="45"/>
  <c r="BQ85" i="45"/>
  <c r="Z101" i="45"/>
  <c r="AF87" i="45"/>
  <c r="BW85" i="45"/>
  <c r="AF101" i="45"/>
  <c r="T87" i="45"/>
  <c r="BK85" i="45"/>
  <c r="T101" i="45"/>
  <c r="AC87" i="45"/>
  <c r="BT85" i="45"/>
  <c r="AC101" i="45"/>
  <c r="U87" i="45"/>
  <c r="BL85" i="45"/>
  <c r="U101" i="45"/>
  <c r="AH87" i="45"/>
  <c r="BY85" i="45"/>
  <c r="AH101" i="45"/>
  <c r="AG87" i="45"/>
  <c r="BX85" i="45"/>
  <c r="AG101" i="45"/>
  <c r="AA87" i="45"/>
  <c r="BR85" i="45"/>
  <c r="AA101" i="45"/>
  <c r="V87" i="45"/>
  <c r="BM85" i="45"/>
  <c r="V101" i="45"/>
  <c r="AM87" i="45" l="1"/>
  <c r="AA103" i="45"/>
  <c r="BR101" i="45"/>
  <c r="AA117" i="45"/>
  <c r="X103" i="45"/>
  <c r="BO101" i="45"/>
  <c r="X117" i="45"/>
  <c r="N103" i="45"/>
  <c r="BE101" i="45"/>
  <c r="N117" i="45"/>
  <c r="C119" i="45"/>
  <c r="AT117" i="45"/>
  <c r="C133" i="45"/>
  <c r="Z103" i="45"/>
  <c r="BQ101" i="45"/>
  <c r="Z117" i="45"/>
  <c r="F103" i="45"/>
  <c r="AW101" i="45"/>
  <c r="F117" i="45"/>
  <c r="R103" i="45"/>
  <c r="BI101" i="45"/>
  <c r="R117" i="45"/>
  <c r="AH103" i="45"/>
  <c r="BY101" i="45"/>
  <c r="AH117" i="45"/>
  <c r="AF103" i="45"/>
  <c r="BW101" i="45"/>
  <c r="AF117" i="45"/>
  <c r="AB103" i="45"/>
  <c r="BS101" i="45"/>
  <c r="AB117" i="45"/>
  <c r="P103" i="45"/>
  <c r="BG101" i="45"/>
  <c r="P117" i="45"/>
  <c r="E103" i="45"/>
  <c r="AV101" i="45"/>
  <c r="E117" i="45"/>
  <c r="Q103" i="45"/>
  <c r="BH101" i="45"/>
  <c r="Q117" i="45"/>
  <c r="I103" i="45"/>
  <c r="AZ101" i="45"/>
  <c r="I117" i="45"/>
  <c r="AC103" i="45"/>
  <c r="BT101" i="45"/>
  <c r="AC117" i="45"/>
  <c r="D103" i="45"/>
  <c r="AU101" i="45"/>
  <c r="D117" i="45"/>
  <c r="W103" i="45"/>
  <c r="BN101" i="45"/>
  <c r="W117" i="45"/>
  <c r="O103" i="45"/>
  <c r="BF101" i="45"/>
  <c r="O117" i="45"/>
  <c r="V103" i="45"/>
  <c r="BM101" i="45"/>
  <c r="V117" i="45"/>
  <c r="U103" i="45"/>
  <c r="BL101" i="45"/>
  <c r="U117" i="45"/>
  <c r="H103" i="45"/>
  <c r="AY101" i="45"/>
  <c r="H117" i="45"/>
  <c r="J103" i="45"/>
  <c r="BA101" i="45"/>
  <c r="J117" i="45"/>
  <c r="G103" i="45"/>
  <c r="AX101" i="45"/>
  <c r="G117" i="45"/>
  <c r="AG103" i="45"/>
  <c r="BX101" i="45"/>
  <c r="AG117" i="45"/>
  <c r="T103" i="45"/>
  <c r="BK101" i="45"/>
  <c r="T117" i="45"/>
  <c r="M103" i="45"/>
  <c r="BD101" i="45"/>
  <c r="M117" i="45"/>
  <c r="K103" i="45"/>
  <c r="BB101" i="45"/>
  <c r="K117" i="45"/>
  <c r="Y103" i="45"/>
  <c r="BP101" i="45"/>
  <c r="Y117" i="45"/>
  <c r="AD103" i="45"/>
  <c r="BU101" i="45"/>
  <c r="AD117" i="45"/>
  <c r="L103" i="45"/>
  <c r="BC101" i="45"/>
  <c r="L117" i="45"/>
  <c r="S103" i="45"/>
  <c r="BJ101" i="45"/>
  <c r="S117" i="45"/>
  <c r="AM103" i="45" l="1"/>
  <c r="L119" i="45"/>
  <c r="BC117" i="45"/>
  <c r="L133" i="45"/>
  <c r="J119" i="45"/>
  <c r="BA117" i="45"/>
  <c r="J133" i="45"/>
  <c r="AB119" i="45"/>
  <c r="BS117" i="45"/>
  <c r="AB133" i="45"/>
  <c r="X119" i="45"/>
  <c r="BO117" i="45"/>
  <c r="X133" i="45"/>
  <c r="S119" i="45"/>
  <c r="BJ117" i="45"/>
  <c r="S133" i="45"/>
  <c r="G119" i="45"/>
  <c r="AX117" i="45"/>
  <c r="G133" i="45"/>
  <c r="AC119" i="45"/>
  <c r="BT117" i="45"/>
  <c r="AC133" i="45"/>
  <c r="R119" i="45"/>
  <c r="BI117" i="45"/>
  <c r="R133" i="45"/>
  <c r="Y119" i="45"/>
  <c r="BP117" i="45"/>
  <c r="Y133" i="45"/>
  <c r="AG119" i="45"/>
  <c r="BX117" i="45"/>
  <c r="AG133" i="45"/>
  <c r="U119" i="45"/>
  <c r="BL117" i="45"/>
  <c r="U133" i="45"/>
  <c r="D119" i="45"/>
  <c r="AU117" i="45"/>
  <c r="D133" i="45"/>
  <c r="E119" i="45"/>
  <c r="AV117" i="45"/>
  <c r="E133" i="45"/>
  <c r="AH119" i="45"/>
  <c r="BY117" i="45"/>
  <c r="AH133" i="45"/>
  <c r="C135" i="45"/>
  <c r="AT133" i="45"/>
  <c r="C149" i="45"/>
  <c r="M119" i="45"/>
  <c r="BD117" i="45"/>
  <c r="M133" i="45"/>
  <c r="O119" i="45"/>
  <c r="BF117" i="45"/>
  <c r="O133" i="45"/>
  <c r="I119" i="45"/>
  <c r="AZ117" i="45"/>
  <c r="I133" i="45"/>
  <c r="F119" i="45"/>
  <c r="AW117" i="45"/>
  <c r="F133" i="45"/>
  <c r="K119" i="45"/>
  <c r="BB117" i="45"/>
  <c r="K133" i="45"/>
  <c r="V119" i="45"/>
  <c r="BM117" i="45"/>
  <c r="V133" i="45"/>
  <c r="P119" i="45"/>
  <c r="BG117" i="45"/>
  <c r="P133" i="45"/>
  <c r="N119" i="45"/>
  <c r="BE117" i="45"/>
  <c r="N133" i="45"/>
  <c r="AD119" i="45"/>
  <c r="BU117" i="45"/>
  <c r="AD133" i="45"/>
  <c r="T119" i="45"/>
  <c r="BK117" i="45"/>
  <c r="T133" i="45"/>
  <c r="H119" i="45"/>
  <c r="AY117" i="45"/>
  <c r="H133" i="45"/>
  <c r="W119" i="45"/>
  <c r="BN117" i="45"/>
  <c r="W133" i="45"/>
  <c r="Q119" i="45"/>
  <c r="BH117" i="45"/>
  <c r="Q133" i="45"/>
  <c r="AF119" i="45"/>
  <c r="BW117" i="45"/>
  <c r="AF133" i="45"/>
  <c r="Z119" i="45"/>
  <c r="BQ117" i="45"/>
  <c r="Z133" i="45"/>
  <c r="AA119" i="45"/>
  <c r="BR117" i="45"/>
  <c r="AA133" i="45"/>
  <c r="AM119" i="45" l="1"/>
  <c r="Z135" i="45"/>
  <c r="BQ133" i="45"/>
  <c r="Z149" i="45"/>
  <c r="H135" i="45"/>
  <c r="AY133" i="45"/>
  <c r="H149" i="45"/>
  <c r="I135" i="45"/>
  <c r="AZ133" i="45"/>
  <c r="I149" i="45"/>
  <c r="AH135" i="45"/>
  <c r="BY133" i="45"/>
  <c r="AH149" i="45"/>
  <c r="AG135" i="45"/>
  <c r="BX133" i="45"/>
  <c r="AG149" i="45"/>
  <c r="J135" i="45"/>
  <c r="BA133" i="45"/>
  <c r="J149" i="45"/>
  <c r="AA135" i="45"/>
  <c r="BR133" i="45"/>
  <c r="AA149" i="45"/>
  <c r="N135" i="45"/>
  <c r="BE133" i="45"/>
  <c r="N149" i="45"/>
  <c r="C151" i="45"/>
  <c r="AT149" i="45"/>
  <c r="C165" i="45"/>
  <c r="U135" i="45"/>
  <c r="BL133" i="45"/>
  <c r="U149" i="45"/>
  <c r="AC135" i="45"/>
  <c r="BT133" i="45"/>
  <c r="AC149" i="45"/>
  <c r="Q135" i="45"/>
  <c r="BH133" i="45"/>
  <c r="Q149" i="45"/>
  <c r="AD135" i="45"/>
  <c r="BU133" i="45"/>
  <c r="AD149" i="45"/>
  <c r="K135" i="45"/>
  <c r="BB133" i="45"/>
  <c r="K149" i="45"/>
  <c r="M135" i="45"/>
  <c r="BD133" i="45"/>
  <c r="M149" i="45"/>
  <c r="D135" i="45"/>
  <c r="AU133" i="45"/>
  <c r="D149" i="45"/>
  <c r="R135" i="45"/>
  <c r="BI133" i="45"/>
  <c r="R149" i="45"/>
  <c r="X135" i="45"/>
  <c r="BO133" i="45"/>
  <c r="X149" i="45"/>
  <c r="P135" i="45"/>
  <c r="BG133" i="45"/>
  <c r="P149" i="45"/>
  <c r="G135" i="45"/>
  <c r="AX133" i="45"/>
  <c r="G149" i="45"/>
  <c r="W135" i="45"/>
  <c r="BN133" i="45"/>
  <c r="W149" i="45"/>
  <c r="F135" i="45"/>
  <c r="AW133" i="45"/>
  <c r="F149" i="45"/>
  <c r="AB135" i="45"/>
  <c r="AB149" i="45"/>
  <c r="BS133" i="45"/>
  <c r="AF135" i="45"/>
  <c r="BW133" i="45"/>
  <c r="AF149" i="45"/>
  <c r="T135" i="45"/>
  <c r="BK133" i="45"/>
  <c r="T149" i="45"/>
  <c r="V135" i="45"/>
  <c r="BM133" i="45"/>
  <c r="V149" i="45"/>
  <c r="O135" i="45"/>
  <c r="BF133" i="45"/>
  <c r="O149" i="45"/>
  <c r="E135" i="45"/>
  <c r="AV133" i="45"/>
  <c r="E149" i="45"/>
  <c r="Y135" i="45"/>
  <c r="BP133" i="45"/>
  <c r="Y149" i="45"/>
  <c r="S135" i="45"/>
  <c r="BJ133" i="45"/>
  <c r="S149" i="45"/>
  <c r="L135" i="45"/>
  <c r="BC133" i="45"/>
  <c r="L149" i="45"/>
  <c r="AM135" i="45" l="1"/>
  <c r="V151" i="45"/>
  <c r="BM149" i="45"/>
  <c r="V165" i="45"/>
  <c r="K151" i="45"/>
  <c r="BB149" i="45"/>
  <c r="K165" i="45"/>
  <c r="U151" i="45"/>
  <c r="BL149" i="45"/>
  <c r="U165" i="45"/>
  <c r="H151" i="45"/>
  <c r="AY149" i="45"/>
  <c r="H165" i="45"/>
  <c r="L151" i="45"/>
  <c r="BC149" i="45"/>
  <c r="L165" i="45"/>
  <c r="M151" i="45"/>
  <c r="BD149" i="45"/>
  <c r="M165" i="45"/>
  <c r="AA151" i="45"/>
  <c r="BR149" i="45"/>
  <c r="AA165" i="45"/>
  <c r="I151" i="45"/>
  <c r="AZ149" i="45"/>
  <c r="I165" i="45"/>
  <c r="E151" i="45"/>
  <c r="AV149" i="45"/>
  <c r="E165" i="45"/>
  <c r="AF151" i="45"/>
  <c r="BW149" i="45"/>
  <c r="AF165" i="45"/>
  <c r="AB151" i="45"/>
  <c r="BS149" i="45"/>
  <c r="AB165" i="45"/>
  <c r="G151" i="45"/>
  <c r="AX149" i="45"/>
  <c r="G165" i="45"/>
  <c r="D151" i="45"/>
  <c r="AU149" i="45"/>
  <c r="D165" i="45"/>
  <c r="Q151" i="45"/>
  <c r="BH149" i="45"/>
  <c r="Q165" i="45"/>
  <c r="N151" i="45"/>
  <c r="BE149" i="45"/>
  <c r="N165" i="45"/>
  <c r="AH151" i="45"/>
  <c r="BY149" i="45"/>
  <c r="AH165" i="45"/>
  <c r="S151" i="45"/>
  <c r="BJ149" i="45"/>
  <c r="S165" i="45"/>
  <c r="F151" i="45"/>
  <c r="AW149" i="45"/>
  <c r="F165" i="45"/>
  <c r="X151" i="45"/>
  <c r="BO149" i="45"/>
  <c r="X165" i="45"/>
  <c r="J151" i="45"/>
  <c r="BA149" i="45"/>
  <c r="J165" i="45"/>
  <c r="O151" i="45"/>
  <c r="BF149" i="45"/>
  <c r="O165" i="45"/>
  <c r="P151" i="45"/>
  <c r="BG149" i="45"/>
  <c r="P165" i="45"/>
  <c r="AC151" i="45"/>
  <c r="BT149" i="45"/>
  <c r="AC165" i="45"/>
  <c r="Y151" i="45"/>
  <c r="BP149" i="45"/>
  <c r="Y165" i="45"/>
  <c r="T151" i="45"/>
  <c r="BK149" i="45"/>
  <c r="T165" i="45"/>
  <c r="W151" i="45"/>
  <c r="BN149" i="45"/>
  <c r="W165" i="45"/>
  <c r="R151" i="45"/>
  <c r="BI149" i="45"/>
  <c r="R165" i="45"/>
  <c r="AD151" i="45"/>
  <c r="BU149" i="45"/>
  <c r="AD165" i="45"/>
  <c r="C167" i="45"/>
  <c r="AT165" i="45"/>
  <c r="C181" i="45"/>
  <c r="AG151" i="45"/>
  <c r="BX149" i="45"/>
  <c r="AG165" i="45"/>
  <c r="Z151" i="45"/>
  <c r="BQ149" i="45"/>
  <c r="Z165" i="45"/>
  <c r="AM151" i="45" l="1"/>
  <c r="AG167" i="45"/>
  <c r="BX165" i="45"/>
  <c r="AG181" i="45"/>
  <c r="P167" i="45"/>
  <c r="BG165" i="45"/>
  <c r="P181" i="45"/>
  <c r="Q167" i="45"/>
  <c r="BH165" i="45"/>
  <c r="Q181" i="45"/>
  <c r="M167" i="45"/>
  <c r="BD165" i="45"/>
  <c r="M181" i="45"/>
  <c r="R167" i="45"/>
  <c r="BI165" i="45"/>
  <c r="R181" i="45"/>
  <c r="X167" i="45"/>
  <c r="BO165" i="45"/>
  <c r="X181" i="45"/>
  <c r="N167" i="45"/>
  <c r="BE165" i="45"/>
  <c r="N181" i="45"/>
  <c r="AA167" i="45"/>
  <c r="BR165" i="45"/>
  <c r="AA181" i="45"/>
  <c r="AD167" i="45"/>
  <c r="BU165" i="45"/>
  <c r="AD181" i="45"/>
  <c r="Y167" i="45"/>
  <c r="BP165" i="45"/>
  <c r="Y181" i="45"/>
  <c r="J167" i="45"/>
  <c r="BA165" i="45"/>
  <c r="J181" i="45"/>
  <c r="AH167" i="45"/>
  <c r="BY165" i="45"/>
  <c r="AH181" i="45"/>
  <c r="G167" i="45"/>
  <c r="AX165" i="45"/>
  <c r="G181" i="45"/>
  <c r="I167" i="45"/>
  <c r="AZ165" i="45"/>
  <c r="I181" i="45"/>
  <c r="H167" i="45"/>
  <c r="AY165" i="45"/>
  <c r="H181" i="45"/>
  <c r="W167" i="45"/>
  <c r="BN165" i="45"/>
  <c r="W181" i="45"/>
  <c r="F167" i="45"/>
  <c r="AW165" i="45"/>
  <c r="F181" i="45"/>
  <c r="AF167" i="45"/>
  <c r="BW165" i="45"/>
  <c r="AF181" i="45"/>
  <c r="K167" i="45"/>
  <c r="BB165" i="45"/>
  <c r="K181" i="45"/>
  <c r="Z167" i="45"/>
  <c r="BQ165" i="45"/>
  <c r="Z181" i="45"/>
  <c r="AC167" i="45"/>
  <c r="BT165" i="45"/>
  <c r="AC181" i="45"/>
  <c r="AB167" i="45"/>
  <c r="BS165" i="45"/>
  <c r="AB181" i="45"/>
  <c r="U167" i="45"/>
  <c r="BL165" i="45"/>
  <c r="U181" i="45"/>
  <c r="C183" i="45"/>
  <c r="AT181" i="45"/>
  <c r="C197" i="45"/>
  <c r="T167" i="45"/>
  <c r="BK165" i="45"/>
  <c r="T181" i="45"/>
  <c r="O167" i="45"/>
  <c r="BF165" i="45"/>
  <c r="O181" i="45"/>
  <c r="S167" i="45"/>
  <c r="BJ165" i="45"/>
  <c r="S181" i="45"/>
  <c r="D167" i="45"/>
  <c r="AU165" i="45"/>
  <c r="D181" i="45"/>
  <c r="E167" i="45"/>
  <c r="AV165" i="45"/>
  <c r="E181" i="45"/>
  <c r="L167" i="45"/>
  <c r="BC165" i="45"/>
  <c r="L181" i="45"/>
  <c r="V167" i="45"/>
  <c r="BM165" i="45"/>
  <c r="V181" i="45"/>
  <c r="AM167" i="45" l="1"/>
  <c r="AB183" i="45"/>
  <c r="BS181" i="45"/>
  <c r="AB197" i="45"/>
  <c r="AF183" i="45"/>
  <c r="BW181" i="45"/>
  <c r="AF197" i="45"/>
  <c r="Y183" i="45"/>
  <c r="BP181" i="45"/>
  <c r="Y197" i="45"/>
  <c r="P183" i="45"/>
  <c r="BG181" i="45"/>
  <c r="P197" i="45"/>
  <c r="V183" i="45"/>
  <c r="BM181" i="45"/>
  <c r="V197" i="45"/>
  <c r="S183" i="45"/>
  <c r="BJ181" i="45"/>
  <c r="S197" i="45"/>
  <c r="K183" i="45"/>
  <c r="BB181" i="45"/>
  <c r="K197" i="45"/>
  <c r="H183" i="45"/>
  <c r="AY181" i="45"/>
  <c r="H197" i="45"/>
  <c r="N183" i="45"/>
  <c r="BE181" i="45"/>
  <c r="N197" i="45"/>
  <c r="D183" i="45"/>
  <c r="AU181" i="45"/>
  <c r="D197" i="45"/>
  <c r="C199" i="45"/>
  <c r="AT197" i="45"/>
  <c r="C213" i="45"/>
  <c r="Z183" i="45"/>
  <c r="BQ181" i="45"/>
  <c r="Z197" i="45"/>
  <c r="W183" i="45"/>
  <c r="BN181" i="45"/>
  <c r="W197" i="45"/>
  <c r="AH183" i="45"/>
  <c r="BY181" i="45"/>
  <c r="AH197" i="45"/>
  <c r="AA183" i="45"/>
  <c r="BR181" i="45"/>
  <c r="AA197" i="45"/>
  <c r="M183" i="45"/>
  <c r="BD181" i="45"/>
  <c r="M197" i="45"/>
  <c r="L183" i="45"/>
  <c r="BC181" i="45"/>
  <c r="L197" i="45"/>
  <c r="O183" i="45"/>
  <c r="BF181" i="45"/>
  <c r="O197" i="45"/>
  <c r="I183" i="45"/>
  <c r="AZ181" i="45"/>
  <c r="I197" i="45"/>
  <c r="X183" i="45"/>
  <c r="BO181" i="45"/>
  <c r="X197" i="45"/>
  <c r="U183" i="45"/>
  <c r="BL181" i="45"/>
  <c r="U197" i="45"/>
  <c r="J183" i="45"/>
  <c r="BA181" i="45"/>
  <c r="J197" i="45"/>
  <c r="Q183" i="45"/>
  <c r="BH181" i="45"/>
  <c r="Q197" i="45"/>
  <c r="E183" i="45"/>
  <c r="AV181" i="45"/>
  <c r="E197" i="45"/>
  <c r="T183" i="45"/>
  <c r="BK181" i="45"/>
  <c r="T197" i="45"/>
  <c r="AC183" i="45"/>
  <c r="BT181" i="45"/>
  <c r="AC197" i="45"/>
  <c r="F183" i="45"/>
  <c r="AW181" i="45"/>
  <c r="F197" i="45"/>
  <c r="G183" i="45"/>
  <c r="AX181" i="45"/>
  <c r="G197" i="45"/>
  <c r="AD183" i="45"/>
  <c r="BU181" i="45"/>
  <c r="AD197" i="45"/>
  <c r="R183" i="45"/>
  <c r="BI181" i="45"/>
  <c r="R197" i="45"/>
  <c r="AG183" i="45"/>
  <c r="BX181" i="45"/>
  <c r="AG197" i="45"/>
  <c r="AM183" i="45" l="1"/>
  <c r="R199" i="45"/>
  <c r="BI197" i="45"/>
  <c r="R213" i="45"/>
  <c r="AC199" i="45"/>
  <c r="BT197" i="45"/>
  <c r="AC213" i="45"/>
  <c r="AH199" i="45"/>
  <c r="BY197" i="45"/>
  <c r="AH213" i="45"/>
  <c r="AF199" i="45"/>
  <c r="AF213" i="45"/>
  <c r="BW197" i="45"/>
  <c r="AG199" i="45"/>
  <c r="BX197" i="45"/>
  <c r="AG213" i="45"/>
  <c r="Q199" i="45"/>
  <c r="BH197" i="45"/>
  <c r="Q213" i="45"/>
  <c r="I199" i="45"/>
  <c r="AZ197" i="45"/>
  <c r="I213" i="45"/>
  <c r="AA199" i="45"/>
  <c r="BR197" i="45"/>
  <c r="AA213" i="45"/>
  <c r="C215" i="45"/>
  <c r="AT213" i="45"/>
  <c r="C229" i="45"/>
  <c r="K199" i="45"/>
  <c r="BB197" i="45"/>
  <c r="K213" i="45"/>
  <c r="G199" i="45"/>
  <c r="AX197" i="45"/>
  <c r="G213" i="45"/>
  <c r="E199" i="45"/>
  <c r="AV197" i="45"/>
  <c r="E213" i="45"/>
  <c r="X199" i="45"/>
  <c r="BO197" i="45"/>
  <c r="X213" i="45"/>
  <c r="M199" i="45"/>
  <c r="BD197" i="45"/>
  <c r="M213" i="45"/>
  <c r="Z199" i="45"/>
  <c r="BQ197" i="45"/>
  <c r="Z213" i="45"/>
  <c r="H199" i="45"/>
  <c r="H213" i="45"/>
  <c r="AY197" i="45"/>
  <c r="P199" i="45"/>
  <c r="P213" i="45"/>
  <c r="BG197" i="45"/>
  <c r="J199" i="45"/>
  <c r="BA197" i="45"/>
  <c r="J213" i="45"/>
  <c r="O199" i="45"/>
  <c r="BF197" i="45"/>
  <c r="O213" i="45"/>
  <c r="D199" i="45"/>
  <c r="AU197" i="45"/>
  <c r="D213" i="45"/>
  <c r="S199" i="45"/>
  <c r="BJ197" i="45"/>
  <c r="S213" i="45"/>
  <c r="F199" i="45"/>
  <c r="AW197" i="45"/>
  <c r="F213" i="45"/>
  <c r="Y199" i="45"/>
  <c r="BP197" i="45"/>
  <c r="Y213" i="45"/>
  <c r="AD199" i="45"/>
  <c r="BU197" i="45"/>
  <c r="AD213" i="45"/>
  <c r="T199" i="45"/>
  <c r="BK197" i="45"/>
  <c r="T213" i="45"/>
  <c r="U199" i="45"/>
  <c r="BL197" i="45"/>
  <c r="U213" i="45"/>
  <c r="L199" i="45"/>
  <c r="BC197" i="45"/>
  <c r="L213" i="45"/>
  <c r="W199" i="45"/>
  <c r="BN197" i="45"/>
  <c r="W213" i="45"/>
  <c r="N199" i="45"/>
  <c r="BE197" i="45"/>
  <c r="N213" i="45"/>
  <c r="V199" i="45"/>
  <c r="BM197" i="45"/>
  <c r="V213" i="45"/>
  <c r="AB199" i="45"/>
  <c r="BS197" i="45"/>
  <c r="AB213" i="45"/>
  <c r="AM199" i="45" l="1"/>
  <c r="V215" i="45"/>
  <c r="BM213" i="45"/>
  <c r="V229" i="45"/>
  <c r="F215" i="45"/>
  <c r="AW213" i="45"/>
  <c r="F229" i="45"/>
  <c r="P215" i="45"/>
  <c r="BG213" i="45"/>
  <c r="P229" i="45"/>
  <c r="M215" i="45"/>
  <c r="BD213" i="45"/>
  <c r="M229" i="45"/>
  <c r="Q215" i="45"/>
  <c r="BH213" i="45"/>
  <c r="Q229" i="45"/>
  <c r="AC215" i="45"/>
  <c r="BT213" i="45"/>
  <c r="AC229" i="45"/>
  <c r="AB215" i="45"/>
  <c r="AB229" i="45"/>
  <c r="BS213" i="45"/>
  <c r="Y215" i="45"/>
  <c r="BP213" i="45"/>
  <c r="Y229" i="45"/>
  <c r="G215" i="45"/>
  <c r="AX213" i="45"/>
  <c r="G229" i="45"/>
  <c r="AH215" i="45"/>
  <c r="BY213" i="45"/>
  <c r="AH229" i="45"/>
  <c r="W215" i="45"/>
  <c r="BN213" i="45"/>
  <c r="W229" i="45"/>
  <c r="AD215" i="45"/>
  <c r="BU213" i="45"/>
  <c r="AD229" i="45"/>
  <c r="D215" i="45"/>
  <c r="D229" i="45"/>
  <c r="AU213" i="45"/>
  <c r="E215" i="45"/>
  <c r="AV213" i="45"/>
  <c r="E229" i="45"/>
  <c r="AA215" i="45"/>
  <c r="BR213" i="45"/>
  <c r="AA229" i="45"/>
  <c r="U215" i="45"/>
  <c r="BL213" i="45"/>
  <c r="U229" i="45"/>
  <c r="J215" i="45"/>
  <c r="BA213" i="45"/>
  <c r="J229" i="45"/>
  <c r="K215" i="45"/>
  <c r="BB213" i="45"/>
  <c r="K229" i="45"/>
  <c r="L215" i="45"/>
  <c r="L229" i="45"/>
  <c r="BC213" i="45"/>
  <c r="O215" i="45"/>
  <c r="BF213" i="45"/>
  <c r="O229" i="45"/>
  <c r="Z215" i="45"/>
  <c r="BQ213" i="45"/>
  <c r="Z229" i="45"/>
  <c r="I215" i="45"/>
  <c r="AZ213" i="45"/>
  <c r="I229" i="45"/>
  <c r="N215" i="45"/>
  <c r="BE213" i="45"/>
  <c r="N229" i="45"/>
  <c r="T215" i="45"/>
  <c r="BK213" i="45"/>
  <c r="T229" i="45"/>
  <c r="S215" i="45"/>
  <c r="BJ213" i="45"/>
  <c r="S229" i="45"/>
  <c r="H215" i="45"/>
  <c r="AY213" i="45"/>
  <c r="H229" i="45"/>
  <c r="X215" i="45"/>
  <c r="BO213" i="45"/>
  <c r="X229" i="45"/>
  <c r="C231" i="45"/>
  <c r="AT229" i="45"/>
  <c r="C245" i="45"/>
  <c r="AG215" i="45"/>
  <c r="BX213" i="45"/>
  <c r="AG229" i="45"/>
  <c r="AF215" i="45"/>
  <c r="BW213" i="45"/>
  <c r="AF229" i="45"/>
  <c r="R215" i="45"/>
  <c r="BI213" i="45"/>
  <c r="R229" i="45"/>
  <c r="AM215" i="45" l="1"/>
  <c r="AF231" i="45"/>
  <c r="AF245" i="45"/>
  <c r="BW229" i="45"/>
  <c r="I231" i="45"/>
  <c r="AZ229" i="45"/>
  <c r="I245" i="45"/>
  <c r="E231" i="45"/>
  <c r="AV229" i="45"/>
  <c r="E245" i="45"/>
  <c r="AC231" i="45"/>
  <c r="BT229" i="45"/>
  <c r="AC245" i="45"/>
  <c r="X231" i="45"/>
  <c r="X245" i="45"/>
  <c r="BO229" i="45"/>
  <c r="W231" i="45"/>
  <c r="BN229" i="45"/>
  <c r="W245" i="45"/>
  <c r="P231" i="45"/>
  <c r="BG229" i="45"/>
  <c r="P245" i="45"/>
  <c r="C247" i="45"/>
  <c r="AT245" i="45"/>
  <c r="C261" i="45"/>
  <c r="T231" i="45"/>
  <c r="BK229" i="45"/>
  <c r="T245" i="45"/>
  <c r="O231" i="45"/>
  <c r="BF229" i="45"/>
  <c r="O245" i="45"/>
  <c r="L231" i="45"/>
  <c r="BC229" i="45"/>
  <c r="L245" i="45"/>
  <c r="U231" i="45"/>
  <c r="BL229" i="45"/>
  <c r="U245" i="45"/>
  <c r="AD231" i="45"/>
  <c r="BU229" i="45"/>
  <c r="AD245" i="45"/>
  <c r="Y231" i="45"/>
  <c r="BP229" i="45"/>
  <c r="Y245" i="45"/>
  <c r="AB231" i="45"/>
  <c r="BS229" i="45"/>
  <c r="AB245" i="45"/>
  <c r="M231" i="45"/>
  <c r="BD229" i="45"/>
  <c r="M245" i="45"/>
  <c r="H231" i="45"/>
  <c r="H245" i="45"/>
  <c r="AY229" i="45"/>
  <c r="K231" i="45"/>
  <c r="BB229" i="45"/>
  <c r="K245" i="45"/>
  <c r="D231" i="45"/>
  <c r="AU229" i="45"/>
  <c r="D245" i="45"/>
  <c r="AH231" i="45"/>
  <c r="BY229" i="45"/>
  <c r="AH245" i="45"/>
  <c r="F231" i="45"/>
  <c r="AW229" i="45"/>
  <c r="F245" i="45"/>
  <c r="R231" i="45"/>
  <c r="BI229" i="45"/>
  <c r="R245" i="45"/>
  <c r="N231" i="45"/>
  <c r="BE229" i="45"/>
  <c r="N245" i="45"/>
  <c r="AA231" i="45"/>
  <c r="BR229" i="45"/>
  <c r="AA245" i="45"/>
  <c r="AG231" i="45"/>
  <c r="BX229" i="45"/>
  <c r="AG245" i="45"/>
  <c r="S231" i="45"/>
  <c r="BJ229" i="45"/>
  <c r="S245" i="45"/>
  <c r="Z231" i="45"/>
  <c r="BQ229" i="45"/>
  <c r="Z245" i="45"/>
  <c r="J231" i="45"/>
  <c r="BA229" i="45"/>
  <c r="J245" i="45"/>
  <c r="G231" i="45"/>
  <c r="AX229" i="45"/>
  <c r="G245" i="45"/>
  <c r="Q231" i="45"/>
  <c r="BH229" i="45"/>
  <c r="Q245" i="45"/>
  <c r="V231" i="45"/>
  <c r="BM229" i="45"/>
  <c r="V245" i="45"/>
  <c r="AM231" i="45" l="1"/>
  <c r="J247" i="45"/>
  <c r="BA245" i="45"/>
  <c r="J261" i="45"/>
  <c r="AA247" i="45"/>
  <c r="BR245" i="45"/>
  <c r="AA261" i="45"/>
  <c r="AH247" i="45"/>
  <c r="BY245" i="45"/>
  <c r="AH261" i="45"/>
  <c r="M247" i="45"/>
  <c r="BD245" i="45"/>
  <c r="M261" i="45"/>
  <c r="U247" i="45"/>
  <c r="BL245" i="45"/>
  <c r="U261" i="45"/>
  <c r="C263" i="45"/>
  <c r="AT261" i="45"/>
  <c r="C277" i="45"/>
  <c r="AC247" i="45"/>
  <c r="BT245" i="45"/>
  <c r="AC261" i="45"/>
  <c r="Q247" i="45"/>
  <c r="BH245" i="45"/>
  <c r="Q261" i="45"/>
  <c r="V247" i="45"/>
  <c r="BM245" i="45"/>
  <c r="V261" i="45"/>
  <c r="G247" i="45"/>
  <c r="AX245" i="45"/>
  <c r="G261" i="45"/>
  <c r="AG247" i="45"/>
  <c r="BX245" i="45"/>
  <c r="AG261" i="45"/>
  <c r="F247" i="45"/>
  <c r="AW245" i="45"/>
  <c r="F261" i="45"/>
  <c r="AD247" i="45"/>
  <c r="BU245" i="45"/>
  <c r="AD261" i="45"/>
  <c r="T247" i="45"/>
  <c r="T261" i="45"/>
  <c r="BK245" i="45"/>
  <c r="R247" i="45"/>
  <c r="BI245" i="45"/>
  <c r="R261" i="45"/>
  <c r="K247" i="45"/>
  <c r="BB245" i="45"/>
  <c r="K261" i="45"/>
  <c r="H247" i="45"/>
  <c r="AY245" i="45"/>
  <c r="H261" i="45"/>
  <c r="Y247" i="45"/>
  <c r="BP245" i="45"/>
  <c r="Y261" i="45"/>
  <c r="O247" i="45"/>
  <c r="BF245" i="45"/>
  <c r="O261" i="45"/>
  <c r="W247" i="45"/>
  <c r="BN245" i="45"/>
  <c r="W261" i="45"/>
  <c r="X247" i="45"/>
  <c r="BO245" i="45"/>
  <c r="X261" i="45"/>
  <c r="I247" i="45"/>
  <c r="AZ245" i="45"/>
  <c r="I261" i="45"/>
  <c r="AF247" i="45"/>
  <c r="BW245" i="45"/>
  <c r="AF261" i="45"/>
  <c r="S247" i="45"/>
  <c r="BJ245" i="45"/>
  <c r="S261" i="45"/>
  <c r="Z247" i="45"/>
  <c r="BQ245" i="45"/>
  <c r="Z261" i="45"/>
  <c r="N247" i="45"/>
  <c r="BE245" i="45"/>
  <c r="N261" i="45"/>
  <c r="D247" i="45"/>
  <c r="D261" i="45"/>
  <c r="AU245" i="45"/>
  <c r="AB247" i="45"/>
  <c r="AB261" i="45"/>
  <c r="BS245" i="45"/>
  <c r="L247" i="45"/>
  <c r="BC245" i="45"/>
  <c r="L261" i="45"/>
  <c r="P247" i="45"/>
  <c r="BG245" i="45"/>
  <c r="P261" i="45"/>
  <c r="E247" i="45"/>
  <c r="AV245" i="45"/>
  <c r="E261" i="45"/>
  <c r="AM247" i="45" l="1"/>
  <c r="D263" i="45"/>
  <c r="AU261" i="45"/>
  <c r="D277" i="45"/>
  <c r="S263" i="45"/>
  <c r="BJ261" i="45"/>
  <c r="S277" i="45"/>
  <c r="W263" i="45"/>
  <c r="BN261" i="45"/>
  <c r="W277" i="45"/>
  <c r="K263" i="45"/>
  <c r="BB261" i="45"/>
  <c r="K277" i="45"/>
  <c r="F263" i="45"/>
  <c r="AW261" i="45"/>
  <c r="F277" i="45"/>
  <c r="Q263" i="45"/>
  <c r="BH261" i="45"/>
  <c r="Q277" i="45"/>
  <c r="M263" i="45"/>
  <c r="BD261" i="45"/>
  <c r="M277" i="45"/>
  <c r="L263" i="45"/>
  <c r="BC261" i="45"/>
  <c r="L277" i="45"/>
  <c r="AB263" i="45"/>
  <c r="BS261" i="45"/>
  <c r="AB277" i="45"/>
  <c r="Z263" i="45"/>
  <c r="BQ261" i="45"/>
  <c r="Z277" i="45"/>
  <c r="X263" i="45"/>
  <c r="X277" i="45"/>
  <c r="BO261" i="45"/>
  <c r="H263" i="45"/>
  <c r="AY261" i="45"/>
  <c r="H277" i="45"/>
  <c r="AD263" i="45"/>
  <c r="BU261" i="45"/>
  <c r="AD277" i="45"/>
  <c r="V263" i="45"/>
  <c r="BM261" i="45"/>
  <c r="V277" i="45"/>
  <c r="U263" i="45"/>
  <c r="BL261" i="45"/>
  <c r="U277" i="45"/>
  <c r="J263" i="45"/>
  <c r="BA261" i="45"/>
  <c r="J277" i="45"/>
  <c r="P263" i="45"/>
  <c r="P277" i="45"/>
  <c r="BG261" i="45"/>
  <c r="N263" i="45"/>
  <c r="BE261" i="45"/>
  <c r="N277" i="45"/>
  <c r="I263" i="45"/>
  <c r="AZ261" i="45"/>
  <c r="I277" i="45"/>
  <c r="Y263" i="45"/>
  <c r="BP261" i="45"/>
  <c r="Y277" i="45"/>
  <c r="G263" i="45"/>
  <c r="AX261" i="45"/>
  <c r="G277" i="45"/>
  <c r="C279" i="45"/>
  <c r="AT277" i="45"/>
  <c r="C293" i="45"/>
  <c r="AA263" i="45"/>
  <c r="BR261" i="45"/>
  <c r="AA277" i="45"/>
  <c r="E263" i="45"/>
  <c r="AV261" i="45"/>
  <c r="E277" i="45"/>
  <c r="AF263" i="45"/>
  <c r="BW261" i="45"/>
  <c r="AF277" i="45"/>
  <c r="O263" i="45"/>
  <c r="BF261" i="45"/>
  <c r="O277" i="45"/>
  <c r="R263" i="45"/>
  <c r="BI261" i="45"/>
  <c r="R277" i="45"/>
  <c r="T263" i="45"/>
  <c r="BK261" i="45"/>
  <c r="T277" i="45"/>
  <c r="AG263" i="45"/>
  <c r="BX261" i="45"/>
  <c r="AG277" i="45"/>
  <c r="AC263" i="45"/>
  <c r="BT261" i="45"/>
  <c r="AC277" i="45"/>
  <c r="AH263" i="45"/>
  <c r="BY261" i="45"/>
  <c r="AH277" i="45"/>
  <c r="AM263" i="45" l="1"/>
  <c r="T279" i="45"/>
  <c r="BK277" i="45"/>
  <c r="T293" i="45"/>
  <c r="E279" i="45"/>
  <c r="AV277" i="45"/>
  <c r="E293" i="45"/>
  <c r="Y279" i="45"/>
  <c r="BP277" i="45"/>
  <c r="Y293" i="45"/>
  <c r="J279" i="45"/>
  <c r="BA277" i="45"/>
  <c r="J293" i="45"/>
  <c r="H279" i="45"/>
  <c r="AY277" i="45"/>
  <c r="H293" i="45"/>
  <c r="X279" i="45"/>
  <c r="BO277" i="45"/>
  <c r="X293" i="45"/>
  <c r="L279" i="45"/>
  <c r="BC277" i="45"/>
  <c r="L293" i="45"/>
  <c r="K279" i="45"/>
  <c r="BB277" i="45"/>
  <c r="K293" i="45"/>
  <c r="AG279" i="45"/>
  <c r="BX277" i="45"/>
  <c r="AG293" i="45"/>
  <c r="AF279" i="45"/>
  <c r="BW277" i="45"/>
  <c r="AF293" i="45"/>
  <c r="G279" i="45"/>
  <c r="AX277" i="45"/>
  <c r="G293" i="45"/>
  <c r="AD279" i="45"/>
  <c r="BU277" i="45"/>
  <c r="AD293" i="45"/>
  <c r="AB279" i="45"/>
  <c r="BS277" i="45"/>
  <c r="AB293" i="45"/>
  <c r="F279" i="45"/>
  <c r="AW277" i="45"/>
  <c r="F293" i="45"/>
  <c r="D279" i="45"/>
  <c r="AU277" i="45"/>
  <c r="D293" i="45"/>
  <c r="AC279" i="45"/>
  <c r="BT277" i="45"/>
  <c r="AC293" i="45"/>
  <c r="C295" i="45"/>
  <c r="AT293" i="45"/>
  <c r="C309" i="45"/>
  <c r="N279" i="45"/>
  <c r="BE277" i="45"/>
  <c r="N293" i="45"/>
  <c r="P279" i="45"/>
  <c r="BG277" i="45"/>
  <c r="P293" i="45"/>
  <c r="V279" i="45"/>
  <c r="BM277" i="45"/>
  <c r="V293" i="45"/>
  <c r="Z279" i="45"/>
  <c r="BQ277" i="45"/>
  <c r="Z293" i="45"/>
  <c r="Q279" i="45"/>
  <c r="BH277" i="45"/>
  <c r="Q293" i="45"/>
  <c r="S279" i="45"/>
  <c r="BJ277" i="45"/>
  <c r="S293" i="45"/>
  <c r="O279" i="45"/>
  <c r="BF277" i="45"/>
  <c r="O293" i="45"/>
  <c r="AH279" i="45"/>
  <c r="BY277" i="45"/>
  <c r="AH293" i="45"/>
  <c r="R279" i="45"/>
  <c r="BI277" i="45"/>
  <c r="R293" i="45"/>
  <c r="AA279" i="45"/>
  <c r="BR277" i="45"/>
  <c r="AA293" i="45"/>
  <c r="I279" i="45"/>
  <c r="AZ277" i="45"/>
  <c r="I293" i="45"/>
  <c r="U279" i="45"/>
  <c r="BL277" i="45"/>
  <c r="U293" i="45"/>
  <c r="M279" i="45"/>
  <c r="BD277" i="45"/>
  <c r="M293" i="45"/>
  <c r="W279" i="45"/>
  <c r="BN277" i="45"/>
  <c r="W293" i="45"/>
  <c r="AM279" i="45" l="1"/>
  <c r="U295" i="45"/>
  <c r="BL293" i="45"/>
  <c r="U309" i="45"/>
  <c r="I295" i="45"/>
  <c r="AZ293" i="45"/>
  <c r="I309" i="45"/>
  <c r="O295" i="45"/>
  <c r="BF293" i="45"/>
  <c r="O309" i="45"/>
  <c r="V295" i="45"/>
  <c r="BM293" i="45"/>
  <c r="V309" i="45"/>
  <c r="AC295" i="45"/>
  <c r="BT293" i="45"/>
  <c r="AC309" i="45"/>
  <c r="AD295" i="45"/>
  <c r="BU293" i="45"/>
  <c r="AD309" i="45"/>
  <c r="K295" i="45"/>
  <c r="BB293" i="45"/>
  <c r="K309" i="45"/>
  <c r="J295" i="45"/>
  <c r="BA293" i="45"/>
  <c r="J309" i="45"/>
  <c r="AH295" i="45"/>
  <c r="BY293" i="45"/>
  <c r="AH309" i="45"/>
  <c r="Z295" i="45"/>
  <c r="BQ293" i="45"/>
  <c r="Z309" i="45"/>
  <c r="C311" i="45"/>
  <c r="AT309" i="45"/>
  <c r="C325" i="45"/>
  <c r="AB295" i="45"/>
  <c r="BS293" i="45"/>
  <c r="AB309" i="45"/>
  <c r="AG295" i="45"/>
  <c r="BX293" i="45"/>
  <c r="AG309" i="45"/>
  <c r="H295" i="45"/>
  <c r="AY293" i="45"/>
  <c r="H309" i="45"/>
  <c r="T295" i="45"/>
  <c r="BK293" i="45"/>
  <c r="T309" i="45"/>
  <c r="Q295" i="45"/>
  <c r="BH293" i="45"/>
  <c r="Q309" i="45"/>
  <c r="N295" i="45"/>
  <c r="BE293" i="45"/>
  <c r="N309" i="45"/>
  <c r="F295" i="45"/>
  <c r="AW293" i="45"/>
  <c r="F309" i="45"/>
  <c r="AF295" i="45"/>
  <c r="BW293" i="45"/>
  <c r="AF309" i="45"/>
  <c r="X295" i="45"/>
  <c r="BO293" i="45"/>
  <c r="X309" i="45"/>
  <c r="E295" i="45"/>
  <c r="AV293" i="45"/>
  <c r="E309" i="45"/>
  <c r="M295" i="45"/>
  <c r="BD293" i="45"/>
  <c r="M309" i="45"/>
  <c r="R295" i="45"/>
  <c r="BI293" i="45"/>
  <c r="R309" i="45"/>
  <c r="W295" i="45"/>
  <c r="BN293" i="45"/>
  <c r="W309" i="45"/>
  <c r="AA295" i="45"/>
  <c r="BR293" i="45"/>
  <c r="AA309" i="45"/>
  <c r="S295" i="45"/>
  <c r="BJ293" i="45"/>
  <c r="S309" i="45"/>
  <c r="P295" i="45"/>
  <c r="BG293" i="45"/>
  <c r="P309" i="45"/>
  <c r="D295" i="45"/>
  <c r="AU293" i="45"/>
  <c r="D309" i="45"/>
  <c r="G295" i="45"/>
  <c r="AX293" i="45"/>
  <c r="G309" i="45"/>
  <c r="L295" i="45"/>
  <c r="BC293" i="45"/>
  <c r="L309" i="45"/>
  <c r="Y295" i="45"/>
  <c r="BP293" i="45"/>
  <c r="Y309" i="45"/>
  <c r="AM295" i="45" l="1"/>
  <c r="D311" i="45"/>
  <c r="AU309" i="45"/>
  <c r="D325" i="45"/>
  <c r="W311" i="45"/>
  <c r="BN309" i="45"/>
  <c r="W325" i="45"/>
  <c r="X311" i="45"/>
  <c r="BO309" i="45"/>
  <c r="X325" i="45"/>
  <c r="Q311" i="45"/>
  <c r="BH309" i="45"/>
  <c r="Q325" i="45"/>
  <c r="AB311" i="45"/>
  <c r="BS309" i="45"/>
  <c r="AB325" i="45"/>
  <c r="J311" i="45"/>
  <c r="BA309" i="45"/>
  <c r="J325" i="45"/>
  <c r="V311" i="45"/>
  <c r="BM309" i="45"/>
  <c r="V325" i="45"/>
  <c r="G311" i="45"/>
  <c r="AX309" i="45"/>
  <c r="G325" i="45"/>
  <c r="AA311" i="45"/>
  <c r="BR309" i="45"/>
  <c r="AA325" i="45"/>
  <c r="E311" i="45"/>
  <c r="AV309" i="45"/>
  <c r="E325" i="45"/>
  <c r="N311" i="45"/>
  <c r="BE309" i="45"/>
  <c r="N325" i="45"/>
  <c r="AG311" i="45"/>
  <c r="BX309" i="45"/>
  <c r="AG325" i="45"/>
  <c r="AH311" i="45"/>
  <c r="BY309" i="45"/>
  <c r="AH325" i="45"/>
  <c r="AC311" i="45"/>
  <c r="BT309" i="45"/>
  <c r="AC325" i="45"/>
  <c r="U311" i="45"/>
  <c r="BL309" i="45"/>
  <c r="U325" i="45"/>
  <c r="L311" i="45"/>
  <c r="BC309" i="45"/>
  <c r="L325" i="45"/>
  <c r="S311" i="45"/>
  <c r="BJ309" i="45"/>
  <c r="S325" i="45"/>
  <c r="M311" i="45"/>
  <c r="BD309" i="45"/>
  <c r="M325" i="45"/>
  <c r="F311" i="45"/>
  <c r="AW309" i="45"/>
  <c r="F325" i="45"/>
  <c r="H311" i="45"/>
  <c r="AY309" i="45"/>
  <c r="H325" i="45"/>
  <c r="Z311" i="45"/>
  <c r="BQ309" i="45"/>
  <c r="Z325" i="45"/>
  <c r="AD311" i="45"/>
  <c r="BU309" i="45"/>
  <c r="AD325" i="45"/>
  <c r="I311" i="45"/>
  <c r="AZ309" i="45"/>
  <c r="I325" i="45"/>
  <c r="Y311" i="45"/>
  <c r="BP309" i="45"/>
  <c r="Y325" i="45"/>
  <c r="P311" i="45"/>
  <c r="BG309" i="45"/>
  <c r="P325" i="45"/>
  <c r="R311" i="45"/>
  <c r="BI309" i="45"/>
  <c r="R325" i="45"/>
  <c r="AF311" i="45"/>
  <c r="BW309" i="45"/>
  <c r="AF325" i="45"/>
  <c r="T311" i="45"/>
  <c r="BK309" i="45"/>
  <c r="T325" i="45"/>
  <c r="C327" i="45"/>
  <c r="AT325" i="45"/>
  <c r="C341" i="45"/>
  <c r="K311" i="45"/>
  <c r="BB309" i="45"/>
  <c r="K325" i="45"/>
  <c r="O311" i="45"/>
  <c r="BF309" i="45"/>
  <c r="O325" i="45"/>
  <c r="AM311" i="45" l="1"/>
  <c r="T327" i="45"/>
  <c r="BK325" i="45"/>
  <c r="T341" i="45"/>
  <c r="Y327" i="45"/>
  <c r="BP325" i="45"/>
  <c r="Y341" i="45"/>
  <c r="H327" i="45"/>
  <c r="AY325" i="45"/>
  <c r="H341" i="45"/>
  <c r="L327" i="45"/>
  <c r="BC325" i="45"/>
  <c r="L341" i="45"/>
  <c r="AG327" i="45"/>
  <c r="BX325" i="45"/>
  <c r="AG341" i="45"/>
  <c r="G327" i="45"/>
  <c r="AX325" i="45"/>
  <c r="G341" i="45"/>
  <c r="Q327" i="45"/>
  <c r="BH325" i="45"/>
  <c r="Q341" i="45"/>
  <c r="C343" i="45"/>
  <c r="AT341" i="45"/>
  <c r="C357" i="45"/>
  <c r="P327" i="45"/>
  <c r="BG325" i="45"/>
  <c r="P341" i="45"/>
  <c r="Z327" i="45"/>
  <c r="BQ325" i="45"/>
  <c r="Z341" i="45"/>
  <c r="S327" i="45"/>
  <c r="BJ325" i="45"/>
  <c r="S341" i="45"/>
  <c r="AH327" i="45"/>
  <c r="BY325" i="45"/>
  <c r="AH341" i="45"/>
  <c r="AA327" i="45"/>
  <c r="AA341" i="45"/>
  <c r="BR325" i="45"/>
  <c r="AB327" i="45"/>
  <c r="BS325" i="45"/>
  <c r="AB341" i="45"/>
  <c r="D327" i="45"/>
  <c r="AU325" i="45"/>
  <c r="D341" i="45"/>
  <c r="K327" i="45"/>
  <c r="BB325" i="45"/>
  <c r="K341" i="45"/>
  <c r="R327" i="45"/>
  <c r="BI325" i="45"/>
  <c r="R341" i="45"/>
  <c r="AD327" i="45"/>
  <c r="BU325" i="45"/>
  <c r="AD341" i="45"/>
  <c r="M327" i="45"/>
  <c r="BD325" i="45"/>
  <c r="M341" i="45"/>
  <c r="AC327" i="45"/>
  <c r="BT325" i="45"/>
  <c r="AC341" i="45"/>
  <c r="E327" i="45"/>
  <c r="AV325" i="45"/>
  <c r="E341" i="45"/>
  <c r="J327" i="45"/>
  <c r="BA325" i="45"/>
  <c r="J341" i="45"/>
  <c r="W327" i="45"/>
  <c r="BN325" i="45"/>
  <c r="W341" i="45"/>
  <c r="O327" i="45"/>
  <c r="BF325" i="45"/>
  <c r="O341" i="45"/>
  <c r="AF327" i="45"/>
  <c r="BW325" i="45"/>
  <c r="AF341" i="45"/>
  <c r="I327" i="45"/>
  <c r="AZ325" i="45"/>
  <c r="I341" i="45"/>
  <c r="F327" i="45"/>
  <c r="AW325" i="45"/>
  <c r="F341" i="45"/>
  <c r="U327" i="45"/>
  <c r="BL325" i="45"/>
  <c r="U341" i="45"/>
  <c r="N327" i="45"/>
  <c r="BE325" i="45"/>
  <c r="N341" i="45"/>
  <c r="V327" i="45"/>
  <c r="BM325" i="45"/>
  <c r="V341" i="45"/>
  <c r="X327" i="45"/>
  <c r="BO325" i="45"/>
  <c r="X341" i="45"/>
  <c r="U343" i="45" l="1"/>
  <c r="BL341" i="45"/>
  <c r="U357" i="45"/>
  <c r="O343" i="45"/>
  <c r="BF341" i="45"/>
  <c r="O357" i="45"/>
  <c r="AC343" i="45"/>
  <c r="BT341" i="45"/>
  <c r="AC357" i="45"/>
  <c r="K343" i="45"/>
  <c r="BB341" i="45"/>
  <c r="K357" i="45"/>
  <c r="AH343" i="45"/>
  <c r="BY341" i="45"/>
  <c r="AH357" i="45"/>
  <c r="C359" i="45"/>
  <c r="AT357" i="45"/>
  <c r="C373" i="45"/>
  <c r="L343" i="45"/>
  <c r="BC341" i="45"/>
  <c r="L357" i="45"/>
  <c r="N343" i="45"/>
  <c r="BE341" i="45"/>
  <c r="N357" i="45"/>
  <c r="AF343" i="45"/>
  <c r="BW341" i="45"/>
  <c r="AF357" i="45"/>
  <c r="E343" i="45"/>
  <c r="AV341" i="45"/>
  <c r="E357" i="45"/>
  <c r="R343" i="45"/>
  <c r="BI341" i="45"/>
  <c r="R357" i="45"/>
  <c r="AM327" i="45"/>
  <c r="P343" i="45"/>
  <c r="BG341" i="45"/>
  <c r="P357" i="45"/>
  <c r="AG343" i="45"/>
  <c r="BX341" i="45"/>
  <c r="AG357" i="45"/>
  <c r="T343" i="45"/>
  <c r="BK341" i="45"/>
  <c r="T357" i="45"/>
  <c r="V343" i="45"/>
  <c r="BM341" i="45"/>
  <c r="V357" i="45"/>
  <c r="I343" i="45"/>
  <c r="AZ341" i="45"/>
  <c r="I357" i="45"/>
  <c r="J343" i="45"/>
  <c r="BA341" i="45"/>
  <c r="J357" i="45"/>
  <c r="AD343" i="45"/>
  <c r="BU341" i="45"/>
  <c r="AD357" i="45"/>
  <c r="AB343" i="45"/>
  <c r="BS341" i="45"/>
  <c r="AB357" i="45"/>
  <c r="AA343" i="45"/>
  <c r="BR341" i="45"/>
  <c r="AA357" i="45"/>
  <c r="Z343" i="45"/>
  <c r="BQ341" i="45"/>
  <c r="Z357" i="45"/>
  <c r="G343" i="45"/>
  <c r="AX341" i="45"/>
  <c r="G357" i="45"/>
  <c r="Y343" i="45"/>
  <c r="BP341" i="45"/>
  <c r="Y357" i="45"/>
  <c r="X343" i="45"/>
  <c r="BO341" i="45"/>
  <c r="X357" i="45"/>
  <c r="F343" i="45"/>
  <c r="AW341" i="45"/>
  <c r="F357" i="45"/>
  <c r="W343" i="45"/>
  <c r="BN341" i="45"/>
  <c r="W357" i="45"/>
  <c r="M343" i="45"/>
  <c r="BD341" i="45"/>
  <c r="M357" i="45"/>
  <c r="D343" i="45"/>
  <c r="AU341" i="45"/>
  <c r="D357" i="45"/>
  <c r="S343" i="45"/>
  <c r="BJ341" i="45"/>
  <c r="S357" i="45"/>
  <c r="Q343" i="45"/>
  <c r="BH341" i="45"/>
  <c r="Q357" i="45"/>
  <c r="H343" i="45"/>
  <c r="AY341" i="45"/>
  <c r="H357" i="45"/>
  <c r="AA359" i="45" l="1"/>
  <c r="BR357" i="45"/>
  <c r="AA373" i="45"/>
  <c r="S359" i="45"/>
  <c r="BJ357" i="45"/>
  <c r="S373" i="45"/>
  <c r="F359" i="45"/>
  <c r="AW357" i="45"/>
  <c r="F373" i="45"/>
  <c r="Z359" i="45"/>
  <c r="BQ357" i="45"/>
  <c r="Z373" i="45"/>
  <c r="J359" i="45"/>
  <c r="BA357" i="45"/>
  <c r="J373" i="45"/>
  <c r="AG359" i="45"/>
  <c r="BX357" i="45"/>
  <c r="AG373" i="45"/>
  <c r="N359" i="45"/>
  <c r="BE357" i="45"/>
  <c r="N373" i="45"/>
  <c r="K359" i="45"/>
  <c r="BB357" i="45"/>
  <c r="K373" i="45"/>
  <c r="D359" i="45"/>
  <c r="AU357" i="45"/>
  <c r="D373" i="45"/>
  <c r="X359" i="45"/>
  <c r="BO357" i="45"/>
  <c r="X373" i="45"/>
  <c r="Q359" i="45"/>
  <c r="BH357" i="45"/>
  <c r="Q373" i="45"/>
  <c r="AM343" i="45"/>
  <c r="W359" i="45"/>
  <c r="BN357" i="45"/>
  <c r="W373" i="45"/>
  <c r="G359" i="45"/>
  <c r="AX357" i="45"/>
  <c r="G373" i="45"/>
  <c r="AD359" i="45"/>
  <c r="BU357" i="45"/>
  <c r="AD373" i="45"/>
  <c r="T359" i="45"/>
  <c r="BK357" i="45"/>
  <c r="T373" i="45"/>
  <c r="AF359" i="45"/>
  <c r="BW357" i="45"/>
  <c r="AF373" i="45"/>
  <c r="AH359" i="45"/>
  <c r="BY357" i="45"/>
  <c r="AH373" i="45"/>
  <c r="U359" i="45"/>
  <c r="BL357" i="45"/>
  <c r="U373" i="45"/>
  <c r="M359" i="45"/>
  <c r="BD357" i="45"/>
  <c r="M373" i="45"/>
  <c r="Y359" i="45"/>
  <c r="BP357" i="45"/>
  <c r="Y373" i="45"/>
  <c r="AB359" i="45"/>
  <c r="BS357" i="45"/>
  <c r="AB373" i="45"/>
  <c r="V359" i="45"/>
  <c r="BM357" i="45"/>
  <c r="V373" i="45"/>
  <c r="E359" i="45"/>
  <c r="AV357" i="45"/>
  <c r="E373" i="45"/>
  <c r="C375" i="45"/>
  <c r="AT373" i="45"/>
  <c r="C389" i="45"/>
  <c r="O359" i="45"/>
  <c r="BF357" i="45"/>
  <c r="O373" i="45"/>
  <c r="H359" i="45"/>
  <c r="AY357" i="45"/>
  <c r="H373" i="45"/>
  <c r="I359" i="45"/>
  <c r="AZ357" i="45"/>
  <c r="I373" i="45"/>
  <c r="P359" i="45"/>
  <c r="BG357" i="45"/>
  <c r="P373" i="45"/>
  <c r="R359" i="45"/>
  <c r="BI357" i="45"/>
  <c r="R373" i="45"/>
  <c r="L359" i="45"/>
  <c r="BC357" i="45"/>
  <c r="L373" i="45"/>
  <c r="AC359" i="45"/>
  <c r="BT357" i="45"/>
  <c r="AC373" i="45"/>
  <c r="Y375" i="45" l="1"/>
  <c r="BP373" i="45"/>
  <c r="Y389" i="45"/>
  <c r="R375" i="45"/>
  <c r="BI373" i="45"/>
  <c r="R389" i="45"/>
  <c r="O375" i="45"/>
  <c r="BF373" i="45"/>
  <c r="O389" i="45"/>
  <c r="AB375" i="45"/>
  <c r="BS373" i="45"/>
  <c r="AB389" i="45"/>
  <c r="AH375" i="45"/>
  <c r="BY373" i="45"/>
  <c r="AH389" i="45"/>
  <c r="G375" i="45"/>
  <c r="AX373" i="45"/>
  <c r="G389" i="45"/>
  <c r="K375" i="45"/>
  <c r="BB373" i="45"/>
  <c r="K389" i="45"/>
  <c r="Z375" i="45"/>
  <c r="BQ373" i="45"/>
  <c r="Z389" i="45"/>
  <c r="AC375" i="45"/>
  <c r="BT373" i="45"/>
  <c r="AC389" i="45"/>
  <c r="P375" i="45"/>
  <c r="BG373" i="45"/>
  <c r="P389" i="45"/>
  <c r="C391" i="45"/>
  <c r="AT389" i="45"/>
  <c r="C405" i="45"/>
  <c r="L375" i="45"/>
  <c r="BC373" i="45"/>
  <c r="L389" i="45"/>
  <c r="H375" i="45"/>
  <c r="AY373" i="45"/>
  <c r="H389" i="45"/>
  <c r="V375" i="45"/>
  <c r="BM373" i="45"/>
  <c r="V389" i="45"/>
  <c r="U375" i="45"/>
  <c r="BL373" i="45"/>
  <c r="U389" i="45"/>
  <c r="AD375" i="45"/>
  <c r="BU373" i="45"/>
  <c r="AD389" i="45"/>
  <c r="D375" i="45"/>
  <c r="AU373" i="45"/>
  <c r="D389" i="45"/>
  <c r="J375" i="45"/>
  <c r="BA373" i="45"/>
  <c r="J389" i="45"/>
  <c r="AA375" i="45"/>
  <c r="BR373" i="45"/>
  <c r="AA389" i="45"/>
  <c r="E375" i="45"/>
  <c r="AV373" i="45"/>
  <c r="E389" i="45"/>
  <c r="M375" i="45"/>
  <c r="BD373" i="45"/>
  <c r="M389" i="45"/>
  <c r="T375" i="45"/>
  <c r="BK373" i="45"/>
  <c r="T389" i="45"/>
  <c r="X375" i="45"/>
  <c r="BO373" i="45"/>
  <c r="X389" i="45"/>
  <c r="AG375" i="45"/>
  <c r="BX373" i="45"/>
  <c r="AG389" i="45"/>
  <c r="S375" i="45"/>
  <c r="BJ373" i="45"/>
  <c r="S389" i="45"/>
  <c r="I375" i="45"/>
  <c r="AZ373" i="45"/>
  <c r="I389" i="45"/>
  <c r="AF375" i="45"/>
  <c r="BW373" i="45"/>
  <c r="AF389" i="45"/>
  <c r="W375" i="45"/>
  <c r="BN373" i="45"/>
  <c r="W389" i="45"/>
  <c r="Q375" i="45"/>
  <c r="BH373" i="45"/>
  <c r="Q389" i="45"/>
  <c r="AM359" i="45"/>
  <c r="N375" i="45"/>
  <c r="BE373" i="45"/>
  <c r="N389" i="45"/>
  <c r="F375" i="45"/>
  <c r="AW373" i="45"/>
  <c r="F389" i="45"/>
  <c r="AF391" i="45" l="1"/>
  <c r="BW389" i="45"/>
  <c r="AF405" i="45"/>
  <c r="W391" i="45"/>
  <c r="BN389" i="45"/>
  <c r="W405" i="45"/>
  <c r="AG391" i="45"/>
  <c r="BX389" i="45"/>
  <c r="AG405" i="45"/>
  <c r="E391" i="45"/>
  <c r="AV389" i="45"/>
  <c r="E405" i="45"/>
  <c r="AD391" i="45"/>
  <c r="BU389" i="45"/>
  <c r="AD405" i="45"/>
  <c r="L391" i="45"/>
  <c r="BC389" i="45"/>
  <c r="L405" i="45"/>
  <c r="Z391" i="45"/>
  <c r="BQ389" i="45"/>
  <c r="Z405" i="45"/>
  <c r="AB391" i="45"/>
  <c r="BS389" i="45"/>
  <c r="AB405" i="45"/>
  <c r="F391" i="45"/>
  <c r="AW389" i="45"/>
  <c r="F405" i="45"/>
  <c r="N391" i="45"/>
  <c r="BE389" i="45"/>
  <c r="N405" i="45"/>
  <c r="Q391" i="45"/>
  <c r="BH389" i="45"/>
  <c r="Q405" i="45"/>
  <c r="S391" i="45"/>
  <c r="BJ389" i="45"/>
  <c r="S405" i="45"/>
  <c r="M391" i="45"/>
  <c r="BD389" i="45"/>
  <c r="M405" i="45"/>
  <c r="D391" i="45"/>
  <c r="AU389" i="45"/>
  <c r="D405" i="45"/>
  <c r="H391" i="45"/>
  <c r="AY389" i="45"/>
  <c r="H405" i="45"/>
  <c r="AC391" i="45"/>
  <c r="BT389" i="45"/>
  <c r="AC405" i="45"/>
  <c r="AH391" i="45"/>
  <c r="BY389" i="45"/>
  <c r="AH405" i="45"/>
  <c r="Y391" i="45"/>
  <c r="BP389" i="45"/>
  <c r="Y405" i="45"/>
  <c r="I391" i="45"/>
  <c r="AZ389" i="45"/>
  <c r="I405" i="45"/>
  <c r="T391" i="45"/>
  <c r="BK389" i="45"/>
  <c r="T405" i="45"/>
  <c r="J391" i="45"/>
  <c r="BA389" i="45"/>
  <c r="J405" i="45"/>
  <c r="V391" i="45"/>
  <c r="BM389" i="45"/>
  <c r="V405" i="45"/>
  <c r="P391" i="45"/>
  <c r="BG389" i="45"/>
  <c r="P405" i="45"/>
  <c r="G391" i="45"/>
  <c r="AX389" i="45"/>
  <c r="G405" i="45"/>
  <c r="R391" i="45"/>
  <c r="BI389" i="45"/>
  <c r="R405" i="45"/>
  <c r="X391" i="45"/>
  <c r="BO389" i="45"/>
  <c r="X405" i="45"/>
  <c r="AA391" i="45"/>
  <c r="BR389" i="45"/>
  <c r="AA405" i="45"/>
  <c r="AM375" i="45"/>
  <c r="U391" i="45"/>
  <c r="BL389" i="45"/>
  <c r="U405" i="45"/>
  <c r="C407" i="45"/>
  <c r="AT405" i="45"/>
  <c r="K391" i="45"/>
  <c r="BB389" i="45"/>
  <c r="K405" i="45"/>
  <c r="O391" i="45"/>
  <c r="BF389" i="45"/>
  <c r="O405" i="45"/>
  <c r="G407" i="45" l="1"/>
  <c r="AX405" i="45"/>
  <c r="T407" i="45"/>
  <c r="BK405" i="45"/>
  <c r="AC407" i="45"/>
  <c r="BT405" i="45"/>
  <c r="AM391" i="45"/>
  <c r="S407" i="45"/>
  <c r="BJ405" i="45"/>
  <c r="AB407" i="45"/>
  <c r="BS405" i="45"/>
  <c r="E407" i="45"/>
  <c r="AV405" i="45"/>
  <c r="K407" i="45"/>
  <c r="BB405" i="45"/>
  <c r="O407" i="45"/>
  <c r="BF405" i="45"/>
  <c r="U407" i="45"/>
  <c r="BL405" i="45"/>
  <c r="R407" i="45"/>
  <c r="BI405" i="45"/>
  <c r="J407" i="45"/>
  <c r="BA405" i="45"/>
  <c r="AH407" i="45"/>
  <c r="BY405" i="45"/>
  <c r="M407" i="45"/>
  <c r="BD405" i="45"/>
  <c r="F407" i="45"/>
  <c r="AW405" i="45"/>
  <c r="AD407" i="45"/>
  <c r="BU405" i="45"/>
  <c r="AF407" i="45"/>
  <c r="BW405" i="45"/>
  <c r="X407" i="45"/>
  <c r="BO405" i="45"/>
  <c r="V407" i="45"/>
  <c r="BM405" i="45"/>
  <c r="Y407" i="45"/>
  <c r="BP405" i="45"/>
  <c r="D407" i="45"/>
  <c r="AU405" i="45"/>
  <c r="N407" i="45"/>
  <c r="BE405" i="45"/>
  <c r="L407" i="45"/>
  <c r="BC405" i="45"/>
  <c r="W407" i="45"/>
  <c r="BN405" i="45"/>
  <c r="AA407" i="45"/>
  <c r="BR405" i="45"/>
  <c r="P407" i="45"/>
  <c r="BG405" i="45"/>
  <c r="I407" i="45"/>
  <c r="AZ405" i="45"/>
  <c r="H407" i="45"/>
  <c r="AY405" i="45"/>
  <c r="Q407" i="45"/>
  <c r="BH405" i="45"/>
  <c r="Z407" i="45"/>
  <c r="BQ405" i="45"/>
  <c r="AG407" i="45"/>
  <c r="BX405" i="45"/>
  <c r="AM407" i="45" l="1"/>
</calcChain>
</file>

<file path=xl/sharedStrings.xml><?xml version="1.0" encoding="utf-8"?>
<sst xmlns="http://schemas.openxmlformats.org/spreadsheetml/2006/main" count="1274" uniqueCount="635">
  <si>
    <t>Size Ratio</t>
  </si>
  <si>
    <t>Layers</t>
    <phoneticPr fontId="3" type="noConversion"/>
  </si>
  <si>
    <t>Total</t>
    <phoneticPr fontId="3" type="noConversion"/>
  </si>
  <si>
    <t>码</t>
    <phoneticPr fontId="3" type="noConversion"/>
  </si>
  <si>
    <t>来料</t>
    <phoneticPr fontId="3" type="noConversion"/>
  </si>
  <si>
    <t>改版后</t>
    <phoneticPr fontId="3" type="noConversion"/>
  </si>
  <si>
    <t>总码数</t>
    <phoneticPr fontId="3" type="noConversion"/>
  </si>
  <si>
    <t>ST：</t>
    <phoneticPr fontId="3" type="noConversion"/>
  </si>
  <si>
    <t>布种：</t>
    <phoneticPr fontId="3" type="noConversion"/>
  </si>
  <si>
    <t>DATE:</t>
    <phoneticPr fontId="3" type="noConversion"/>
  </si>
  <si>
    <t>尺码（SIZE)</t>
    <phoneticPr fontId="3" type="noConversion"/>
  </si>
  <si>
    <t>件数</t>
    <phoneticPr fontId="3" type="noConversion"/>
  </si>
  <si>
    <t>码  长</t>
    <phoneticPr fontId="3" type="noConversion"/>
  </si>
  <si>
    <t>英寸</t>
    <phoneticPr fontId="3" type="noConversion"/>
  </si>
  <si>
    <t>码</t>
  </si>
  <si>
    <t>英寸</t>
  </si>
  <si>
    <t>米</t>
  </si>
  <si>
    <t>公分</t>
  </si>
  <si>
    <t>SP:</t>
    <phoneticPr fontId="3" type="noConversion"/>
  </si>
  <si>
    <t>混 码 马 克 计 算 表</t>
    <phoneticPr fontId="3" type="noConversion"/>
  </si>
  <si>
    <t>Mk
Name</t>
    <phoneticPr fontId="3" type="noConversion"/>
  </si>
  <si>
    <t>M-01</t>
    <phoneticPr fontId="3" type="noConversion"/>
  </si>
  <si>
    <t>M-02</t>
  </si>
  <si>
    <t>M-03</t>
  </si>
  <si>
    <t>M-04</t>
  </si>
  <si>
    <t>M-05</t>
  </si>
  <si>
    <t>M-06</t>
  </si>
  <si>
    <t>M-07</t>
  </si>
  <si>
    <t>M-08</t>
  </si>
  <si>
    <t>布种:</t>
    <phoneticPr fontId="3" type="noConversion"/>
  </si>
  <si>
    <t>Color:</t>
    <phoneticPr fontId="3" type="noConversion"/>
  </si>
  <si>
    <t>尺码（SIZE)</t>
  </si>
  <si>
    <t>M-06</t>
    <phoneticPr fontId="3" type="noConversion"/>
  </si>
  <si>
    <t>另改版用量</t>
    <phoneticPr fontId="3" type="noConversion"/>
  </si>
  <si>
    <t>Layers</t>
  </si>
  <si>
    <t>另改版用量</t>
  </si>
  <si>
    <t>Pattern
Panel</t>
  </si>
  <si>
    <t>ST：</t>
    <phoneticPr fontId="0" type="noConversion"/>
  </si>
  <si>
    <t>Mk Name</t>
  </si>
  <si>
    <t>Protec code</t>
  </si>
  <si>
    <t>M 01</t>
  </si>
  <si>
    <t>M 02</t>
  </si>
  <si>
    <t>M 03</t>
  </si>
  <si>
    <t>M 04</t>
  </si>
  <si>
    <t>M 05</t>
  </si>
  <si>
    <t>M 06</t>
  </si>
  <si>
    <t>M 07</t>
  </si>
  <si>
    <t>M 08</t>
  </si>
  <si>
    <t>M 09</t>
  </si>
  <si>
    <t>M 10</t>
  </si>
  <si>
    <t>M 11</t>
  </si>
  <si>
    <t>M 12</t>
  </si>
  <si>
    <t>M 13</t>
  </si>
  <si>
    <t>M 14</t>
  </si>
  <si>
    <t>M 15</t>
  </si>
  <si>
    <t>M 16</t>
  </si>
  <si>
    <t>M 17</t>
  </si>
  <si>
    <t>M 18</t>
  </si>
  <si>
    <t>M 19</t>
  </si>
  <si>
    <t>M 20</t>
  </si>
  <si>
    <t>M 21</t>
  </si>
  <si>
    <t>M 22</t>
  </si>
  <si>
    <t>M 23</t>
  </si>
  <si>
    <t>M 24</t>
  </si>
  <si>
    <t>M 25</t>
  </si>
  <si>
    <t>M 26</t>
  </si>
  <si>
    <t>M 27</t>
  </si>
  <si>
    <t>M 28</t>
  </si>
  <si>
    <t>M 29</t>
  </si>
  <si>
    <t>M 30</t>
  </si>
  <si>
    <t>M 31</t>
  </si>
  <si>
    <t>M 32</t>
  </si>
  <si>
    <t>M 33</t>
  </si>
  <si>
    <t>M 34</t>
  </si>
  <si>
    <t>M 35</t>
  </si>
  <si>
    <t>M 36</t>
  </si>
  <si>
    <t>M 37</t>
  </si>
  <si>
    <t>M 38</t>
  </si>
  <si>
    <t>M 39</t>
  </si>
  <si>
    <t>M 40</t>
  </si>
  <si>
    <t>M 41</t>
  </si>
  <si>
    <t>M 42</t>
  </si>
  <si>
    <t>M 43</t>
  </si>
  <si>
    <t>M 44</t>
  </si>
  <si>
    <t>M 45</t>
  </si>
  <si>
    <t>M 46</t>
  </si>
  <si>
    <t>M 47</t>
  </si>
  <si>
    <t>M 48</t>
  </si>
  <si>
    <t>M 49</t>
  </si>
  <si>
    <t>M 50</t>
  </si>
  <si>
    <t>M 51</t>
  </si>
  <si>
    <t>M 52</t>
  </si>
  <si>
    <t>M 53</t>
  </si>
  <si>
    <t>M 54</t>
  </si>
  <si>
    <t>M 55</t>
  </si>
  <si>
    <t>M 56</t>
  </si>
  <si>
    <t>M 57</t>
  </si>
  <si>
    <t>M 58</t>
  </si>
  <si>
    <t>M 59</t>
  </si>
  <si>
    <t>M 60</t>
  </si>
  <si>
    <t>M 61</t>
  </si>
  <si>
    <t>M 62</t>
  </si>
  <si>
    <t>M 63</t>
  </si>
  <si>
    <t>M 64</t>
  </si>
  <si>
    <t>M 65</t>
  </si>
  <si>
    <t>M 66</t>
  </si>
  <si>
    <t>M 67</t>
  </si>
  <si>
    <t>M 68</t>
  </si>
  <si>
    <t>M 69</t>
  </si>
  <si>
    <t>M 70</t>
  </si>
  <si>
    <t>M 71</t>
  </si>
  <si>
    <t>M 72</t>
  </si>
  <si>
    <t>M 73</t>
  </si>
  <si>
    <t>M 74</t>
  </si>
  <si>
    <t>M 75</t>
  </si>
  <si>
    <t>M 76</t>
  </si>
  <si>
    <t>M 77</t>
  </si>
  <si>
    <t>M 78</t>
  </si>
  <si>
    <t>M 79</t>
  </si>
  <si>
    <t>M 80</t>
  </si>
  <si>
    <t>M 81</t>
  </si>
  <si>
    <t>M 82</t>
  </si>
  <si>
    <t>M 83</t>
  </si>
  <si>
    <t>M 84</t>
  </si>
  <si>
    <t>M 85</t>
  </si>
  <si>
    <t>M 86</t>
  </si>
  <si>
    <t>M 87</t>
  </si>
  <si>
    <t>M 88</t>
  </si>
  <si>
    <t>M 89</t>
  </si>
  <si>
    <t>M 90</t>
  </si>
  <si>
    <t>M 91</t>
  </si>
  <si>
    <t>M 92</t>
  </si>
  <si>
    <t>M 93</t>
  </si>
  <si>
    <t>M 94</t>
  </si>
  <si>
    <t>M 95</t>
  </si>
  <si>
    <t>M 96</t>
  </si>
  <si>
    <t>M 97</t>
  </si>
  <si>
    <t>M 98</t>
  </si>
  <si>
    <t>M 99</t>
  </si>
  <si>
    <t>M 100</t>
  </si>
  <si>
    <t>M 101</t>
  </si>
  <si>
    <t>M 102</t>
  </si>
  <si>
    <t>M 103</t>
  </si>
  <si>
    <t>M 104</t>
  </si>
  <si>
    <t>M 105</t>
  </si>
  <si>
    <t>M 106</t>
  </si>
  <si>
    <t>M 107</t>
  </si>
  <si>
    <t>M 108</t>
  </si>
  <si>
    <t>M 109</t>
  </si>
  <si>
    <t>M 110</t>
  </si>
  <si>
    <t>M 111</t>
  </si>
  <si>
    <t>M 112</t>
  </si>
  <si>
    <t>M 113</t>
  </si>
  <si>
    <t>M 114</t>
  </si>
  <si>
    <t>M 115</t>
  </si>
  <si>
    <t>M 116</t>
  </si>
  <si>
    <t>M 117</t>
  </si>
  <si>
    <t>M 118</t>
  </si>
  <si>
    <t>M 119</t>
  </si>
  <si>
    <t>M 120</t>
  </si>
  <si>
    <t>M 121</t>
  </si>
  <si>
    <t>M 122</t>
  </si>
  <si>
    <t>M 123</t>
  </si>
  <si>
    <t>M 124</t>
  </si>
  <si>
    <t>M 125</t>
  </si>
  <si>
    <t>M 126</t>
  </si>
  <si>
    <t>M 127</t>
  </si>
  <si>
    <t>M 128</t>
  </si>
  <si>
    <t>M 129</t>
  </si>
  <si>
    <t>M 130</t>
  </si>
  <si>
    <t>M 131</t>
  </si>
  <si>
    <t>M 132</t>
  </si>
  <si>
    <t>M 133</t>
  </si>
  <si>
    <t>M 134</t>
  </si>
  <si>
    <t>M 135</t>
  </si>
  <si>
    <t>M 136</t>
  </si>
  <si>
    <t>M 137</t>
  </si>
  <si>
    <t>M 138</t>
  </si>
  <si>
    <t>M 139</t>
  </si>
  <si>
    <t>M 140</t>
  </si>
  <si>
    <t>M 141</t>
  </si>
  <si>
    <t>M 142</t>
  </si>
  <si>
    <t>M 143</t>
  </si>
  <si>
    <t>M 144</t>
  </si>
  <si>
    <t>M 145</t>
  </si>
  <si>
    <t>M 146</t>
  </si>
  <si>
    <t>M 147</t>
  </si>
  <si>
    <t>M 148</t>
  </si>
  <si>
    <t>M 149</t>
  </si>
  <si>
    <t>M 150</t>
  </si>
  <si>
    <t>M 151</t>
  </si>
  <si>
    <t>M 152</t>
  </si>
  <si>
    <t>M 153</t>
  </si>
  <si>
    <t>M 154</t>
  </si>
  <si>
    <t>M 155</t>
  </si>
  <si>
    <t>M 156</t>
  </si>
  <si>
    <t>M 157</t>
  </si>
  <si>
    <t>M 158</t>
  </si>
  <si>
    <t>M 159</t>
  </si>
  <si>
    <t>M 160</t>
  </si>
  <si>
    <t>M 161</t>
  </si>
  <si>
    <t>M 162</t>
  </si>
  <si>
    <t>M 163</t>
  </si>
  <si>
    <t>M 164</t>
  </si>
  <si>
    <t>M 165</t>
  </si>
  <si>
    <t>M 166</t>
  </si>
  <si>
    <t>M 167</t>
  </si>
  <si>
    <t>M 168</t>
  </si>
  <si>
    <t>M 169</t>
  </si>
  <si>
    <t>M 170</t>
  </si>
  <si>
    <t>M 171</t>
  </si>
  <si>
    <t>M 172</t>
  </si>
  <si>
    <t>M 173</t>
  </si>
  <si>
    <t>M 174</t>
  </si>
  <si>
    <t>M 175</t>
  </si>
  <si>
    <t>M 176</t>
  </si>
  <si>
    <t>M 177</t>
  </si>
  <si>
    <t>M 178</t>
  </si>
  <si>
    <t>M 179</t>
  </si>
  <si>
    <t>M 180</t>
  </si>
  <si>
    <t>M 181</t>
  </si>
  <si>
    <t>M 182</t>
  </si>
  <si>
    <t>M 183</t>
  </si>
  <si>
    <t>M 184</t>
  </si>
  <si>
    <t>M 185</t>
  </si>
  <si>
    <t>M 186</t>
  </si>
  <si>
    <t>M 187</t>
  </si>
  <si>
    <t>M 188</t>
  </si>
  <si>
    <t>M 189</t>
  </si>
  <si>
    <t>M 190</t>
  </si>
  <si>
    <t>M 191</t>
  </si>
  <si>
    <t>M 192</t>
  </si>
  <si>
    <t>M 193</t>
  </si>
  <si>
    <t>M 194</t>
  </si>
  <si>
    <t>M 195</t>
  </si>
  <si>
    <t>M 196</t>
  </si>
  <si>
    <t>M 197</t>
  </si>
  <si>
    <t>M 198</t>
  </si>
  <si>
    <t>M 199</t>
  </si>
  <si>
    <t>M 200</t>
  </si>
  <si>
    <t>M 201</t>
  </si>
  <si>
    <t>M 202</t>
  </si>
  <si>
    <t>M 203</t>
  </si>
  <si>
    <t>M 204</t>
  </si>
  <si>
    <t>M 205</t>
  </si>
  <si>
    <t>M 206</t>
  </si>
  <si>
    <t>M 207</t>
  </si>
  <si>
    <t>M 208</t>
  </si>
  <si>
    <t>M 209</t>
  </si>
  <si>
    <t>M 210</t>
  </si>
  <si>
    <t>M 211</t>
  </si>
  <si>
    <t>M 212</t>
  </si>
  <si>
    <t>M 213</t>
  </si>
  <si>
    <t>M 214</t>
  </si>
  <si>
    <t>M 215</t>
  </si>
  <si>
    <t>M 216</t>
  </si>
  <si>
    <t>M 217</t>
  </si>
  <si>
    <t>M 218</t>
  </si>
  <si>
    <t>M 219</t>
  </si>
  <si>
    <t>M 220</t>
  </si>
  <si>
    <t>M 221</t>
  </si>
  <si>
    <t>M 222</t>
  </si>
  <si>
    <t>M 223</t>
  </si>
  <si>
    <t>M 224</t>
  </si>
  <si>
    <t>M 225</t>
  </si>
  <si>
    <t>M 226</t>
  </si>
  <si>
    <t>M 227</t>
  </si>
  <si>
    <t>M 228</t>
  </si>
  <si>
    <t>M 229</t>
  </si>
  <si>
    <t>M 230</t>
  </si>
  <si>
    <t>M 231</t>
  </si>
  <si>
    <t>M 232</t>
  </si>
  <si>
    <t>M 233</t>
  </si>
  <si>
    <t>M 234</t>
  </si>
  <si>
    <t>M 235</t>
  </si>
  <si>
    <t>M 236</t>
  </si>
  <si>
    <t>M 237</t>
  </si>
  <si>
    <t>M 238</t>
  </si>
  <si>
    <t>M 239</t>
  </si>
  <si>
    <t>M 240</t>
  </si>
  <si>
    <t>M 241</t>
  </si>
  <si>
    <t>M 242</t>
  </si>
  <si>
    <t>M 243</t>
  </si>
  <si>
    <t>M 244</t>
  </si>
  <si>
    <t>M 245</t>
  </si>
  <si>
    <t>M 246</t>
  </si>
  <si>
    <t>M 247</t>
  </si>
  <si>
    <t>M 248</t>
  </si>
  <si>
    <t>M 249</t>
  </si>
  <si>
    <t>M 250</t>
  </si>
  <si>
    <t>M 251</t>
  </si>
  <si>
    <t>M 252</t>
  </si>
  <si>
    <t>M 253</t>
  </si>
  <si>
    <t>M 254</t>
  </si>
  <si>
    <t>M 255</t>
  </si>
  <si>
    <t>M 256</t>
  </si>
  <si>
    <t>M 257</t>
  </si>
  <si>
    <t>M 258</t>
  </si>
  <si>
    <t>M 259</t>
  </si>
  <si>
    <t>M 260</t>
  </si>
  <si>
    <t>M 261</t>
  </si>
  <si>
    <t>M 262</t>
  </si>
  <si>
    <t>M 263</t>
  </si>
  <si>
    <t>M 264</t>
  </si>
  <si>
    <t>M 265</t>
  </si>
  <si>
    <t>M 266</t>
  </si>
  <si>
    <t>M 267</t>
  </si>
  <si>
    <t>M 268</t>
  </si>
  <si>
    <t>M 269</t>
  </si>
  <si>
    <t>M 270</t>
  </si>
  <si>
    <t>M 271</t>
  </si>
  <si>
    <t>M 272</t>
  </si>
  <si>
    <t>M 273</t>
  </si>
  <si>
    <t>M 274</t>
  </si>
  <si>
    <t>M 275</t>
  </si>
  <si>
    <t>M 276</t>
  </si>
  <si>
    <t>M 277</t>
  </si>
  <si>
    <t>M 278</t>
  </si>
  <si>
    <t>M 279</t>
  </si>
  <si>
    <t>M 280</t>
  </si>
  <si>
    <t>M 281</t>
  </si>
  <si>
    <t>M 282</t>
  </si>
  <si>
    <t>M 283</t>
  </si>
  <si>
    <t>M 284</t>
  </si>
  <si>
    <t>M 285</t>
  </si>
  <si>
    <t>M 286</t>
  </si>
  <si>
    <t>M 287</t>
  </si>
  <si>
    <t>M 288</t>
  </si>
  <si>
    <t>M 289</t>
  </si>
  <si>
    <t>M 290</t>
  </si>
  <si>
    <t>M 291</t>
  </si>
  <si>
    <t>M 292</t>
  </si>
  <si>
    <t>M 293</t>
  </si>
  <si>
    <t>M 294</t>
  </si>
  <si>
    <t>M 295</t>
  </si>
  <si>
    <t>M 296</t>
  </si>
  <si>
    <t>M 297</t>
  </si>
  <si>
    <t>M 298</t>
  </si>
  <si>
    <t>M 299</t>
  </si>
  <si>
    <t>M 300</t>
  </si>
  <si>
    <t>M 301</t>
  </si>
  <si>
    <t>M 302</t>
  </si>
  <si>
    <t>M 303</t>
  </si>
  <si>
    <t>M 304</t>
  </si>
  <si>
    <t>M 305</t>
  </si>
  <si>
    <t>M 306</t>
  </si>
  <si>
    <t>M 307</t>
  </si>
  <si>
    <t>M 308</t>
  </si>
  <si>
    <t>M 309</t>
  </si>
  <si>
    <t>M 310</t>
  </si>
  <si>
    <t>M 311</t>
  </si>
  <si>
    <t>M 312</t>
  </si>
  <si>
    <t>M 313</t>
  </si>
  <si>
    <t>M 314</t>
  </si>
  <si>
    <t>M 315</t>
  </si>
  <si>
    <t>M 316</t>
  </si>
  <si>
    <t>M 317</t>
  </si>
  <si>
    <t>M 318</t>
  </si>
  <si>
    <t>M 319</t>
  </si>
  <si>
    <t>M 320</t>
  </si>
  <si>
    <t>M 321</t>
  </si>
  <si>
    <t>M 322</t>
  </si>
  <si>
    <t>M 323</t>
  </si>
  <si>
    <t>M 324</t>
  </si>
  <si>
    <t>M 325</t>
  </si>
  <si>
    <t>M 326</t>
  </si>
  <si>
    <t>M 327</t>
  </si>
  <si>
    <t>M 328</t>
  </si>
  <si>
    <t>M 329</t>
  </si>
  <si>
    <t>M 330</t>
  </si>
  <si>
    <t>M 331</t>
  </si>
  <si>
    <t>M 332</t>
  </si>
  <si>
    <t>M 333</t>
  </si>
  <si>
    <t>M 334</t>
  </si>
  <si>
    <t>M 335</t>
  </si>
  <si>
    <t>M 336</t>
  </si>
  <si>
    <t>M 337</t>
  </si>
  <si>
    <t>M 338</t>
  </si>
  <si>
    <t>M 339</t>
  </si>
  <si>
    <t>M 340</t>
  </si>
  <si>
    <t>M 341</t>
  </si>
  <si>
    <t>M 342</t>
  </si>
  <si>
    <t>M 343</t>
  </si>
  <si>
    <t>M 344</t>
  </si>
  <si>
    <t>M 345</t>
  </si>
  <si>
    <t>M 346</t>
  </si>
  <si>
    <t>M 347</t>
  </si>
  <si>
    <t>M 348</t>
  </si>
  <si>
    <t>M 349</t>
  </si>
  <si>
    <t>M 350</t>
  </si>
  <si>
    <t>M 351</t>
  </si>
  <si>
    <t>M 352</t>
  </si>
  <si>
    <t>M 353</t>
  </si>
  <si>
    <t>M 354</t>
  </si>
  <si>
    <t>M 355</t>
  </si>
  <si>
    <t>M 356</t>
  </si>
  <si>
    <t>M 357</t>
  </si>
  <si>
    <t>M 358</t>
  </si>
  <si>
    <t>M 359</t>
  </si>
  <si>
    <t>M 360</t>
  </si>
  <si>
    <t>M 361</t>
  </si>
  <si>
    <t>M 362</t>
  </si>
  <si>
    <t>M 363</t>
  </si>
  <si>
    <t>M 364</t>
  </si>
  <si>
    <t>M 365</t>
  </si>
  <si>
    <t>M 366</t>
  </si>
  <si>
    <t>M 367</t>
  </si>
  <si>
    <t>M 368</t>
  </si>
  <si>
    <t>M 369</t>
  </si>
  <si>
    <t>M 370</t>
  </si>
  <si>
    <t>M 371</t>
  </si>
  <si>
    <t>M 372</t>
  </si>
  <si>
    <t>M 373</t>
  </si>
  <si>
    <t>M 374</t>
  </si>
  <si>
    <t>M 375</t>
  </si>
  <si>
    <t>M 376</t>
  </si>
  <si>
    <t>M 377</t>
  </si>
  <si>
    <t>M 378</t>
  </si>
  <si>
    <t>M 379</t>
  </si>
  <si>
    <t>M 380</t>
  </si>
  <si>
    <t>M 381</t>
  </si>
  <si>
    <t>M 382</t>
  </si>
  <si>
    <t>M 383</t>
  </si>
  <si>
    <t>M 384</t>
  </si>
  <si>
    <t>M 385</t>
  </si>
  <si>
    <t>M 386</t>
  </si>
  <si>
    <t>M 387</t>
  </si>
  <si>
    <t>M 388</t>
  </si>
  <si>
    <t>M 389</t>
  </si>
  <si>
    <t>M 390</t>
  </si>
  <si>
    <t>M 391</t>
  </si>
  <si>
    <t>M 392</t>
  </si>
  <si>
    <t>M 393</t>
  </si>
  <si>
    <t>M 394</t>
  </si>
  <si>
    <t>M 395</t>
  </si>
  <si>
    <t>M 396</t>
  </si>
  <si>
    <t>M 397</t>
  </si>
  <si>
    <t>M 398</t>
  </si>
  <si>
    <t>M 399</t>
  </si>
  <si>
    <t>M 400</t>
  </si>
  <si>
    <t>M 401</t>
  </si>
  <si>
    <t>M 402</t>
  </si>
  <si>
    <t>M 403</t>
  </si>
  <si>
    <t>M 404</t>
  </si>
  <si>
    <t>M 405</t>
  </si>
  <si>
    <t>M 406</t>
  </si>
  <si>
    <t>M 407</t>
  </si>
  <si>
    <t>M 408</t>
  </si>
  <si>
    <t>M 409</t>
  </si>
  <si>
    <t>M 410</t>
  </si>
  <si>
    <t>M 411</t>
  </si>
  <si>
    <t>M 412</t>
  </si>
  <si>
    <t>M 413</t>
  </si>
  <si>
    <t>M 414</t>
  </si>
  <si>
    <t>M 415</t>
  </si>
  <si>
    <t>M 416</t>
  </si>
  <si>
    <t>M 417</t>
  </si>
  <si>
    <t>M 418</t>
  </si>
  <si>
    <t>M 419</t>
  </si>
  <si>
    <t>M 420</t>
  </si>
  <si>
    <t>M 421</t>
  </si>
  <si>
    <t>M 422</t>
  </si>
  <si>
    <t>M 423</t>
  </si>
  <si>
    <t>M 424</t>
  </si>
  <si>
    <t>M 425</t>
  </si>
  <si>
    <t>M 426</t>
  </si>
  <si>
    <t>M 427</t>
  </si>
  <si>
    <t>M 428</t>
  </si>
  <si>
    <t>M 429</t>
  </si>
  <si>
    <t>M 430</t>
  </si>
  <si>
    <t>M 431</t>
  </si>
  <si>
    <t>M 432</t>
  </si>
  <si>
    <t>M 433</t>
  </si>
  <si>
    <t>M 434</t>
  </si>
  <si>
    <t>M 435</t>
  </si>
  <si>
    <t>M 436</t>
  </si>
  <si>
    <t>M 437</t>
  </si>
  <si>
    <t>M 438</t>
  </si>
  <si>
    <t>M 439</t>
  </si>
  <si>
    <t>M 440</t>
  </si>
  <si>
    <t>M 441</t>
  </si>
  <si>
    <t>M 442</t>
  </si>
  <si>
    <t>M 443</t>
  </si>
  <si>
    <t>M 444</t>
  </si>
  <si>
    <t>M 445</t>
  </si>
  <si>
    <t>M 446</t>
  </si>
  <si>
    <t>M 447</t>
  </si>
  <si>
    <t>M 448</t>
  </si>
  <si>
    <t>M 449</t>
  </si>
  <si>
    <t>M 450</t>
  </si>
  <si>
    <t>M 451</t>
  </si>
  <si>
    <t>M 452</t>
  </si>
  <si>
    <t>M 453</t>
  </si>
  <si>
    <t>M 454</t>
  </si>
  <si>
    <t>M 455</t>
  </si>
  <si>
    <t>M 456</t>
  </si>
  <si>
    <t>M 457</t>
  </si>
  <si>
    <t>M 458</t>
  </si>
  <si>
    <t>M 459</t>
  </si>
  <si>
    <t>M 460</t>
  </si>
  <si>
    <t>M 461</t>
  </si>
  <si>
    <t>M 462</t>
  </si>
  <si>
    <t>M 463</t>
  </si>
  <si>
    <t>M 464</t>
  </si>
  <si>
    <t>M 465</t>
  </si>
  <si>
    <t>M 466</t>
  </si>
  <si>
    <t>M 467</t>
  </si>
  <si>
    <t>M 468</t>
  </si>
  <si>
    <t>M 469</t>
  </si>
  <si>
    <t>M 470</t>
  </si>
  <si>
    <t>M 471</t>
  </si>
  <si>
    <t>M 472</t>
  </si>
  <si>
    <t>M 473</t>
  </si>
  <si>
    <t>M 474</t>
  </si>
  <si>
    <t>M 475</t>
  </si>
  <si>
    <t>M 476</t>
  </si>
  <si>
    <t>M 477</t>
  </si>
  <si>
    <t>M 478</t>
  </si>
  <si>
    <t>M 479</t>
  </si>
  <si>
    <t>M 480</t>
  </si>
  <si>
    <t>M 481</t>
  </si>
  <si>
    <t>M 482</t>
  </si>
  <si>
    <t>M 483</t>
  </si>
  <si>
    <t>M 484</t>
  </si>
  <si>
    <t>M 485</t>
  </si>
  <si>
    <t>M 486</t>
  </si>
  <si>
    <t>M 487</t>
  </si>
  <si>
    <t>M 488</t>
  </si>
  <si>
    <t>M 489</t>
  </si>
  <si>
    <t>M 490</t>
  </si>
  <si>
    <t>M 491</t>
  </si>
  <si>
    <t>M 492</t>
  </si>
  <si>
    <t>M 493</t>
  </si>
  <si>
    <t>M 494</t>
  </si>
  <si>
    <t>M 495</t>
  </si>
  <si>
    <t>M 496</t>
  </si>
  <si>
    <t>M 497</t>
  </si>
  <si>
    <t>M 498</t>
  </si>
  <si>
    <t>M 499</t>
  </si>
  <si>
    <t>M 500</t>
  </si>
  <si>
    <t>M 501</t>
  </si>
  <si>
    <t>M 502</t>
  </si>
  <si>
    <t>M 503</t>
  </si>
  <si>
    <t>M 504</t>
  </si>
  <si>
    <t>M 505</t>
  </si>
  <si>
    <t>M 506</t>
  </si>
  <si>
    <t>M 507</t>
  </si>
  <si>
    <t>M 508</t>
  </si>
  <si>
    <t>M 509</t>
  </si>
  <si>
    <t>M 510</t>
  </si>
  <si>
    <t>M 511</t>
  </si>
  <si>
    <t>M 512</t>
  </si>
  <si>
    <t>M 513</t>
  </si>
  <si>
    <t>M 514</t>
  </si>
  <si>
    <t>M 515</t>
  </si>
  <si>
    <t>M 516</t>
  </si>
  <si>
    <t>M 517</t>
  </si>
  <si>
    <t>M 518</t>
  </si>
  <si>
    <t>M 519</t>
  </si>
  <si>
    <t>M 520</t>
  </si>
  <si>
    <t>M 521</t>
  </si>
  <si>
    <t>M 522</t>
  </si>
  <si>
    <t>M 523</t>
  </si>
  <si>
    <t>M 524</t>
  </si>
  <si>
    <t>M 525</t>
  </si>
  <si>
    <t>M 526</t>
  </si>
  <si>
    <t>M 527</t>
  </si>
  <si>
    <t>M 528</t>
  </si>
  <si>
    <t>M 529</t>
  </si>
  <si>
    <t>M 530</t>
  </si>
  <si>
    <t>M 531</t>
  </si>
  <si>
    <t>M 532</t>
  </si>
  <si>
    <t>M 533</t>
  </si>
  <si>
    <t>M 534</t>
  </si>
  <si>
    <t>M 535</t>
  </si>
  <si>
    <t>M 536</t>
  </si>
  <si>
    <t>M 537</t>
  </si>
  <si>
    <t>M 538</t>
  </si>
  <si>
    <t>M 539</t>
  </si>
  <si>
    <t>M 540</t>
  </si>
  <si>
    <t>M 541</t>
  </si>
  <si>
    <t>M 542</t>
  </si>
  <si>
    <t>M 543</t>
  </si>
  <si>
    <t>M 544</t>
  </si>
  <si>
    <t>M 545</t>
  </si>
  <si>
    <t>M 546</t>
  </si>
  <si>
    <t>M 547</t>
  </si>
  <si>
    <t>M 548</t>
  </si>
  <si>
    <t>M 549</t>
  </si>
  <si>
    <t>M 550</t>
  </si>
  <si>
    <t>M 551</t>
  </si>
  <si>
    <t>M 552</t>
  </si>
  <si>
    <t>M 553</t>
  </si>
  <si>
    <t>M 554</t>
  </si>
  <si>
    <t>M 555</t>
  </si>
  <si>
    <t>M 556</t>
  </si>
  <si>
    <t>M 557</t>
  </si>
  <si>
    <t>M 558</t>
  </si>
  <si>
    <t>M 559</t>
  </si>
  <si>
    <t>M 560</t>
  </si>
  <si>
    <t>M 561</t>
  </si>
  <si>
    <t>M 562</t>
  </si>
  <si>
    <t>CODE</t>
  </si>
  <si>
    <t>MK</t>
  </si>
  <si>
    <t>24031124EE</t>
  </si>
  <si>
    <t>S2106GHTT204N</t>
  </si>
  <si>
    <t>FA</t>
  </si>
  <si>
    <t>FB</t>
    <phoneticPr fontId="40" type="noConversion"/>
  </si>
  <si>
    <t>FA+FB</t>
    <phoneticPr fontId="40" type="noConversion"/>
  </si>
  <si>
    <t>Mix Marker Calculation Sheet</t>
    <phoneticPr fontId="3" type="noConversion"/>
  </si>
  <si>
    <t>SIZE</t>
    <phoneticPr fontId="3" type="noConversion"/>
  </si>
  <si>
    <t>No.</t>
    <phoneticPr fontId="40" type="noConversion"/>
  </si>
  <si>
    <t>Ori. Cons.</t>
    <phoneticPr fontId="3" type="noConversion"/>
  </si>
  <si>
    <t>Aft. Cons.</t>
    <phoneticPr fontId="3" type="noConversion"/>
  </si>
  <si>
    <t>Qty.</t>
    <phoneticPr fontId="3" type="noConversion"/>
  </si>
  <si>
    <t>Marker Length</t>
    <phoneticPr fontId="3" type="noConversion"/>
  </si>
  <si>
    <t>Total Yards</t>
    <phoneticPr fontId="3" type="noConversion"/>
  </si>
  <si>
    <t>Yard</t>
    <phoneticPr fontId="3" type="noConversion"/>
  </si>
  <si>
    <t>Inch</t>
    <phoneticPr fontId="3" type="noConversion"/>
  </si>
  <si>
    <t>Ttl. Qty.</t>
    <phoneticPr fontId="40" type="noConversion"/>
  </si>
  <si>
    <t>Add. Revised Cons.</t>
    <phoneticPr fontId="40" type="noConversion"/>
  </si>
  <si>
    <t>Remaining Qty.</t>
    <phoneticPr fontId="40" type="noConversion"/>
  </si>
  <si>
    <t>Panel Code:</t>
    <phoneticPr fontId="40" type="noConversion"/>
  </si>
  <si>
    <t>Total Qty.</t>
    <phoneticPr fontId="3" type="noConversion"/>
  </si>
  <si>
    <t>Pattern Panel
(Fabric Combo)</t>
    <phoneticPr fontId="40" type="noConversion"/>
  </si>
  <si>
    <t>A</t>
    <phoneticPr fontId="40" type="noConversion"/>
  </si>
  <si>
    <t>Black</t>
    <phoneticPr fontId="40" type="noConversion"/>
  </si>
  <si>
    <t>Ttl. Cons.</t>
    <phoneticPr fontId="40" type="noConversion"/>
  </si>
  <si>
    <t>Need Layers</t>
    <phoneticPr fontId="40" type="noConversion"/>
  </si>
  <si>
    <t>SEQ</t>
    <phoneticPr fontId="40" type="noConversion"/>
  </si>
  <si>
    <t>s</t>
    <phoneticPr fontId="40" type="noConversion"/>
  </si>
  <si>
    <t>24LL1488NN</t>
    <phoneticPr fontId="40" type="noConversion"/>
  </si>
  <si>
    <t>SEQ</t>
    <phoneticPr fontId="40" type="noConversion"/>
  </si>
  <si>
    <t>01-02</t>
    <phoneticPr fontId="40" type="noConversion"/>
  </si>
  <si>
    <t>Pattern No. (Marker)</t>
    <phoneticPr fontId="4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</si>
</sst>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76" formatCode="_ * #,##0.00_ ;_ * \-#,##0.00_ ;_ * &quot;-&quot;??_ ;_ @_ "/>
    <numFmt numFmtId="177" formatCode="0.0000;[Red]0.0000"/>
    <numFmt numFmtId="178" formatCode="0.000_ "/>
    <numFmt numFmtId="179" formatCode="[$EUR]\ #,##0.00;[Red][$EUR]\ #,##0.00"/>
    <numFmt numFmtId="180" formatCode="#,##0.000"/>
    <numFmt numFmtId="181" formatCode="&quot;MK-&quot;###"/>
    <numFmt numFmtId="182" formatCode="m&quot;月&quot;d&quot;日&quot;"/>
  </numFmts>
  <fonts count="44">
    <font>
      <sz val="12"/>
      <name val="宋体"/>
      <charset val="134"/>
    </font>
    <font>
      <sz val="11"/>
      <color theme="1"/>
      <name val="新細明體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u/>
      <sz val="12"/>
      <color theme="10"/>
      <name val="宋体"/>
      <family val="3"/>
      <charset val="134"/>
    </font>
    <font>
      <sz val="10"/>
      <name val="Arial Unicode MS"/>
      <family val="2"/>
      <charset val="134"/>
    </font>
    <font>
      <sz val="10"/>
      <name val="方正姚体"/>
      <family val="3"/>
      <charset val="134"/>
    </font>
    <font>
      <sz val="10"/>
      <name val="黑体"/>
      <family val="3"/>
      <charset val="134"/>
    </font>
    <font>
      <b/>
      <sz val="10"/>
      <name val="宋体"/>
      <family val="3"/>
      <charset val="134"/>
    </font>
    <font>
      <b/>
      <sz val="10"/>
      <name val="黑体"/>
      <family val="3"/>
      <charset val="134"/>
    </font>
    <font>
      <sz val="10"/>
      <color rgb="FFFF0000"/>
      <name val="黑体"/>
      <family val="3"/>
      <charset val="134"/>
    </font>
    <font>
      <sz val="9"/>
      <name val="方正姚体"/>
      <family val="3"/>
      <charset val="134"/>
    </font>
    <font>
      <sz val="16"/>
      <name val="方正姚体"/>
      <family val="3"/>
      <charset val="134"/>
    </font>
    <font>
      <sz val="8"/>
      <name val="宋体"/>
      <family val="3"/>
      <charset val="134"/>
    </font>
    <font>
      <b/>
      <sz val="8"/>
      <name val="宋体"/>
      <family val="3"/>
      <charset val="134"/>
    </font>
    <font>
      <sz val="16"/>
      <name val="宋体"/>
      <family val="3"/>
      <charset val="134"/>
    </font>
    <font>
      <sz val="9"/>
      <name val="Arial Unicode MS"/>
      <family val="2"/>
      <charset val="134"/>
    </font>
    <font>
      <sz val="10"/>
      <name val="Arial"/>
      <family val="2"/>
    </font>
    <font>
      <sz val="12"/>
      <name val="新細明體"/>
      <family val="1"/>
      <charset val="136"/>
    </font>
    <font>
      <sz val="11"/>
      <color indexed="17"/>
      <name val="宋体"/>
      <family val="3"/>
      <charset val="134"/>
    </font>
    <font>
      <sz val="12"/>
      <color theme="1"/>
      <name val="新細明體"/>
      <family val="1"/>
      <charset val="136"/>
    </font>
    <font>
      <sz val="12"/>
      <color theme="1"/>
      <name val="新細明體"/>
      <family val="2"/>
      <scheme val="minor"/>
    </font>
    <font>
      <sz val="12"/>
      <color theme="1"/>
      <name val="宋体"/>
      <family val="3"/>
      <charset val="134"/>
    </font>
    <font>
      <b/>
      <sz val="9"/>
      <name val="宋体"/>
      <family val="3"/>
      <charset val="134"/>
    </font>
    <font>
      <u/>
      <sz val="11"/>
      <color theme="1"/>
      <name val="宋体"/>
      <family val="3"/>
      <charset val="134"/>
    </font>
    <font>
      <b/>
      <sz val="11"/>
      <name val="宋体"/>
      <family val="3"/>
      <charset val="134"/>
    </font>
    <font>
      <sz val="11"/>
      <name val="宋体"/>
      <family val="3"/>
      <charset val="134"/>
    </font>
    <font>
      <sz val="11"/>
      <name val="Arial Unicode MS"/>
      <family val="2"/>
      <charset val="134"/>
    </font>
    <font>
      <sz val="12"/>
      <name val="方正姚体"/>
      <family val="3"/>
      <charset val="134"/>
    </font>
    <font>
      <sz val="10"/>
      <color theme="9" tint="-0.249977111117893"/>
      <name val="宋体"/>
      <family val="3"/>
      <charset val="134"/>
    </font>
    <font>
      <sz val="11"/>
      <name val="新細明體"/>
      <family val="3"/>
      <charset val="134"/>
      <scheme val="major"/>
    </font>
    <font>
      <u/>
      <sz val="9"/>
      <color theme="10"/>
      <name val="宋体"/>
      <family val="3"/>
      <charset val="134"/>
    </font>
    <font>
      <sz val="11"/>
      <name val="方正姚体"/>
      <family val="3"/>
      <charset val="134"/>
    </font>
    <font>
      <sz val="8"/>
      <name val="宋体"/>
      <charset val="134"/>
    </font>
    <font>
      <sz val="10"/>
      <name val="新細明體"/>
      <family val="2"/>
      <scheme val="minor"/>
    </font>
    <font>
      <sz val="12"/>
      <name val="微軟正黑體"/>
      <family val="2"/>
      <charset val="136"/>
    </font>
    <font>
      <u/>
      <sz val="11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9"/>
      <name val="細明體"/>
      <family val="3"/>
      <charset val="136"/>
    </font>
    <font>
      <sz val="12"/>
      <name val="宋体"/>
      <charset val="134"/>
    </font>
    <font>
      <b/>
      <sz val="16"/>
      <name val="Arial"/>
      <family val="2"/>
    </font>
    <font>
      <b/>
      <sz val="11"/>
      <color rgb="FFFF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rgb="FFFF0000"/>
      </bottom>
      <diagonal/>
    </border>
    <border>
      <left/>
      <right style="thin">
        <color indexed="64"/>
      </right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/>
      <right/>
      <top style="thin">
        <color indexed="64"/>
      </top>
      <bottom style="medium">
        <color rgb="FFFF0000"/>
      </bottom>
      <diagonal/>
    </border>
    <border>
      <left style="thin">
        <color indexed="64"/>
      </left>
      <right/>
      <top style="thin">
        <color indexed="64"/>
      </top>
      <bottom style="medium">
        <color rgb="FFFF0000"/>
      </bottom>
      <diagonal/>
    </border>
    <border>
      <left/>
      <right style="thin">
        <color indexed="64"/>
      </right>
      <top style="thin">
        <color indexed="64"/>
      </top>
      <bottom style="medium">
        <color rgb="FFFF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rgb="FFFF0000"/>
      </top>
      <bottom style="thin">
        <color indexed="64"/>
      </bottom>
      <diagonal/>
    </border>
    <border>
      <left/>
      <right/>
      <top style="medium">
        <color rgb="FFFF0000"/>
      </top>
      <bottom style="thin">
        <color indexed="64"/>
      </bottom>
      <diagonal/>
    </border>
    <border>
      <left/>
      <right style="thin">
        <color indexed="64"/>
      </right>
      <top style="medium">
        <color rgb="FFFF0000"/>
      </top>
      <bottom style="thin">
        <color indexed="64"/>
      </bottom>
      <diagonal/>
    </border>
  </borders>
  <cellStyleXfs count="89">
    <xf numFmtId="0" fontId="0" fillId="0" borderId="0"/>
    <xf numFmtId="0" fontId="5" fillId="0" borderId="0" applyNumberFormat="0" applyFill="0" applyBorder="0" applyAlignment="0" applyProtection="0"/>
    <xf numFmtId="0" fontId="2" fillId="0" borderId="0"/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0" fontId="2" fillId="0" borderId="0"/>
    <xf numFmtId="179" fontId="19" fillId="0" borderId="0"/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179" fontId="21" fillId="0" borderId="0">
      <alignment vertical="center"/>
    </xf>
    <xf numFmtId="179" fontId="19" fillId="0" borderId="0">
      <alignment vertical="center"/>
    </xf>
    <xf numFmtId="0" fontId="22" fillId="0" borderId="0"/>
    <xf numFmtId="179" fontId="22" fillId="0" borderId="0"/>
    <xf numFmtId="179" fontId="20" fillId="4" borderId="0" applyNumberFormat="0" applyBorder="0" applyAlignment="0" applyProtection="0">
      <alignment vertical="center"/>
    </xf>
    <xf numFmtId="179" fontId="18" fillId="0" borderId="0"/>
    <xf numFmtId="179" fontId="18" fillId="0" borderId="0"/>
    <xf numFmtId="179" fontId="18" fillId="0" borderId="0"/>
    <xf numFmtId="179" fontId="2" fillId="0" borderId="0">
      <alignment vertical="center"/>
    </xf>
    <xf numFmtId="179" fontId="2" fillId="0" borderId="0">
      <alignment vertical="center"/>
    </xf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23" fillId="0" borderId="0">
      <alignment vertical="center"/>
    </xf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23" fillId="0" borderId="0">
      <alignment vertical="center"/>
    </xf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</cellStyleXfs>
  <cellXfs count="204">
    <xf numFmtId="0" fontId="0" fillId="0" borderId="0" xfId="0"/>
    <xf numFmtId="0" fontId="14" fillId="2" borderId="0" xfId="0" applyFont="1" applyFill="1" applyAlignment="1" applyProtection="1">
      <alignment horizontal="center"/>
      <protection hidden="1"/>
    </xf>
    <xf numFmtId="0" fontId="15" fillId="2" borderId="10" xfId="0" applyFont="1" applyFill="1" applyBorder="1" applyAlignment="1" applyProtection="1">
      <alignment horizontal="center" vertical="center"/>
      <protection hidden="1"/>
    </xf>
    <xf numFmtId="0" fontId="14" fillId="2" borderId="1" xfId="0" applyFont="1" applyFill="1" applyBorder="1" applyAlignment="1" applyProtection="1">
      <alignment horizontal="center"/>
      <protection hidden="1"/>
    </xf>
    <xf numFmtId="0" fontId="4" fillId="0" borderId="1" xfId="0" applyFont="1" applyBorder="1" applyAlignment="1" applyProtection="1">
      <alignment horizontal="right"/>
      <protection locked="0" hidden="1"/>
    </xf>
    <xf numFmtId="49" fontId="9" fillId="0" borderId="1" xfId="0" applyNumberFormat="1" applyFont="1" applyBorder="1" applyAlignment="1" applyProtection="1">
      <alignment horizontal="center" vertical="center"/>
      <protection hidden="1"/>
    </xf>
    <xf numFmtId="0" fontId="4" fillId="0" borderId="0" xfId="0" applyFont="1" applyAlignment="1" applyProtection="1">
      <alignment horizontal="center" vertical="center"/>
      <protection locked="0" hidden="1"/>
    </xf>
    <xf numFmtId="0" fontId="3" fillId="3" borderId="0" xfId="0" applyFont="1" applyFill="1" applyAlignment="1" applyProtection="1">
      <alignment horizontal="center" vertical="center" shrinkToFit="1"/>
      <protection hidden="1"/>
    </xf>
    <xf numFmtId="0" fontId="4" fillId="0" borderId="0" xfId="0" applyFont="1" applyProtection="1">
      <protection locked="0" hidden="1"/>
    </xf>
    <xf numFmtId="0" fontId="3" fillId="0" borderId="0" xfId="0" applyFont="1" applyProtection="1">
      <protection locked="0" hidden="1"/>
    </xf>
    <xf numFmtId="0" fontId="4" fillId="0" borderId="6" xfId="0" applyFont="1" applyBorder="1" applyAlignment="1" applyProtection="1">
      <alignment horizontal="right"/>
      <protection locked="0" hidden="1"/>
    </xf>
    <xf numFmtId="177" fontId="3" fillId="0" borderId="0" xfId="0" applyNumberFormat="1" applyFont="1" applyAlignment="1" applyProtection="1">
      <alignment horizontal="center" vertical="center" shrinkToFit="1"/>
      <protection locked="0" hidden="1"/>
    </xf>
    <xf numFmtId="177" fontId="3" fillId="0" borderId="0" xfId="0" applyNumberFormat="1" applyFont="1" applyProtection="1">
      <protection locked="0" hidden="1"/>
    </xf>
    <xf numFmtId="0" fontId="7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7" fillId="0" borderId="0" xfId="0" applyFont="1" applyProtection="1">
      <protection locked="0"/>
    </xf>
    <xf numFmtId="0" fontId="7" fillId="0" borderId="0" xfId="0" applyFont="1" applyAlignment="1" applyProtection="1">
      <alignment horizontal="right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4" fillId="0" borderId="1" xfId="0" applyFont="1" applyBorder="1" applyAlignment="1" applyProtection="1">
      <alignment vertical="center" wrapTex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18" xfId="0" applyFont="1" applyBorder="1" applyAlignment="1" applyProtection="1">
      <alignment horizontal="center" vertical="center" shrinkToFit="1"/>
      <protection locked="0"/>
    </xf>
    <xf numFmtId="0" fontId="4" fillId="0" borderId="0" xfId="0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 vertical="center" shrinkToFit="1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/>
      <protection locked="0"/>
    </xf>
    <xf numFmtId="0" fontId="9" fillId="0" borderId="10" xfId="0" applyFont="1" applyBorder="1" applyAlignment="1" applyProtection="1">
      <alignment horizontal="center" vertical="center"/>
      <protection hidden="1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vertical="center" wrapText="1"/>
    </xf>
    <xf numFmtId="0" fontId="28" fillId="5" borderId="1" xfId="0" applyFont="1" applyFill="1" applyBorder="1" applyAlignment="1" applyProtection="1">
      <alignment horizontal="center" vertical="center"/>
      <protection locked="0"/>
    </xf>
    <xf numFmtId="0" fontId="3" fillId="0" borderId="1" xfId="0" applyFont="1" applyBorder="1" applyProtection="1">
      <protection locked="0" hidden="1"/>
    </xf>
    <xf numFmtId="0" fontId="6" fillId="0" borderId="1" xfId="0" applyFont="1" applyBorder="1" applyAlignment="1">
      <alignment horizontal="center"/>
    </xf>
    <xf numFmtId="0" fontId="12" fillId="0" borderId="1" xfId="0" applyFont="1" applyBorder="1" applyProtection="1">
      <protection locked="0" hidden="1"/>
    </xf>
    <xf numFmtId="0" fontId="11" fillId="0" borderId="1" xfId="0" applyFont="1" applyBorder="1" applyAlignment="1">
      <alignment horizontal="center"/>
    </xf>
    <xf numFmtId="0" fontId="6" fillId="0" borderId="1" xfId="0" applyFont="1" applyBorder="1" applyAlignment="1" applyProtection="1">
      <alignment horizontal="center"/>
      <protection locked="0"/>
    </xf>
    <xf numFmtId="0" fontId="9" fillId="0" borderId="1" xfId="0" applyFont="1" applyBorder="1" applyAlignment="1" applyProtection="1">
      <alignment horizontal="center" vertical="center"/>
      <protection hidden="1"/>
    </xf>
    <xf numFmtId="0" fontId="4" fillId="0" borderId="8" xfId="0" applyFont="1" applyBorder="1" applyAlignment="1" applyProtection="1">
      <alignment horizontal="right"/>
      <protection locked="0" hidden="1"/>
    </xf>
    <xf numFmtId="0" fontId="17" fillId="0" borderId="0" xfId="0" applyFont="1" applyAlignment="1" applyProtection="1">
      <alignment horizontal="center"/>
      <protection locked="0" hidden="1"/>
    </xf>
    <xf numFmtId="0" fontId="26" fillId="5" borderId="1" xfId="0" applyFont="1" applyFill="1" applyBorder="1" applyAlignment="1" applyProtection="1">
      <alignment horizontal="center" vertical="center"/>
      <protection locked="0"/>
    </xf>
    <xf numFmtId="4" fontId="3" fillId="0" borderId="6" xfId="0" applyNumberFormat="1" applyFont="1" applyBorder="1" applyAlignment="1" applyProtection="1">
      <alignment horizontal="center" vertical="center" shrinkToFit="1"/>
      <protection hidden="1"/>
    </xf>
    <xf numFmtId="4" fontId="3" fillId="0" borderId="1" xfId="0" applyNumberFormat="1" applyFont="1" applyBorder="1" applyAlignment="1" applyProtection="1">
      <alignment horizontal="center" vertical="center" shrinkToFit="1"/>
      <protection hidden="1"/>
    </xf>
    <xf numFmtId="180" fontId="3" fillId="0" borderId="1" xfId="0" applyNumberFormat="1" applyFont="1" applyBorder="1" applyAlignment="1" applyProtection="1">
      <alignment horizontal="center" vertical="center"/>
      <protection hidden="1"/>
    </xf>
    <xf numFmtId="4" fontId="3" fillId="3" borderId="0" xfId="0" applyNumberFormat="1" applyFont="1" applyFill="1" applyAlignment="1" applyProtection="1">
      <alignment horizontal="center" vertical="center" shrinkToFit="1"/>
      <protection hidden="1"/>
    </xf>
    <xf numFmtId="0" fontId="14" fillId="0" borderId="0" xfId="0" applyFont="1" applyAlignment="1" applyProtection="1">
      <alignment horizontal="center"/>
      <protection hidden="1"/>
    </xf>
    <xf numFmtId="0" fontId="10" fillId="0" borderId="1" xfId="0" applyFont="1" applyBorder="1" applyAlignment="1" applyProtection="1">
      <alignment horizontal="center" vertical="center"/>
      <protection hidden="1"/>
    </xf>
    <xf numFmtId="0" fontId="7" fillId="0" borderId="1" xfId="0" applyFont="1" applyBorder="1" applyAlignment="1" applyProtection="1">
      <alignment horizontal="center" vertical="center"/>
      <protection locked="0"/>
    </xf>
    <xf numFmtId="0" fontId="7" fillId="0" borderId="1" xfId="0" applyFont="1" applyBorder="1" applyAlignment="1" applyProtection="1">
      <alignment horizontal="center" vertical="center"/>
      <protection hidden="1"/>
    </xf>
    <xf numFmtId="0" fontId="24" fillId="0" borderId="5" xfId="0" applyFont="1" applyBorder="1" applyAlignment="1">
      <alignment vertical="center"/>
    </xf>
    <xf numFmtId="0" fontId="32" fillId="0" borderId="0" xfId="1" applyFont="1" applyFill="1" applyBorder="1" applyAlignment="1" applyProtection="1">
      <alignment horizontal="center" vertical="center"/>
    </xf>
    <xf numFmtId="49" fontId="13" fillId="0" borderId="7" xfId="0" applyNumberFormat="1" applyFont="1" applyBorder="1" applyAlignment="1" applyProtection="1">
      <alignment horizontal="center" vertical="center"/>
      <protection locked="0"/>
    </xf>
    <xf numFmtId="0" fontId="27" fillId="0" borderId="7" xfId="0" applyFont="1" applyBorder="1" applyAlignment="1">
      <alignment vertical="center"/>
    </xf>
    <xf numFmtId="49" fontId="33" fillId="0" borderId="1" xfId="0" applyNumberFormat="1" applyFont="1" applyBorder="1" applyAlignment="1" applyProtection="1">
      <alignment vertical="center" wrapText="1"/>
      <protection locked="0"/>
    </xf>
    <xf numFmtId="0" fontId="35" fillId="0" borderId="0" xfId="0" applyFont="1" applyAlignment="1">
      <alignment horizontal="center" vertical="center"/>
    </xf>
    <xf numFmtId="0" fontId="35" fillId="0" borderId="0" xfId="0" applyFont="1"/>
    <xf numFmtId="0" fontId="9" fillId="0" borderId="1" xfId="0" applyFont="1" applyBorder="1" applyAlignment="1" applyProtection="1">
      <alignment horizontal="center" vertical="center"/>
      <protection locked="0"/>
    </xf>
    <xf numFmtId="0" fontId="36" fillId="0" borderId="0" xfId="0" applyFont="1" applyAlignment="1">
      <alignment vertical="center"/>
    </xf>
    <xf numFmtId="0" fontId="36" fillId="0" borderId="0" xfId="0" applyFont="1" applyAlignment="1" applyProtection="1">
      <alignment vertical="center"/>
      <protection hidden="1"/>
    </xf>
    <xf numFmtId="0" fontId="36" fillId="0" borderId="0" xfId="0" applyFont="1"/>
    <xf numFmtId="0" fontId="36" fillId="0" borderId="0" xfId="0" quotePrefix="1" applyFont="1" applyAlignment="1">
      <alignment horizontal="center" vertical="center"/>
    </xf>
    <xf numFmtId="0" fontId="36" fillId="0" borderId="0" xfId="0" applyFont="1" applyAlignment="1" applyProtection="1">
      <alignment vertical="center"/>
      <protection locked="0"/>
    </xf>
    <xf numFmtId="0" fontId="36" fillId="7" borderId="1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8" fillId="0" borderId="0" xfId="0" applyFont="1" applyFill="1" applyBorder="1" applyAlignment="1" applyProtection="1">
      <alignment vertical="center"/>
      <protection locked="0"/>
    </xf>
    <xf numFmtId="0" fontId="38" fillId="0" borderId="27" xfId="0" applyFont="1" applyFill="1" applyBorder="1" applyAlignment="1" applyProtection="1">
      <alignment vertical="center"/>
      <protection locked="0"/>
    </xf>
    <xf numFmtId="0" fontId="38" fillId="0" borderId="7" xfId="0" applyFont="1" applyFill="1" applyBorder="1" applyAlignment="1" applyProtection="1">
      <alignment horizontal="center" vertical="center"/>
      <protection locked="0"/>
    </xf>
    <xf numFmtId="49" fontId="38" fillId="0" borderId="1" xfId="0" applyNumberFormat="1" applyFont="1" applyFill="1" applyBorder="1" applyAlignment="1" applyProtection="1">
      <alignment horizontal="center" vertical="center"/>
      <protection locked="0"/>
    </xf>
    <xf numFmtId="0" fontId="38" fillId="0" borderId="1" xfId="0" applyFont="1" applyFill="1" applyBorder="1" applyAlignment="1" applyProtection="1">
      <alignment horizontal="center" vertical="center" shrinkToFit="1"/>
      <protection locked="0"/>
    </xf>
    <xf numFmtId="0" fontId="38" fillId="0" borderId="29" xfId="0" applyFont="1" applyFill="1" applyBorder="1" applyAlignment="1" applyProtection="1">
      <alignment vertical="center"/>
      <protection locked="0"/>
    </xf>
    <xf numFmtId="0" fontId="38" fillId="0" borderId="0" xfId="0" applyFont="1" applyFill="1" applyBorder="1" applyAlignment="1" applyProtection="1">
      <alignment horizontal="center" vertical="center"/>
    </xf>
    <xf numFmtId="0" fontId="38" fillId="0" borderId="27" xfId="0" applyFont="1" applyFill="1" applyBorder="1" applyAlignment="1" applyProtection="1">
      <alignment horizontal="center" vertical="center"/>
    </xf>
    <xf numFmtId="0" fontId="38" fillId="0" borderId="29" xfId="0" applyFont="1" applyFill="1" applyBorder="1" applyAlignment="1" applyProtection="1">
      <alignment horizontal="center" vertical="center"/>
    </xf>
    <xf numFmtId="0" fontId="39" fillId="0" borderId="7" xfId="0" applyFont="1" applyFill="1" applyBorder="1" applyAlignment="1" applyProtection="1">
      <alignment horizontal="center" vertical="center"/>
    </xf>
    <xf numFmtId="4" fontId="38" fillId="0" borderId="1" xfId="0" applyNumberFormat="1" applyFont="1" applyFill="1" applyBorder="1" applyAlignment="1" applyProtection="1">
      <alignment horizontal="center" vertical="center"/>
    </xf>
    <xf numFmtId="4" fontId="38" fillId="0" borderId="1" xfId="0" applyNumberFormat="1" applyFont="1" applyFill="1" applyBorder="1" applyAlignment="1" applyProtection="1">
      <alignment horizontal="center" vertical="center" shrinkToFit="1"/>
    </xf>
    <xf numFmtId="3" fontId="38" fillId="0" borderId="1" xfId="0" applyNumberFormat="1" applyFont="1" applyFill="1" applyBorder="1" applyAlignment="1" applyProtection="1">
      <alignment horizontal="center" vertical="center"/>
    </xf>
    <xf numFmtId="0" fontId="38" fillId="0" borderId="27" xfId="0" applyFont="1" applyFill="1" applyBorder="1" applyAlignment="1" applyProtection="1">
      <alignment horizontal="center" vertical="center" shrinkToFit="1"/>
    </xf>
    <xf numFmtId="4" fontId="38" fillId="0" borderId="28" xfId="0" applyNumberFormat="1" applyFont="1" applyFill="1" applyBorder="1" applyAlignment="1" applyProtection="1">
      <alignment horizontal="center" vertical="center" shrinkToFit="1"/>
    </xf>
    <xf numFmtId="0" fontId="38" fillId="0" borderId="27" xfId="0" applyFont="1" applyFill="1" applyBorder="1" applyAlignment="1" applyProtection="1">
      <alignment vertical="center"/>
    </xf>
    <xf numFmtId="0" fontId="41" fillId="0" borderId="1" xfId="0" applyFont="1" applyFill="1" applyBorder="1" applyAlignment="1" applyProtection="1">
      <alignment horizontal="center" vertical="center"/>
      <protection locked="0"/>
    </xf>
    <xf numFmtId="0" fontId="38" fillId="0" borderId="30" xfId="0" applyFont="1" applyFill="1" applyBorder="1" applyAlignment="1" applyProtection="1">
      <alignment horizontal="center" vertical="center"/>
    </xf>
    <xf numFmtId="0" fontId="39" fillId="0" borderId="28" xfId="0" applyFont="1" applyFill="1" applyBorder="1" applyAlignment="1" applyProtection="1">
      <alignment horizontal="center" vertical="center"/>
    </xf>
    <xf numFmtId="0" fontId="39" fillId="0" borderId="1" xfId="0" applyFont="1" applyFill="1" applyBorder="1" applyAlignment="1" applyProtection="1">
      <alignment horizontal="center" vertical="center" wrapText="1"/>
    </xf>
    <xf numFmtId="0" fontId="39" fillId="0" borderId="1" xfId="0" applyFont="1" applyFill="1" applyBorder="1" applyAlignment="1" applyProtection="1">
      <alignment horizontal="center" vertical="center"/>
    </xf>
    <xf numFmtId="0" fontId="38" fillId="0" borderId="1" xfId="0" applyFont="1" applyFill="1" applyBorder="1" applyAlignment="1" applyProtection="1">
      <alignment horizontal="center" vertical="center"/>
    </xf>
    <xf numFmtId="0" fontId="38" fillId="0" borderId="1" xfId="0" applyFont="1" applyFill="1" applyBorder="1" applyAlignment="1" applyProtection="1">
      <alignment horizontal="center" vertical="center"/>
      <protection locked="0"/>
    </xf>
    <xf numFmtId="0" fontId="38" fillId="0" borderId="7" xfId="0" applyFont="1" applyFill="1" applyBorder="1" applyAlignment="1" applyProtection="1">
      <alignment horizontal="center" vertical="center"/>
    </xf>
    <xf numFmtId="0" fontId="39" fillId="0" borderId="1" xfId="0" applyFont="1" applyFill="1" applyBorder="1" applyAlignment="1" applyProtection="1">
      <alignment horizontal="center" vertical="center" wrapText="1" shrinkToFit="1"/>
    </xf>
    <xf numFmtId="0" fontId="39" fillId="0" borderId="1" xfId="0" applyFont="1" applyFill="1" applyBorder="1" applyAlignment="1" applyProtection="1">
      <alignment horizontal="center" vertical="center"/>
    </xf>
    <xf numFmtId="0" fontId="0" fillId="0" borderId="2" xfId="0" applyBorder="1"/>
    <xf numFmtId="0" fontId="38" fillId="0" borderId="26" xfId="0" applyFont="1" applyFill="1" applyBorder="1" applyAlignment="1" applyProtection="1">
      <alignment vertical="center"/>
      <protection locked="0"/>
    </xf>
    <xf numFmtId="0" fontId="38" fillId="0" borderId="31" xfId="0" applyFont="1" applyFill="1" applyBorder="1" applyAlignment="1" applyProtection="1">
      <alignment vertical="center"/>
      <protection locked="0"/>
    </xf>
    <xf numFmtId="0" fontId="38" fillId="0" borderId="19" xfId="0" applyFont="1" applyFill="1" applyBorder="1" applyAlignment="1" applyProtection="1">
      <alignment vertical="center"/>
      <protection locked="0"/>
    </xf>
    <xf numFmtId="0" fontId="0" fillId="0" borderId="25" xfId="0" applyBorder="1"/>
    <xf numFmtId="0" fontId="0" fillId="0" borderId="27" xfId="0" applyBorder="1"/>
    <xf numFmtId="0" fontId="0" fillId="0" borderId="0" xfId="0" applyProtection="1">
      <protection locked="0"/>
    </xf>
    <xf numFmtId="181" fontId="38" fillId="0" borderId="1" xfId="0" applyNumberFormat="1" applyFont="1" applyFill="1" applyBorder="1" applyAlignment="1" applyProtection="1">
      <alignment horizontal="center" vertical="center"/>
      <protection locked="0"/>
    </xf>
    <xf numFmtId="0" fontId="41" fillId="0" borderId="0" xfId="0" applyFont="1" applyProtection="1">
      <protection locked="0"/>
    </xf>
    <xf numFmtId="0" fontId="39" fillId="0" borderId="28" xfId="0" applyFont="1" applyFill="1" applyBorder="1" applyAlignment="1" applyProtection="1">
      <alignment horizontal="center" vertical="center"/>
    </xf>
    <xf numFmtId="0" fontId="39" fillId="0" borderId="1" xfId="0" applyFont="1" applyFill="1" applyBorder="1" applyAlignment="1" applyProtection="1">
      <alignment horizontal="center" vertical="center" wrapText="1" shrinkToFit="1"/>
    </xf>
    <xf numFmtId="0" fontId="43" fillId="0" borderId="1" xfId="0" applyFont="1" applyFill="1" applyBorder="1" applyAlignment="1" applyProtection="1">
      <alignment horizontal="center" vertical="center"/>
    </xf>
    <xf numFmtId="178" fontId="38" fillId="0" borderId="1" xfId="0" applyNumberFormat="1" applyFont="1" applyFill="1" applyBorder="1" applyAlignment="1" applyProtection="1">
      <alignment horizontal="center" vertical="center"/>
    </xf>
    <xf numFmtId="0" fontId="39" fillId="0" borderId="1" xfId="0" applyFont="1" applyFill="1" applyBorder="1" applyAlignment="1" applyProtection="1">
      <alignment horizontal="center" vertical="center"/>
    </xf>
    <xf numFmtId="0" fontId="38" fillId="0" borderId="1" xfId="0" applyFont="1" applyFill="1" applyBorder="1" applyAlignment="1" applyProtection="1">
      <alignment horizontal="center" vertical="center"/>
      <protection locked="0"/>
    </xf>
    <xf numFmtId="0" fontId="39" fillId="0" borderId="1" xfId="0" applyFont="1" applyFill="1" applyBorder="1" applyAlignment="1" applyProtection="1">
      <alignment horizontal="center" vertical="center" wrapText="1"/>
    </xf>
    <xf numFmtId="177" fontId="39" fillId="0" borderId="1" xfId="0" applyNumberFormat="1" applyFont="1" applyFill="1" applyBorder="1" applyAlignment="1" applyProtection="1">
      <alignment horizontal="center" vertical="center" wrapText="1"/>
    </xf>
    <xf numFmtId="0" fontId="37" fillId="0" borderId="7" xfId="1" applyFont="1" applyFill="1" applyBorder="1" applyAlignment="1" applyProtection="1">
      <alignment horizontal="center" vertical="center"/>
    </xf>
    <xf numFmtId="0" fontId="37" fillId="0" borderId="20" xfId="1" applyFont="1" applyFill="1" applyBorder="1" applyAlignment="1" applyProtection="1">
      <alignment horizontal="center" vertical="center"/>
    </xf>
    <xf numFmtId="0" fontId="37" fillId="0" borderId="2" xfId="1" applyFont="1" applyFill="1" applyBorder="1" applyAlignment="1" applyProtection="1">
      <alignment horizontal="center" vertical="center"/>
    </xf>
    <xf numFmtId="49" fontId="39" fillId="0" borderId="1" xfId="0" applyNumberFormat="1" applyFont="1" applyFill="1" applyBorder="1" applyAlignment="1" applyProtection="1">
      <alignment horizontal="center" vertical="center"/>
    </xf>
    <xf numFmtId="3" fontId="38" fillId="0" borderId="1" xfId="0" applyNumberFormat="1" applyFont="1" applyFill="1" applyBorder="1" applyAlignment="1" applyProtection="1">
      <alignment horizontal="center" vertical="center"/>
      <protection locked="0"/>
    </xf>
    <xf numFmtId="0" fontId="38" fillId="0" borderId="6" xfId="0" applyFont="1" applyFill="1" applyBorder="1" applyAlignment="1" applyProtection="1">
      <alignment horizontal="center" vertical="center"/>
    </xf>
    <xf numFmtId="0" fontId="38" fillId="0" borderId="20" xfId="0" applyFont="1" applyFill="1" applyBorder="1" applyAlignment="1" applyProtection="1">
      <alignment horizontal="center" vertical="center"/>
    </xf>
    <xf numFmtId="0" fontId="38" fillId="0" borderId="7" xfId="0" applyFont="1" applyFill="1" applyBorder="1" applyAlignment="1" applyProtection="1">
      <alignment horizontal="center" vertical="center"/>
    </xf>
    <xf numFmtId="0" fontId="39" fillId="0" borderId="9" xfId="0" applyFont="1" applyFill="1" applyBorder="1" applyAlignment="1" applyProtection="1">
      <alignment horizontal="center" vertical="center"/>
    </xf>
    <xf numFmtId="0" fontId="39" fillId="0" borderId="32" xfId="0" applyFont="1" applyFill="1" applyBorder="1" applyAlignment="1" applyProtection="1">
      <alignment horizontal="center" vertical="center"/>
    </xf>
    <xf numFmtId="0" fontId="39" fillId="0" borderId="10" xfId="0" applyFont="1" applyFill="1" applyBorder="1" applyAlignment="1" applyProtection="1">
      <alignment horizontal="center" vertical="center"/>
    </xf>
    <xf numFmtId="0" fontId="39" fillId="0" borderId="33" xfId="0" applyFont="1" applyFill="1" applyBorder="1" applyAlignment="1" applyProtection="1">
      <alignment horizontal="center" vertical="center"/>
    </xf>
    <xf numFmtId="0" fontId="39" fillId="0" borderId="34" xfId="0" applyFont="1" applyFill="1" applyBorder="1" applyAlignment="1" applyProtection="1">
      <alignment horizontal="center" vertical="center"/>
    </xf>
    <xf numFmtId="0" fontId="39" fillId="0" borderId="35" xfId="0" applyFont="1" applyFill="1" applyBorder="1" applyAlignment="1" applyProtection="1">
      <alignment horizontal="center" vertical="center"/>
    </xf>
    <xf numFmtId="0" fontId="38" fillId="0" borderId="33" xfId="0" applyFont="1" applyFill="1" applyBorder="1" applyAlignment="1" applyProtection="1">
      <alignment horizontal="center" vertical="center"/>
      <protection locked="0"/>
    </xf>
    <xf numFmtId="0" fontId="38" fillId="0" borderId="34" xfId="0" applyFont="1" applyFill="1" applyBorder="1" applyAlignment="1" applyProtection="1">
      <alignment horizontal="center" vertical="center"/>
      <protection locked="0"/>
    </xf>
    <xf numFmtId="0" fontId="38" fillId="0" borderId="35" xfId="0" applyFont="1" applyFill="1" applyBorder="1" applyAlignment="1" applyProtection="1">
      <alignment horizontal="center" vertical="center"/>
      <protection locked="0"/>
    </xf>
    <xf numFmtId="49" fontId="38" fillId="0" borderId="33" xfId="0" applyNumberFormat="1" applyFont="1" applyFill="1" applyBorder="1" applyAlignment="1" applyProtection="1">
      <alignment horizontal="center" vertical="center"/>
      <protection locked="0"/>
    </xf>
    <xf numFmtId="49" fontId="38" fillId="0" borderId="35" xfId="0" applyNumberFormat="1" applyFont="1" applyFill="1" applyBorder="1" applyAlignment="1" applyProtection="1">
      <alignment horizontal="center" vertical="center"/>
      <protection locked="0"/>
    </xf>
    <xf numFmtId="0" fontId="38" fillId="0" borderId="33" xfId="0" applyNumberFormat="1" applyFont="1" applyFill="1" applyBorder="1" applyAlignment="1" applyProtection="1">
      <alignment horizontal="center" vertical="center"/>
    </xf>
    <xf numFmtId="0" fontId="38" fillId="0" borderId="34" xfId="0" applyNumberFormat="1" applyFont="1" applyFill="1" applyBorder="1" applyAlignment="1" applyProtection="1">
      <alignment horizontal="center" vertical="center"/>
    </xf>
    <xf numFmtId="0" fontId="38" fillId="0" borderId="35" xfId="0" applyNumberFormat="1" applyFont="1" applyFill="1" applyBorder="1" applyAlignment="1" applyProtection="1">
      <alignment horizontal="center" vertical="center"/>
    </xf>
    <xf numFmtId="3" fontId="42" fillId="0" borderId="1" xfId="0" applyNumberFormat="1" applyFont="1" applyFill="1" applyBorder="1" applyAlignment="1" applyProtection="1">
      <alignment horizontal="center" vertical="center"/>
    </xf>
    <xf numFmtId="0" fontId="42" fillId="0" borderId="1" xfId="0" applyFont="1" applyFill="1" applyBorder="1" applyAlignment="1" applyProtection="1">
      <alignment horizontal="center" vertical="center"/>
    </xf>
    <xf numFmtId="182" fontId="38" fillId="0" borderId="1" xfId="0" applyNumberFormat="1" applyFont="1" applyFill="1" applyBorder="1" applyAlignment="1" applyProtection="1">
      <alignment horizontal="center" vertical="center"/>
      <protection locked="0"/>
    </xf>
    <xf numFmtId="0" fontId="38" fillId="0" borderId="28" xfId="0" applyFont="1" applyFill="1" applyBorder="1" applyAlignment="1" applyProtection="1">
      <alignment horizontal="center" vertical="center"/>
      <protection locked="0"/>
    </xf>
    <xf numFmtId="0" fontId="39" fillId="0" borderId="30" xfId="0" applyFont="1" applyFill="1" applyBorder="1" applyAlignment="1" applyProtection="1">
      <alignment horizontal="center" vertical="center"/>
    </xf>
    <xf numFmtId="0" fontId="39" fillId="0" borderId="31" xfId="0" applyFont="1" applyFill="1" applyBorder="1" applyAlignment="1" applyProtection="1">
      <alignment horizontal="center" vertical="center"/>
    </xf>
    <xf numFmtId="0" fontId="38" fillId="0" borderId="30" xfId="0" applyFont="1" applyFill="1" applyBorder="1" applyAlignment="1" applyProtection="1">
      <alignment horizontal="center" vertical="center"/>
      <protection locked="0"/>
    </xf>
    <xf numFmtId="0" fontId="38" fillId="0" borderId="29" xfId="0" applyFont="1" applyFill="1" applyBorder="1" applyAlignment="1" applyProtection="1">
      <alignment horizontal="center" vertical="center"/>
      <protection locked="0"/>
    </xf>
    <xf numFmtId="0" fontId="38" fillId="0" borderId="31" xfId="0" applyFont="1" applyFill="1" applyBorder="1" applyAlignment="1" applyProtection="1">
      <alignment horizontal="center" vertical="center"/>
      <protection locked="0"/>
    </xf>
    <xf numFmtId="0" fontId="38" fillId="0" borderId="1" xfId="0" applyFont="1" applyFill="1" applyBorder="1" applyAlignment="1" applyProtection="1">
      <alignment horizontal="center" vertical="center"/>
    </xf>
    <xf numFmtId="0" fontId="25" fillId="0" borderId="0" xfId="0" applyFont="1" applyAlignment="1">
      <alignment horizontal="center"/>
    </xf>
    <xf numFmtId="0" fontId="4" fillId="0" borderId="0" xfId="0" applyFont="1" applyAlignment="1" applyProtection="1">
      <alignment horizont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left"/>
      <protection locked="0"/>
    </xf>
    <xf numFmtId="0" fontId="30" fillId="0" borderId="0" xfId="0" applyFont="1" applyAlignment="1">
      <alignment horizontal="center" vertical="center"/>
    </xf>
    <xf numFmtId="0" fontId="16" fillId="6" borderId="22" xfId="0" applyFont="1" applyFill="1" applyBorder="1" applyAlignment="1" applyProtection="1">
      <alignment horizontal="center" vertical="center"/>
      <protection locked="0"/>
    </xf>
    <xf numFmtId="0" fontId="16" fillId="6" borderId="23" xfId="0" applyFont="1" applyFill="1" applyBorder="1" applyAlignment="1" applyProtection="1">
      <alignment horizontal="center" vertical="center"/>
      <protection locked="0"/>
    </xf>
    <xf numFmtId="0" fontId="16" fillId="6" borderId="24" xfId="0" applyFont="1" applyFill="1" applyBorder="1" applyAlignment="1" applyProtection="1">
      <alignment horizontal="center" vertical="center"/>
      <protection locked="0"/>
    </xf>
    <xf numFmtId="0" fontId="8" fillId="0" borderId="7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3" fontId="4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178" fontId="4" fillId="0" borderId="1" xfId="0" applyNumberFormat="1" applyFont="1" applyBorder="1" applyAlignment="1">
      <alignment horizontal="center" vertical="center"/>
    </xf>
    <xf numFmtId="0" fontId="29" fillId="0" borderId="1" xfId="0" applyFont="1" applyBorder="1" applyAlignment="1">
      <alignment horizontal="center" vertical="center" wrapText="1" shrinkToFit="1"/>
    </xf>
    <xf numFmtId="49" fontId="13" fillId="0" borderId="1" xfId="0" applyNumberFormat="1" applyFont="1" applyBorder="1" applyAlignment="1" applyProtection="1">
      <alignment horizontal="center" vertical="center"/>
      <protection locked="0"/>
    </xf>
    <xf numFmtId="178" fontId="7" fillId="0" borderId="1" xfId="0" applyNumberFormat="1" applyFont="1" applyBorder="1" applyAlignment="1">
      <alignment horizontal="center" vertical="center"/>
    </xf>
    <xf numFmtId="0" fontId="31" fillId="3" borderId="9" xfId="0" applyFont="1" applyFill="1" applyBorder="1" applyAlignment="1">
      <alignment horizontal="right"/>
    </xf>
    <xf numFmtId="0" fontId="31" fillId="3" borderId="10" xfId="0" applyFont="1" applyFill="1" applyBorder="1" applyAlignment="1">
      <alignment horizontal="right"/>
    </xf>
    <xf numFmtId="0" fontId="7" fillId="0" borderId="9" xfId="0" applyFont="1" applyBorder="1" applyAlignment="1" applyProtection="1">
      <alignment horizontal="center"/>
      <protection locked="0"/>
    </xf>
    <xf numFmtId="0" fontId="7" fillId="0" borderId="10" xfId="0" applyFont="1" applyBorder="1" applyAlignment="1" applyProtection="1">
      <alignment horizontal="center"/>
      <protection locked="0"/>
    </xf>
    <xf numFmtId="0" fontId="26" fillId="5" borderId="1" xfId="0" applyFont="1" applyFill="1" applyBorder="1" applyAlignment="1" applyProtection="1">
      <alignment horizontal="center" vertical="center" shrinkToFit="1"/>
      <protection locked="0"/>
    </xf>
    <xf numFmtId="0" fontId="16" fillId="6" borderId="12" xfId="0" applyFont="1" applyFill="1" applyBorder="1" applyAlignment="1" applyProtection="1">
      <alignment horizontal="center" vertical="center"/>
      <protection locked="0"/>
    </xf>
    <xf numFmtId="0" fontId="16" fillId="6" borderId="13" xfId="0" applyFont="1" applyFill="1" applyBorder="1" applyAlignment="1" applyProtection="1">
      <alignment horizontal="center" vertical="center"/>
      <protection locked="0"/>
    </xf>
    <xf numFmtId="0" fontId="16" fillId="6" borderId="21" xfId="0" applyFont="1" applyFill="1" applyBorder="1" applyAlignment="1" applyProtection="1">
      <alignment horizontal="center" vertical="center"/>
      <protection locked="0"/>
    </xf>
    <xf numFmtId="0" fontId="28" fillId="0" borderId="1" xfId="0" applyFont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 hidden="1"/>
    </xf>
    <xf numFmtId="0" fontId="3" fillId="0" borderId="1" xfId="0" applyFont="1" applyBorder="1" applyAlignment="1" applyProtection="1">
      <alignment horizontal="center" vertical="center" wrapText="1"/>
      <protection locked="0" hidden="1"/>
    </xf>
    <xf numFmtId="0" fontId="4" fillId="0" borderId="1" xfId="0" applyFont="1" applyBorder="1" applyAlignment="1">
      <alignment horizontal="center" vertical="center" wrapText="1"/>
    </xf>
    <xf numFmtId="177" fontId="3" fillId="0" borderId="1" xfId="0" applyNumberFormat="1" applyFont="1" applyBorder="1" applyAlignment="1" applyProtection="1">
      <alignment horizontal="center" vertical="center" wrapText="1"/>
      <protection hidden="1"/>
    </xf>
    <xf numFmtId="177" fontId="3" fillId="0" borderId="1" xfId="0" applyNumberFormat="1" applyFont="1" applyBorder="1" applyAlignment="1" applyProtection="1">
      <alignment horizontal="center" vertical="center" wrapText="1"/>
      <protection locked="0" hidden="1"/>
    </xf>
    <xf numFmtId="0" fontId="4" fillId="0" borderId="1" xfId="0" applyFont="1" applyBorder="1" applyAlignment="1" applyProtection="1">
      <alignment horizontal="center" vertical="center" wrapText="1"/>
      <protection locked="0"/>
    </xf>
    <xf numFmtId="177" fontId="3" fillId="0" borderId="20" xfId="0" applyNumberFormat="1" applyFont="1" applyBorder="1" applyAlignment="1" applyProtection="1">
      <alignment horizontal="center" vertical="center" wrapText="1"/>
      <protection locked="0" hidden="1"/>
    </xf>
    <xf numFmtId="177" fontId="3" fillId="0" borderId="7" xfId="0" applyNumberFormat="1" applyFont="1" applyBorder="1" applyAlignment="1" applyProtection="1">
      <alignment horizontal="center" vertical="center" wrapText="1"/>
      <protection locked="0" hidden="1"/>
    </xf>
    <xf numFmtId="0" fontId="26" fillId="5" borderId="14" xfId="0" applyFont="1" applyFill="1" applyBorder="1" applyAlignment="1" applyProtection="1">
      <alignment horizontal="center" vertical="center" shrinkToFit="1"/>
      <protection locked="0"/>
    </xf>
    <xf numFmtId="0" fontId="26" fillId="5" borderId="19" xfId="0" applyFont="1" applyFill="1" applyBorder="1" applyAlignment="1" applyProtection="1">
      <alignment horizontal="center" vertical="center" shrinkToFit="1"/>
      <protection locked="0"/>
    </xf>
    <xf numFmtId="0" fontId="26" fillId="5" borderId="5" xfId="0" applyFont="1" applyFill="1" applyBorder="1" applyAlignment="1" applyProtection="1">
      <alignment horizontal="center" vertical="center" shrinkToFit="1"/>
      <protection locked="0"/>
    </xf>
    <xf numFmtId="0" fontId="16" fillId="6" borderId="11" xfId="0" applyFont="1" applyFill="1" applyBorder="1" applyAlignment="1" applyProtection="1">
      <alignment horizontal="center" vertical="center"/>
      <protection locked="0"/>
    </xf>
    <xf numFmtId="0" fontId="28" fillId="0" borderId="17" xfId="0" applyFont="1" applyBorder="1" applyAlignment="1" applyProtection="1">
      <alignment horizontal="center" vertical="center"/>
      <protection locked="0"/>
    </xf>
    <xf numFmtId="0" fontId="28" fillId="0" borderId="14" xfId="0" applyFont="1" applyBorder="1" applyAlignment="1" applyProtection="1">
      <alignment horizontal="center" vertical="center"/>
      <protection locked="0"/>
    </xf>
    <xf numFmtId="0" fontId="28" fillId="0" borderId="16" xfId="0" applyFont="1" applyBorder="1" applyAlignment="1" applyProtection="1">
      <alignment horizontal="center" vertical="center"/>
      <protection locked="0"/>
    </xf>
    <xf numFmtId="0" fontId="28" fillId="0" borderId="5" xfId="0" applyFont="1" applyBorder="1" applyAlignment="1" applyProtection="1">
      <alignment horizontal="center" vertical="center"/>
      <protection locked="0"/>
    </xf>
    <xf numFmtId="0" fontId="4" fillId="0" borderId="8" xfId="0" applyFont="1" applyBorder="1" applyAlignment="1" applyProtection="1">
      <alignment horizontal="center" vertical="center"/>
      <protection locked="0"/>
    </xf>
    <xf numFmtId="0" fontId="4" fillId="0" borderId="15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4" fillId="0" borderId="4" xfId="0" applyFont="1" applyBorder="1" applyAlignment="1" applyProtection="1">
      <alignment horizontal="center" vertical="center"/>
      <protection locked="0"/>
    </xf>
    <xf numFmtId="0" fontId="4" fillId="0" borderId="5" xfId="0" applyFont="1" applyBorder="1" applyAlignment="1" applyProtection="1">
      <alignment horizontal="center" vertical="center"/>
      <protection locked="0"/>
    </xf>
    <xf numFmtId="0" fontId="4" fillId="0" borderId="6" xfId="0" applyFont="1" applyBorder="1" applyAlignment="1" applyProtection="1">
      <alignment horizontal="center" vertical="center"/>
      <protection locked="0" hidden="1"/>
    </xf>
    <xf numFmtId="0" fontId="4" fillId="0" borderId="7" xfId="0" applyFont="1" applyBorder="1" applyAlignment="1" applyProtection="1">
      <alignment horizontal="center" vertical="center"/>
      <protection locked="0" hidden="1"/>
    </xf>
    <xf numFmtId="0" fontId="3" fillId="0" borderId="20" xfId="0" applyFont="1" applyBorder="1" applyAlignment="1" applyProtection="1">
      <alignment horizontal="center" vertical="center" wrapText="1"/>
      <protection locked="0" hidden="1"/>
    </xf>
    <xf numFmtId="0" fontId="3" fillId="0" borderId="7" xfId="0" applyFont="1" applyBorder="1" applyAlignment="1" applyProtection="1">
      <alignment horizontal="center" vertical="center" wrapText="1"/>
      <protection locked="0" hidden="1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5" xfId="0" applyFont="1" applyBorder="1" applyAlignment="1" applyProtection="1">
      <alignment horizontal="center" vertical="center" wrapText="1"/>
      <protection locked="0"/>
    </xf>
    <xf numFmtId="177" fontId="3" fillId="0" borderId="6" xfId="0" applyNumberFormat="1" applyFont="1" applyBorder="1" applyAlignment="1" applyProtection="1">
      <alignment horizontal="center" vertical="center" wrapText="1"/>
      <protection locked="0" hidden="1"/>
    </xf>
    <xf numFmtId="0" fontId="3" fillId="0" borderId="6" xfId="0" applyFont="1" applyBorder="1" applyAlignment="1" applyProtection="1">
      <alignment horizontal="center" vertical="center" wrapText="1"/>
      <protection hidden="1"/>
    </xf>
    <xf numFmtId="0" fontId="3" fillId="0" borderId="7" xfId="0" applyFont="1" applyBorder="1" applyAlignment="1" applyProtection="1">
      <alignment horizontal="center" vertical="center" wrapText="1"/>
      <protection hidden="1"/>
    </xf>
    <xf numFmtId="0" fontId="4" fillId="0" borderId="9" xfId="0" applyFont="1" applyBorder="1" applyAlignment="1" applyProtection="1">
      <alignment horizontal="center" vertical="center" wrapText="1"/>
      <protection locked="0"/>
    </xf>
    <xf numFmtId="0" fontId="4" fillId="0" borderId="10" xfId="0" applyFont="1" applyBorder="1" applyAlignment="1" applyProtection="1">
      <alignment horizontal="center" vertical="center" wrapText="1"/>
      <protection locked="0"/>
    </xf>
    <xf numFmtId="49" fontId="13" fillId="0" borderId="6" xfId="0" applyNumberFormat="1" applyFont="1" applyBorder="1" applyAlignment="1" applyProtection="1">
      <alignment horizontal="center" vertical="center"/>
      <protection locked="0"/>
    </xf>
    <xf numFmtId="49" fontId="13" fillId="0" borderId="7" xfId="0" applyNumberFormat="1" applyFont="1" applyBorder="1" applyAlignment="1" applyProtection="1">
      <alignment horizontal="center" vertical="center"/>
      <protection locked="0"/>
    </xf>
    <xf numFmtId="0" fontId="3" fillId="0" borderId="6" xfId="0" applyFont="1" applyBorder="1" applyAlignment="1" applyProtection="1">
      <alignment horizontal="center" vertical="center" wrapText="1"/>
      <protection locked="0" hidden="1"/>
    </xf>
    <xf numFmtId="0" fontId="16" fillId="3" borderId="12" xfId="0" applyFont="1" applyFill="1" applyBorder="1" applyAlignment="1" applyProtection="1">
      <alignment horizontal="center" vertical="center"/>
      <protection locked="0"/>
    </xf>
    <xf numFmtId="0" fontId="16" fillId="3" borderId="13" xfId="0" applyFont="1" applyFill="1" applyBorder="1" applyAlignment="1" applyProtection="1">
      <alignment horizontal="center" vertical="center"/>
      <protection locked="0"/>
    </xf>
    <xf numFmtId="0" fontId="16" fillId="3" borderId="21" xfId="0" applyFont="1" applyFill="1" applyBorder="1" applyAlignment="1" applyProtection="1">
      <alignment horizontal="center" vertical="center"/>
      <protection locked="0"/>
    </xf>
  </cellXfs>
  <cellStyles count="89">
    <cellStyle name="Comma 2" xfId="3"/>
    <cellStyle name="Comma 2 2" xfId="4"/>
    <cellStyle name="Comma 2 2 2" xfId="5"/>
    <cellStyle name="Comma 2 3" xfId="6"/>
    <cellStyle name="Normal 2" xfId="7"/>
    <cellStyle name="Normal 2 2" xfId="8"/>
    <cellStyle name="Normal 2 2 2" xfId="9"/>
    <cellStyle name="Normal 2 3" xfId="10"/>
    <cellStyle name="Normal 2_(Hikki's Copy)" xfId="11"/>
    <cellStyle name="Normal 3" xfId="12"/>
    <cellStyle name="Normal 3 2" xfId="13"/>
    <cellStyle name="Normal 4" xfId="14"/>
    <cellStyle name="Normal 4 2" xfId="15"/>
    <cellStyle name="Normal 5" xfId="16"/>
    <cellStyle name="Normal 5 2" xfId="17"/>
    <cellStyle name="Normal 6" xfId="18"/>
    <cellStyle name="Normal 6 2" xfId="19"/>
    <cellStyle name="Normal 7" xfId="20"/>
    <cellStyle name="Normal 7 2" xfId="21"/>
    <cellStyle name="Normal 8" xfId="22"/>
    <cellStyle name="Normal 9" xfId="23"/>
    <cellStyle name="oft Excel]_x000d__x000a_Comment=The open=/f lines load custom functions into the Paste Function list._x000d__x000a_Maximized=2_x000d__x000a_DefaultPath" xfId="24"/>
    <cellStyle name="oft Excel]_x000d__x000a_Comment=The open=/f lines load custom functions into the Paste Function list._x000d__x000a_Maximized=2_x000d__x000a_DefaultPath 2" xfId="25"/>
    <cellStyle name="Percent 2" xfId="26"/>
    <cellStyle name="Percent 2 2" xfId="27"/>
    <cellStyle name="一般" xfId="0" builtinId="0"/>
    <cellStyle name="一般 11 2 2 2 2" xfId="28"/>
    <cellStyle name="一般 2" xfId="29"/>
    <cellStyle name="一般 3" xfId="30"/>
    <cellStyle name="一般 3 2" xfId="31"/>
    <cellStyle name="好 2" xfId="32"/>
    <cellStyle name="常规 10" xfId="33"/>
    <cellStyle name="常规 10 2" xfId="34"/>
    <cellStyle name="常规 10 3" xfId="35"/>
    <cellStyle name="常规 11" xfId="36"/>
    <cellStyle name="常规 11 2" xfId="37"/>
    <cellStyle name="常规 12" xfId="2"/>
    <cellStyle name="常规 13" xfId="38"/>
    <cellStyle name="常规 14" xfId="39"/>
    <cellStyle name="常规 16" xfId="40"/>
    <cellStyle name="常规 17" xfId="41"/>
    <cellStyle name="常规 18" xfId="42"/>
    <cellStyle name="常规 19" xfId="43"/>
    <cellStyle name="常规 2" xfId="44"/>
    <cellStyle name="常规 2 2" xfId="45"/>
    <cellStyle name="常规 2 3" xfId="46"/>
    <cellStyle name="常规 2 4" xfId="47"/>
    <cellStyle name="常规 20" xfId="48"/>
    <cellStyle name="常规 21" xfId="49"/>
    <cellStyle name="常规 22" xfId="50"/>
    <cellStyle name="常规 23" xfId="51"/>
    <cellStyle name="常规 24" xfId="52"/>
    <cellStyle name="常规 25" xfId="53"/>
    <cellStyle name="常规 26" xfId="54"/>
    <cellStyle name="常规 27" xfId="55"/>
    <cellStyle name="常规 28" xfId="56"/>
    <cellStyle name="常规 29" xfId="57"/>
    <cellStyle name="常规 3" xfId="58"/>
    <cellStyle name="常规 3 2" xfId="59"/>
    <cellStyle name="常规 30" xfId="60"/>
    <cellStyle name="常规 31" xfId="61"/>
    <cellStyle name="常规 32" xfId="62"/>
    <cellStyle name="常规 33" xfId="63"/>
    <cellStyle name="常规 34" xfId="64"/>
    <cellStyle name="常规 35" xfId="65"/>
    <cellStyle name="常规 36" xfId="66"/>
    <cellStyle name="常规 37" xfId="67"/>
    <cellStyle name="常规 38" xfId="68"/>
    <cellStyle name="常规 39" xfId="69"/>
    <cellStyle name="常规 4" xfId="70"/>
    <cellStyle name="常规 4 2" xfId="71"/>
    <cellStyle name="常规 4 3" xfId="72"/>
    <cellStyle name="常规 40" xfId="73"/>
    <cellStyle name="常规 5" xfId="74"/>
    <cellStyle name="常规 5 2" xfId="75"/>
    <cellStyle name="常规 5 3" xfId="76"/>
    <cellStyle name="常规 6" xfId="77"/>
    <cellStyle name="常规 6 2" xfId="78"/>
    <cellStyle name="常规 6 3" xfId="79"/>
    <cellStyle name="常规 7" xfId="80"/>
    <cellStyle name="常规 7 2" xfId="81"/>
    <cellStyle name="常规 7 3" xfId="82"/>
    <cellStyle name="常规 8" xfId="83"/>
    <cellStyle name="常规 8 2" xfId="84"/>
    <cellStyle name="常规 8 3" xfId="85"/>
    <cellStyle name="常规 9" xfId="86"/>
    <cellStyle name="常规 9 2" xfId="87"/>
    <cellStyle name="常规 9 3" xfId="88"/>
    <cellStyle name="超連結" xfId="1" builtinId="8"/>
  </cellStyles>
  <dxfs count="550">
    <dxf>
      <fill>
        <patternFill>
          <bgColor theme="3" tint="0.7999816888943144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 patternType="solid">
          <fgColor rgb="FFFFFF00"/>
        </patternFill>
      </fill>
    </dxf>
    <dxf>
      <fill>
        <patternFill>
          <bgColor rgb="FF92D050"/>
        </patternFill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3" tint="0.79998168889431442"/>
        </patternFill>
      </fill>
    </dxf>
    <dxf>
      <fill>
        <patternFill patternType="solid"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3" tint="0.79998168889431442"/>
        </patternFill>
      </fill>
    </dxf>
    <dxf>
      <fill>
        <patternFill patternType="solid">
          <bgColor rgb="FFFF0000"/>
        </patternFill>
      </fill>
    </dxf>
  </dxfs>
  <tableStyles count="0" defaultTableStyle="TableStyleMedium9" defaultPivotStyle="PivotStyleLight16"/>
  <colors>
    <mruColors>
      <color rgb="FF16F66B"/>
      <color rgb="FF78FAAA"/>
      <color rgb="FF0000CC"/>
      <color rgb="FFFF66FF"/>
      <color rgb="FFA1E3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BG25"/>
  <sheetViews>
    <sheetView showGridLines="0" tabSelected="1" zoomScale="85" zoomScaleNormal="85" workbookViewId="0">
      <selection activeCell="K2" sqref="K2:L2"/>
    </sheetView>
  </sheetViews>
  <sheetFormatPr defaultColWidth="8.75" defaultRowHeight="14.25"/>
  <cols>
    <col min="1" max="1" width="15" style="96" customWidth="1"/>
    <col min="2" max="2" width="8.75" style="96"/>
    <col min="3" max="17" width="6.75" style="96" customWidth="1"/>
    <col min="18" max="27" width="6.75" style="96" hidden="1" customWidth="1"/>
    <col min="28" max="28" width="9.5" style="96" customWidth="1"/>
    <col min="29" max="29" width="10.25" style="96" customWidth="1"/>
    <col min="30" max="33" width="8.75" style="96"/>
    <col min="34" max="48" width="6.75" style="96" customWidth="1"/>
    <col min="49" max="58" width="6.75" style="96" hidden="1" customWidth="1"/>
    <col min="59" max="16384" width="8.75" style="96"/>
  </cols>
  <sheetData>
    <row r="1" spans="1:59" customFormat="1" ht="21" thickBot="1">
      <c r="A1" s="130" t="s">
        <v>609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0"/>
      <c r="U1" s="130"/>
      <c r="V1" s="130"/>
      <c r="W1" s="130"/>
      <c r="X1" s="130"/>
      <c r="Y1" s="130"/>
      <c r="Z1" s="130"/>
      <c r="AA1" s="130"/>
      <c r="AB1" s="130"/>
      <c r="AC1" s="130"/>
      <c r="AD1" s="130"/>
      <c r="AE1" s="130"/>
      <c r="AF1" s="130"/>
      <c r="AG1" s="89" t="s">
        <v>9</v>
      </c>
      <c r="AH1" s="131"/>
      <c r="AI1" s="104"/>
      <c r="AJ1" s="104"/>
      <c r="AK1" s="104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64"/>
      <c r="AW1" s="64"/>
      <c r="AX1" s="64"/>
      <c r="AY1" s="64"/>
      <c r="AZ1" s="64"/>
      <c r="BA1" s="64"/>
      <c r="BB1" s="64"/>
      <c r="BC1" s="64"/>
      <c r="BD1" s="64"/>
      <c r="BE1" s="64"/>
      <c r="BF1" s="93"/>
      <c r="BG1" s="90"/>
    </row>
    <row r="2" spans="1:59" s="95" customFormat="1" ht="15.75" thickBot="1">
      <c r="A2" s="82" t="s">
        <v>18</v>
      </c>
      <c r="B2" s="132"/>
      <c r="C2" s="132"/>
      <c r="D2" s="132"/>
      <c r="E2" s="132"/>
      <c r="F2" s="82" t="s">
        <v>37</v>
      </c>
      <c r="G2" s="132"/>
      <c r="H2" s="132"/>
      <c r="I2" s="132"/>
      <c r="J2" s="132"/>
      <c r="K2" s="133"/>
      <c r="L2" s="134"/>
      <c r="M2" s="126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8"/>
      <c r="AB2" s="81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69"/>
      <c r="AW2" s="69"/>
      <c r="AX2" s="69"/>
      <c r="AY2" s="69"/>
      <c r="AZ2" s="69"/>
      <c r="BA2" s="69"/>
      <c r="BB2" s="69"/>
      <c r="BC2" s="69"/>
      <c r="BD2" s="69"/>
      <c r="BE2" s="69"/>
      <c r="BF2" s="92"/>
      <c r="BG2" s="94"/>
    </row>
    <row r="3" spans="1:59" customFormat="1" ht="15">
      <c r="A3" s="73" t="s">
        <v>611</v>
      </c>
      <c r="B3" s="66"/>
      <c r="C3" s="118" t="s">
        <v>634</v>
      </c>
      <c r="D3" s="119"/>
      <c r="E3" s="120"/>
      <c r="F3" s="121"/>
      <c r="G3" s="122"/>
      <c r="H3" s="123"/>
      <c r="I3" s="118" t="s">
        <v>629</v>
      </c>
      <c r="J3" s="120"/>
      <c r="K3" s="124"/>
      <c r="L3" s="125"/>
      <c r="M3" s="126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8"/>
      <c r="AB3" s="107"/>
      <c r="AC3" s="107"/>
      <c r="AD3" s="107"/>
      <c r="AE3" s="107"/>
      <c r="AF3" s="107"/>
      <c r="AG3" s="107"/>
      <c r="AH3" s="108"/>
      <c r="AI3" s="108"/>
      <c r="AJ3" s="108"/>
      <c r="AK3" s="108"/>
      <c r="AL3" s="108"/>
      <c r="AM3" s="108"/>
      <c r="AN3" s="108"/>
      <c r="AO3" s="108"/>
      <c r="AP3" s="108"/>
      <c r="AQ3" s="108"/>
      <c r="AR3" s="108"/>
      <c r="AS3" s="108"/>
      <c r="AT3" s="108"/>
      <c r="AU3" s="109"/>
      <c r="AV3" s="64"/>
      <c r="AW3" s="64"/>
      <c r="AX3" s="64"/>
      <c r="AY3" s="64"/>
      <c r="AZ3" s="64"/>
      <c r="BA3" s="64"/>
      <c r="BB3" s="64"/>
      <c r="BC3" s="64"/>
      <c r="BD3" s="64"/>
      <c r="BE3" s="64"/>
      <c r="BF3" s="93"/>
      <c r="BG3" s="90"/>
    </row>
    <row r="4" spans="1:59" customFormat="1" ht="15">
      <c r="A4" s="84" t="s">
        <v>622</v>
      </c>
      <c r="B4" s="67"/>
      <c r="C4" s="103" t="s">
        <v>610</v>
      </c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10" t="s">
        <v>623</v>
      </c>
      <c r="AC4" s="103" t="s">
        <v>612</v>
      </c>
      <c r="AD4" s="103"/>
      <c r="AE4" s="111"/>
      <c r="AF4" s="104"/>
      <c r="AG4" s="112"/>
      <c r="AH4" s="115" t="s">
        <v>610</v>
      </c>
      <c r="AI4" s="116"/>
      <c r="AJ4" s="116"/>
      <c r="AK4" s="116"/>
      <c r="AL4" s="116"/>
      <c r="AM4" s="116"/>
      <c r="AN4" s="116"/>
      <c r="AO4" s="116"/>
      <c r="AP4" s="116"/>
      <c r="AQ4" s="116"/>
      <c r="AR4" s="116"/>
      <c r="AS4" s="116"/>
      <c r="AT4" s="116"/>
      <c r="AU4" s="116"/>
      <c r="AV4" s="116"/>
      <c r="AW4" s="116"/>
      <c r="AX4" s="116"/>
      <c r="AY4" s="116"/>
      <c r="AZ4" s="116"/>
      <c r="BA4" s="116"/>
      <c r="BB4" s="116"/>
      <c r="BC4" s="116"/>
      <c r="BD4" s="116"/>
      <c r="BE4" s="116"/>
      <c r="BF4" s="117"/>
      <c r="BG4" s="90"/>
    </row>
    <row r="5" spans="1:59" customFormat="1" ht="15">
      <c r="A5" s="88" t="s">
        <v>30</v>
      </c>
      <c r="B5" s="67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110"/>
      <c r="AC5" s="103" t="s">
        <v>613</v>
      </c>
      <c r="AD5" s="103"/>
      <c r="AE5" s="102">
        <f>SUM(AF10:AF24)</f>
        <v>0</v>
      </c>
      <c r="AF5" s="102"/>
      <c r="AG5" s="113"/>
      <c r="AH5" s="87" t="str">
        <f t="shared" ref="AH5:AQ5" si="0">IF(C5="", "", C5)</f>
        <v/>
      </c>
      <c r="AI5" s="87" t="str">
        <f t="shared" si="0"/>
        <v/>
      </c>
      <c r="AJ5" s="87" t="str">
        <f t="shared" si="0"/>
        <v/>
      </c>
      <c r="AK5" s="87" t="str">
        <f t="shared" si="0"/>
        <v/>
      </c>
      <c r="AL5" s="87" t="str">
        <f t="shared" si="0"/>
        <v/>
      </c>
      <c r="AM5" s="87" t="str">
        <f t="shared" si="0"/>
        <v/>
      </c>
      <c r="AN5" s="87" t="str">
        <f t="shared" si="0"/>
        <v/>
      </c>
      <c r="AO5" s="87" t="str">
        <f t="shared" si="0"/>
        <v/>
      </c>
      <c r="AP5" s="87" t="str">
        <f t="shared" si="0"/>
        <v/>
      </c>
      <c r="AQ5" s="87" t="str">
        <f t="shared" si="0"/>
        <v/>
      </c>
      <c r="AR5" s="87" t="str">
        <f t="shared" ref="AR5:AU5" si="1">IF(M5="", "", M5)</f>
        <v/>
      </c>
      <c r="AS5" s="87" t="str">
        <f t="shared" si="1"/>
        <v/>
      </c>
      <c r="AT5" s="87" t="str">
        <f t="shared" si="1"/>
        <v/>
      </c>
      <c r="AU5" s="87" t="str">
        <f t="shared" si="1"/>
        <v/>
      </c>
      <c r="AV5" s="87" t="str">
        <f>IF(Q5="", "", Q5)</f>
        <v/>
      </c>
      <c r="AW5" s="87" t="str">
        <f t="shared" ref="AW5:BF5" si="2">IF(R5="", "", R5)</f>
        <v/>
      </c>
      <c r="AX5" s="87" t="str">
        <f t="shared" si="2"/>
        <v/>
      </c>
      <c r="AY5" s="87" t="str">
        <f t="shared" si="2"/>
        <v/>
      </c>
      <c r="AZ5" s="87" t="str">
        <f t="shared" si="2"/>
        <v/>
      </c>
      <c r="BA5" s="87" t="str">
        <f t="shared" si="2"/>
        <v/>
      </c>
      <c r="BB5" s="87" t="str">
        <f t="shared" si="2"/>
        <v/>
      </c>
      <c r="BC5" s="87" t="str">
        <f t="shared" si="2"/>
        <v/>
      </c>
      <c r="BD5" s="87" t="str">
        <f t="shared" si="2"/>
        <v/>
      </c>
      <c r="BE5" s="87" t="str">
        <f t="shared" si="2"/>
        <v/>
      </c>
      <c r="BF5" s="87" t="str">
        <f t="shared" si="2"/>
        <v/>
      </c>
      <c r="BG5" s="90"/>
    </row>
    <row r="6" spans="1:59" customFormat="1" ht="15">
      <c r="A6" s="100" t="s">
        <v>614</v>
      </c>
      <c r="B6" s="100"/>
      <c r="C6" s="86"/>
      <c r="D6" s="86"/>
      <c r="E6" s="86"/>
      <c r="F6" s="86"/>
      <c r="G6" s="86"/>
      <c r="H6" s="86"/>
      <c r="I6" s="86"/>
      <c r="J6" s="86"/>
      <c r="K6" s="86"/>
      <c r="L6" s="86"/>
      <c r="M6" s="86"/>
      <c r="N6" s="86"/>
      <c r="O6" s="86"/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74">
        <f>SUM(C6:AA6)</f>
        <v>0</v>
      </c>
      <c r="AC6" s="101" t="str">
        <f>IF(AE6&lt;5,"NO ",IF(AE6=5,"OK",IF(AE6&gt;5,"OK")))</f>
        <v xml:space="preserve">NO </v>
      </c>
      <c r="AD6" s="101"/>
      <c r="AE6" s="102">
        <f>AE4-AE5-AE7</f>
        <v>0</v>
      </c>
      <c r="AF6" s="102"/>
      <c r="AG6" s="113"/>
      <c r="AH6" s="129" t="s">
        <v>628</v>
      </c>
      <c r="AI6" s="129"/>
      <c r="AJ6" s="129"/>
      <c r="AK6" s="129"/>
      <c r="AL6" s="129"/>
      <c r="AM6" s="129"/>
      <c r="AN6" s="129"/>
      <c r="AO6" s="129"/>
      <c r="AP6" s="129"/>
      <c r="AQ6" s="129"/>
      <c r="AR6" s="129"/>
      <c r="AS6" s="129"/>
      <c r="AT6" s="129"/>
      <c r="AU6" s="129"/>
      <c r="AV6" s="129"/>
      <c r="AW6" s="129"/>
      <c r="AX6" s="129"/>
      <c r="AY6" s="129"/>
      <c r="AZ6" s="129"/>
      <c r="BA6" s="129"/>
      <c r="BB6" s="129"/>
      <c r="BC6" s="129"/>
      <c r="BD6" s="129"/>
      <c r="BE6" s="129"/>
      <c r="BF6" s="129"/>
      <c r="BG6" s="90"/>
    </row>
    <row r="7" spans="1:59" customFormat="1" ht="15">
      <c r="A7" s="100" t="s">
        <v>621</v>
      </c>
      <c r="B7" s="100"/>
      <c r="C7" s="85" t="str">
        <f t="shared" ref="C7:AA7" si="3">IF(C5="","",C6-C10*$AB10-C11*$AB11-C12*$AB12-C13*$AB13-C14*$AB14-C15*$AB15-C16*$AB16-C17*$AB17-C18*$AB18-C19*$AB19-C20*$AB20-C21*$AB21-C22*$AB22-C23*$AB23-C24*$AB24)</f>
        <v/>
      </c>
      <c r="D7" s="85" t="str">
        <f t="shared" si="3"/>
        <v/>
      </c>
      <c r="E7" s="85" t="str">
        <f t="shared" si="3"/>
        <v/>
      </c>
      <c r="F7" s="85" t="str">
        <f t="shared" si="3"/>
        <v/>
      </c>
      <c r="G7" s="85" t="str">
        <f t="shared" si="3"/>
        <v/>
      </c>
      <c r="H7" s="85" t="str">
        <f t="shared" si="3"/>
        <v/>
      </c>
      <c r="I7" s="85" t="str">
        <f t="shared" si="3"/>
        <v/>
      </c>
      <c r="J7" s="85" t="str">
        <f t="shared" si="3"/>
        <v/>
      </c>
      <c r="K7" s="85" t="str">
        <f t="shared" si="3"/>
        <v/>
      </c>
      <c r="L7" s="85" t="str">
        <f t="shared" si="3"/>
        <v/>
      </c>
      <c r="M7" s="85" t="str">
        <f t="shared" si="3"/>
        <v/>
      </c>
      <c r="N7" s="85" t="str">
        <f t="shared" si="3"/>
        <v/>
      </c>
      <c r="O7" s="85" t="str">
        <f t="shared" si="3"/>
        <v/>
      </c>
      <c r="P7" s="85" t="str">
        <f t="shared" si="3"/>
        <v/>
      </c>
      <c r="Q7" s="85" t="str">
        <f t="shared" si="3"/>
        <v/>
      </c>
      <c r="R7" s="85" t="str">
        <f t="shared" si="3"/>
        <v/>
      </c>
      <c r="S7" s="85" t="str">
        <f t="shared" si="3"/>
        <v/>
      </c>
      <c r="T7" s="85" t="str">
        <f t="shared" si="3"/>
        <v/>
      </c>
      <c r="U7" s="85" t="str">
        <f t="shared" si="3"/>
        <v/>
      </c>
      <c r="V7" s="85" t="str">
        <f t="shared" si="3"/>
        <v/>
      </c>
      <c r="W7" s="85" t="str">
        <f t="shared" si="3"/>
        <v/>
      </c>
      <c r="X7" s="85" t="str">
        <f t="shared" si="3"/>
        <v/>
      </c>
      <c r="Y7" s="85" t="str">
        <f t="shared" si="3"/>
        <v/>
      </c>
      <c r="Z7" s="85" t="str">
        <f t="shared" si="3"/>
        <v/>
      </c>
      <c r="AA7" s="85" t="str">
        <f t="shared" si="3"/>
        <v/>
      </c>
      <c r="AB7" s="85">
        <f>SUM(C7:AA7)</f>
        <v>0</v>
      </c>
      <c r="AC7" s="103" t="s">
        <v>620</v>
      </c>
      <c r="AD7" s="103"/>
      <c r="AE7" s="104"/>
      <c r="AF7" s="104"/>
      <c r="AG7" s="113"/>
      <c r="AH7" s="129"/>
      <c r="AI7" s="129"/>
      <c r="AJ7" s="129"/>
      <c r="AK7" s="129"/>
      <c r="AL7" s="129"/>
      <c r="AM7" s="129"/>
      <c r="AN7" s="129"/>
      <c r="AO7" s="129"/>
      <c r="AP7" s="129"/>
      <c r="AQ7" s="129"/>
      <c r="AR7" s="129"/>
      <c r="AS7" s="129"/>
      <c r="AT7" s="129"/>
      <c r="AU7" s="129"/>
      <c r="AV7" s="129"/>
      <c r="AW7" s="129"/>
      <c r="AX7" s="129"/>
      <c r="AY7" s="129"/>
      <c r="AZ7" s="129"/>
      <c r="BA7" s="129"/>
      <c r="BB7" s="129"/>
      <c r="BC7" s="129"/>
      <c r="BD7" s="129"/>
      <c r="BE7" s="129"/>
      <c r="BF7" s="129"/>
      <c r="BG7" s="90"/>
    </row>
    <row r="8" spans="1:59" customFormat="1" ht="15">
      <c r="A8" s="105" t="s">
        <v>624</v>
      </c>
      <c r="B8" s="103" t="s">
        <v>38</v>
      </c>
      <c r="C8" s="103" t="s">
        <v>0</v>
      </c>
      <c r="D8" s="103"/>
      <c r="E8" s="103"/>
      <c r="F8" s="103"/>
      <c r="G8" s="103"/>
      <c r="H8" s="103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 t="s">
        <v>34</v>
      </c>
      <c r="AC8" s="105" t="s">
        <v>614</v>
      </c>
      <c r="AD8" s="105" t="s">
        <v>615</v>
      </c>
      <c r="AE8" s="105"/>
      <c r="AF8" s="106" t="s">
        <v>616</v>
      </c>
      <c r="AG8" s="113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29"/>
      <c r="AV8" s="129"/>
      <c r="AW8" s="129"/>
      <c r="AX8" s="129"/>
      <c r="AY8" s="129"/>
      <c r="AZ8" s="129"/>
      <c r="BA8" s="129"/>
      <c r="BB8" s="129"/>
      <c r="BC8" s="129"/>
      <c r="BD8" s="129"/>
      <c r="BE8" s="129"/>
      <c r="BF8" s="129"/>
      <c r="BG8" s="90"/>
    </row>
    <row r="9" spans="1:59" customFormat="1" ht="15">
      <c r="A9" s="103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5"/>
      <c r="AD9" s="83" t="s">
        <v>617</v>
      </c>
      <c r="AE9" s="83" t="s">
        <v>618</v>
      </c>
      <c r="AF9" s="106"/>
      <c r="AG9" s="113"/>
      <c r="AH9" s="129"/>
      <c r="AI9" s="129"/>
      <c r="AJ9" s="129"/>
      <c r="AK9" s="129"/>
      <c r="AL9" s="129"/>
      <c r="AM9" s="129"/>
      <c r="AN9" s="129"/>
      <c r="AO9" s="129"/>
      <c r="AP9" s="129"/>
      <c r="AQ9" s="129"/>
      <c r="AR9" s="129"/>
      <c r="AS9" s="129"/>
      <c r="AT9" s="129"/>
      <c r="AU9" s="129"/>
      <c r="AV9" s="129"/>
      <c r="AW9" s="129"/>
      <c r="AX9" s="129"/>
      <c r="AY9" s="129"/>
      <c r="AZ9" s="129"/>
      <c r="BA9" s="129"/>
      <c r="BB9" s="129"/>
      <c r="BC9" s="129"/>
      <c r="BD9" s="129"/>
      <c r="BE9" s="129"/>
      <c r="BF9" s="129"/>
      <c r="BG9" s="90"/>
    </row>
    <row r="10" spans="1:59" customFormat="1">
      <c r="A10" s="68"/>
      <c r="B10" s="97" t="str">
        <f>IF(AC10="","",IF(AC10&gt;0,1,0))</f>
        <v/>
      </c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75" t="str">
        <f t="shared" ref="AC10:AC24" si="4">IF(AB10="","",SUM(C10:AA10)*AB10)</f>
        <v/>
      </c>
      <c r="AD10" s="86"/>
      <c r="AE10" s="86"/>
      <c r="AF10" s="74" t="str">
        <f>IF(AB10="","",(AD10+(AE10/36))*AB10)</f>
        <v/>
      </c>
      <c r="AG10" s="113"/>
      <c r="AH10" s="76" t="str">
        <f t="shared" ref="AH10:AH24" si="5">IF(C10=0,"",ROUNDUP(C$7/C10,0))</f>
        <v/>
      </c>
      <c r="AI10" s="76" t="str">
        <f t="shared" ref="AI10:AI24" si="6">IF(D10=0,"",ROUNDUP(D$7/D10,0))</f>
        <v/>
      </c>
      <c r="AJ10" s="76" t="str">
        <f t="shared" ref="AJ10:AJ24" si="7">IF(E10=0,"",ROUNDUP(E$7/E10,0))</f>
        <v/>
      </c>
      <c r="AK10" s="76" t="str">
        <f t="shared" ref="AK10:AK24" si="8">IF(F10=0,"",ROUNDUP(F$7/F10,0))</f>
        <v/>
      </c>
      <c r="AL10" s="76" t="str">
        <f t="shared" ref="AL10:AL24" si="9">IF(G10=0,"",ROUNDUP(G$7/G10,0))</f>
        <v/>
      </c>
      <c r="AM10" s="76" t="str">
        <f t="shared" ref="AM10:AM24" si="10">IF(H10=0,"",ROUNDUP(H$7/H10,0))</f>
        <v/>
      </c>
      <c r="AN10" s="76" t="str">
        <f t="shared" ref="AN10:AN24" si="11">IF(I10=0,"",ROUNDUP(I$7/I10,0))</f>
        <v/>
      </c>
      <c r="AO10" s="76" t="str">
        <f t="shared" ref="AO10:AO24" si="12">IF(J10=0,"",ROUNDUP(J$7/J10,0))</f>
        <v/>
      </c>
      <c r="AP10" s="76" t="str">
        <f t="shared" ref="AP10:AP24" si="13">IF(K10=0,"",ROUNDUP(K$7/K10,0))</f>
        <v/>
      </c>
      <c r="AQ10" s="76" t="str">
        <f t="shared" ref="AQ10:AQ24" si="14">IF(L10=0,"",ROUNDUP(L$7/L10,0))</f>
        <v/>
      </c>
      <c r="AR10" s="76" t="str">
        <f t="shared" ref="AR10:AW10" si="15">IF(M10=0,"",ROUNDUP(M$7/M10,0))</f>
        <v/>
      </c>
      <c r="AS10" s="76" t="str">
        <f t="shared" si="15"/>
        <v/>
      </c>
      <c r="AT10" s="76" t="str">
        <f t="shared" si="15"/>
        <v/>
      </c>
      <c r="AU10" s="76" t="str">
        <f t="shared" si="15"/>
        <v/>
      </c>
      <c r="AV10" s="76" t="str">
        <f t="shared" si="15"/>
        <v/>
      </c>
      <c r="AW10" s="76" t="str">
        <f t="shared" si="15"/>
        <v/>
      </c>
      <c r="AX10" s="76" t="str">
        <f t="shared" ref="AR10:BF24" si="16">IF(S10=0,"",ROUNDUP(S$7/S10,0))</f>
        <v/>
      </c>
      <c r="AY10" s="76" t="str">
        <f t="shared" si="16"/>
        <v/>
      </c>
      <c r="AZ10" s="76" t="str">
        <f t="shared" si="16"/>
        <v/>
      </c>
      <c r="BA10" s="76" t="str">
        <f t="shared" si="16"/>
        <v/>
      </c>
      <c r="BB10" s="76" t="str">
        <f t="shared" si="16"/>
        <v/>
      </c>
      <c r="BC10" s="76" t="str">
        <f t="shared" si="16"/>
        <v/>
      </c>
      <c r="BD10" s="76" t="str">
        <f t="shared" si="16"/>
        <v/>
      </c>
      <c r="BE10" s="76" t="str">
        <f t="shared" si="16"/>
        <v/>
      </c>
      <c r="BF10" s="76" t="str">
        <f t="shared" si="16"/>
        <v/>
      </c>
      <c r="BG10" s="90"/>
    </row>
    <row r="11" spans="1:59" customFormat="1">
      <c r="A11" s="68"/>
      <c r="B11" s="97" t="str">
        <f t="shared" ref="B11:B24" si="17">IF(AC11="","",IF(AC11=0,"",IF(B10="","",B10+1)))</f>
        <v/>
      </c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75" t="str">
        <f t="shared" si="4"/>
        <v/>
      </c>
      <c r="AD11" s="86"/>
      <c r="AE11" s="86"/>
      <c r="AF11" s="74" t="str">
        <f>IF(AB11="","",(AD11+(AE11/36))*AB11)</f>
        <v/>
      </c>
      <c r="AG11" s="113"/>
      <c r="AH11" s="76" t="str">
        <f t="shared" si="5"/>
        <v/>
      </c>
      <c r="AI11" s="76" t="str">
        <f t="shared" si="6"/>
        <v/>
      </c>
      <c r="AJ11" s="76" t="str">
        <f t="shared" si="7"/>
        <v/>
      </c>
      <c r="AK11" s="76" t="str">
        <f t="shared" si="8"/>
        <v/>
      </c>
      <c r="AL11" s="76" t="str">
        <f t="shared" si="9"/>
        <v/>
      </c>
      <c r="AM11" s="76" t="str">
        <f t="shared" si="10"/>
        <v/>
      </c>
      <c r="AN11" s="76" t="str">
        <f t="shared" si="11"/>
        <v/>
      </c>
      <c r="AO11" s="76" t="str">
        <f t="shared" si="12"/>
        <v/>
      </c>
      <c r="AP11" s="76" t="str">
        <f t="shared" si="13"/>
        <v/>
      </c>
      <c r="AQ11" s="76" t="str">
        <f t="shared" si="14"/>
        <v/>
      </c>
      <c r="AR11" s="76" t="str">
        <f t="shared" si="16"/>
        <v/>
      </c>
      <c r="AS11" s="76" t="str">
        <f t="shared" si="16"/>
        <v/>
      </c>
      <c r="AT11" s="76" t="str">
        <f t="shared" si="16"/>
        <v/>
      </c>
      <c r="AU11" s="76" t="str">
        <f t="shared" si="16"/>
        <v/>
      </c>
      <c r="AV11" s="76" t="str">
        <f t="shared" si="16"/>
        <v/>
      </c>
      <c r="AW11" s="76" t="str">
        <f t="shared" si="16"/>
        <v/>
      </c>
      <c r="AX11" s="76" t="str">
        <f t="shared" si="16"/>
        <v/>
      </c>
      <c r="AY11" s="76" t="str">
        <f t="shared" si="16"/>
        <v/>
      </c>
      <c r="AZ11" s="76" t="str">
        <f t="shared" si="16"/>
        <v/>
      </c>
      <c r="BA11" s="76" t="str">
        <f t="shared" si="16"/>
        <v/>
      </c>
      <c r="BB11" s="76" t="str">
        <f t="shared" si="16"/>
        <v/>
      </c>
      <c r="BC11" s="76" t="str">
        <f t="shared" si="16"/>
        <v/>
      </c>
      <c r="BD11" s="76" t="str">
        <f t="shared" si="16"/>
        <v/>
      </c>
      <c r="BE11" s="76" t="str">
        <f t="shared" si="16"/>
        <v/>
      </c>
      <c r="BF11" s="76" t="str">
        <f t="shared" si="16"/>
        <v/>
      </c>
      <c r="BG11" s="90"/>
    </row>
    <row r="12" spans="1:59" customFormat="1">
      <c r="A12" s="68"/>
      <c r="B12" s="97" t="str">
        <f t="shared" si="17"/>
        <v/>
      </c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  <c r="P12" s="86"/>
      <c r="Q12" s="86"/>
      <c r="R12" s="86" t="s">
        <v>630</v>
      </c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75" t="str">
        <f t="shared" si="4"/>
        <v/>
      </c>
      <c r="AD12" s="86"/>
      <c r="AE12" s="86"/>
      <c r="AF12" s="74" t="str">
        <f>IF(AB12="","",(AD12+(AE12/36))*AB12)</f>
        <v/>
      </c>
      <c r="AG12" s="113"/>
      <c r="AH12" s="76" t="str">
        <f t="shared" si="5"/>
        <v/>
      </c>
      <c r="AI12" s="76" t="str">
        <f t="shared" si="6"/>
        <v/>
      </c>
      <c r="AJ12" s="76" t="str">
        <f t="shared" si="7"/>
        <v/>
      </c>
      <c r="AK12" s="76" t="str">
        <f t="shared" si="8"/>
        <v/>
      </c>
      <c r="AL12" s="76" t="str">
        <f t="shared" si="9"/>
        <v/>
      </c>
      <c r="AM12" s="76" t="str">
        <f t="shared" si="10"/>
        <v/>
      </c>
      <c r="AN12" s="76" t="str">
        <f t="shared" si="11"/>
        <v/>
      </c>
      <c r="AO12" s="76" t="str">
        <f t="shared" si="12"/>
        <v/>
      </c>
      <c r="AP12" s="76" t="str">
        <f t="shared" si="13"/>
        <v/>
      </c>
      <c r="AQ12" s="76" t="str">
        <f t="shared" si="14"/>
        <v/>
      </c>
      <c r="AR12" s="76" t="str">
        <f t="shared" si="16"/>
        <v/>
      </c>
      <c r="AS12" s="76" t="str">
        <f t="shared" si="16"/>
        <v/>
      </c>
      <c r="AT12" s="76" t="str">
        <f t="shared" si="16"/>
        <v/>
      </c>
      <c r="AU12" s="76" t="str">
        <f t="shared" si="16"/>
        <v/>
      </c>
      <c r="AV12" s="76" t="str">
        <f t="shared" si="16"/>
        <v/>
      </c>
      <c r="AW12" s="76" t="e">
        <f t="shared" si="16"/>
        <v>#VALUE!</v>
      </c>
      <c r="AX12" s="76" t="str">
        <f t="shared" si="16"/>
        <v/>
      </c>
      <c r="AY12" s="76" t="str">
        <f t="shared" si="16"/>
        <v/>
      </c>
      <c r="AZ12" s="76" t="str">
        <f t="shared" si="16"/>
        <v/>
      </c>
      <c r="BA12" s="76" t="str">
        <f t="shared" si="16"/>
        <v/>
      </c>
      <c r="BB12" s="76" t="str">
        <f t="shared" si="16"/>
        <v/>
      </c>
      <c r="BC12" s="76" t="str">
        <f t="shared" si="16"/>
        <v/>
      </c>
      <c r="BD12" s="76" t="str">
        <f t="shared" si="16"/>
        <v/>
      </c>
      <c r="BE12" s="76" t="str">
        <f t="shared" si="16"/>
        <v/>
      </c>
      <c r="BF12" s="76" t="str">
        <f t="shared" si="16"/>
        <v/>
      </c>
      <c r="BG12" s="90"/>
    </row>
    <row r="13" spans="1:59" customFormat="1">
      <c r="A13" s="68"/>
      <c r="B13" s="97" t="str">
        <f t="shared" si="17"/>
        <v/>
      </c>
      <c r="C13" s="86"/>
      <c r="D13" s="86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6"/>
      <c r="X13" s="86"/>
      <c r="Y13" s="86"/>
      <c r="Z13" s="86"/>
      <c r="AA13" s="86"/>
      <c r="AB13" s="86"/>
      <c r="AC13" s="75" t="str">
        <f t="shared" si="4"/>
        <v/>
      </c>
      <c r="AD13" s="86"/>
      <c r="AE13" s="86"/>
      <c r="AF13" s="74" t="str">
        <f>IF(AB13="","",(AD13+(AE13/36))*AB13)</f>
        <v/>
      </c>
      <c r="AG13" s="113"/>
      <c r="AH13" s="76" t="str">
        <f t="shared" si="5"/>
        <v/>
      </c>
      <c r="AI13" s="76" t="str">
        <f t="shared" si="6"/>
        <v/>
      </c>
      <c r="AJ13" s="76" t="str">
        <f t="shared" si="7"/>
        <v/>
      </c>
      <c r="AK13" s="76" t="str">
        <f t="shared" si="8"/>
        <v/>
      </c>
      <c r="AL13" s="76" t="str">
        <f t="shared" si="9"/>
        <v/>
      </c>
      <c r="AM13" s="76" t="str">
        <f t="shared" si="10"/>
        <v/>
      </c>
      <c r="AN13" s="76" t="str">
        <f t="shared" si="11"/>
        <v/>
      </c>
      <c r="AO13" s="76" t="str">
        <f t="shared" si="12"/>
        <v/>
      </c>
      <c r="AP13" s="76" t="str">
        <f t="shared" si="13"/>
        <v/>
      </c>
      <c r="AQ13" s="76" t="str">
        <f t="shared" si="14"/>
        <v/>
      </c>
      <c r="AR13" s="76" t="str">
        <f t="shared" si="16"/>
        <v/>
      </c>
      <c r="AS13" s="76" t="str">
        <f t="shared" si="16"/>
        <v/>
      </c>
      <c r="AT13" s="76" t="str">
        <f t="shared" si="16"/>
        <v/>
      </c>
      <c r="AU13" s="76" t="str">
        <f t="shared" si="16"/>
        <v/>
      </c>
      <c r="AV13" s="76" t="str">
        <f t="shared" si="16"/>
        <v/>
      </c>
      <c r="AW13" s="76" t="str">
        <f t="shared" si="16"/>
        <v/>
      </c>
      <c r="AX13" s="76" t="str">
        <f t="shared" si="16"/>
        <v/>
      </c>
      <c r="AY13" s="76" t="str">
        <f t="shared" si="16"/>
        <v/>
      </c>
      <c r="AZ13" s="76" t="str">
        <f t="shared" si="16"/>
        <v/>
      </c>
      <c r="BA13" s="76" t="str">
        <f t="shared" si="16"/>
        <v/>
      </c>
      <c r="BB13" s="76" t="str">
        <f t="shared" si="16"/>
        <v/>
      </c>
      <c r="BC13" s="76" t="str">
        <f t="shared" si="16"/>
        <v/>
      </c>
      <c r="BD13" s="76" t="str">
        <f t="shared" si="16"/>
        <v/>
      </c>
      <c r="BE13" s="76" t="str">
        <f t="shared" si="16"/>
        <v/>
      </c>
      <c r="BF13" s="76" t="str">
        <f t="shared" si="16"/>
        <v/>
      </c>
      <c r="BG13" s="90"/>
    </row>
    <row r="14" spans="1:59" customFormat="1">
      <c r="A14" s="68"/>
      <c r="B14" s="97" t="str">
        <f t="shared" si="17"/>
        <v/>
      </c>
      <c r="C14" s="86"/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6"/>
      <c r="X14" s="86"/>
      <c r="Y14" s="86"/>
      <c r="Z14" s="86"/>
      <c r="AA14" s="86"/>
      <c r="AB14" s="86"/>
      <c r="AC14" s="75" t="str">
        <f t="shared" si="4"/>
        <v/>
      </c>
      <c r="AD14" s="86"/>
      <c r="AE14" s="86"/>
      <c r="AF14" s="74" t="str">
        <f>IF(AB14="","",(AD14+(AE14/36))*AB14)</f>
        <v/>
      </c>
      <c r="AG14" s="113"/>
      <c r="AH14" s="76" t="str">
        <f t="shared" si="5"/>
        <v/>
      </c>
      <c r="AI14" s="76" t="str">
        <f t="shared" si="6"/>
        <v/>
      </c>
      <c r="AJ14" s="76" t="str">
        <f t="shared" si="7"/>
        <v/>
      </c>
      <c r="AK14" s="76" t="str">
        <f t="shared" si="8"/>
        <v/>
      </c>
      <c r="AL14" s="76" t="str">
        <f t="shared" si="9"/>
        <v/>
      </c>
      <c r="AM14" s="76" t="str">
        <f t="shared" si="10"/>
        <v/>
      </c>
      <c r="AN14" s="76" t="str">
        <f t="shared" si="11"/>
        <v/>
      </c>
      <c r="AO14" s="76" t="str">
        <f t="shared" si="12"/>
        <v/>
      </c>
      <c r="AP14" s="76" t="str">
        <f t="shared" si="13"/>
        <v/>
      </c>
      <c r="AQ14" s="76" t="str">
        <f t="shared" si="14"/>
        <v/>
      </c>
      <c r="AR14" s="76" t="str">
        <f t="shared" si="16"/>
        <v/>
      </c>
      <c r="AS14" s="76" t="str">
        <f t="shared" si="16"/>
        <v/>
      </c>
      <c r="AT14" s="76" t="str">
        <f t="shared" si="16"/>
        <v/>
      </c>
      <c r="AU14" s="76" t="str">
        <f t="shared" si="16"/>
        <v/>
      </c>
      <c r="AV14" s="76" t="str">
        <f t="shared" si="16"/>
        <v/>
      </c>
      <c r="AW14" s="76" t="str">
        <f t="shared" si="16"/>
        <v/>
      </c>
      <c r="AX14" s="76" t="str">
        <f t="shared" si="16"/>
        <v/>
      </c>
      <c r="AY14" s="76" t="str">
        <f t="shared" si="16"/>
        <v/>
      </c>
      <c r="AZ14" s="76" t="str">
        <f t="shared" si="16"/>
        <v/>
      </c>
      <c r="BA14" s="76" t="str">
        <f t="shared" si="16"/>
        <v/>
      </c>
      <c r="BB14" s="76" t="str">
        <f t="shared" si="16"/>
        <v/>
      </c>
      <c r="BC14" s="76" t="str">
        <f t="shared" si="16"/>
        <v/>
      </c>
      <c r="BD14" s="76" t="str">
        <f t="shared" si="16"/>
        <v/>
      </c>
      <c r="BE14" s="76" t="str">
        <f t="shared" si="16"/>
        <v/>
      </c>
      <c r="BF14" s="76" t="str">
        <f t="shared" si="16"/>
        <v/>
      </c>
      <c r="BG14" s="90"/>
    </row>
    <row r="15" spans="1:59" customFormat="1">
      <c r="A15" s="68"/>
      <c r="B15" s="97" t="str">
        <f t="shared" si="17"/>
        <v/>
      </c>
      <c r="C15" s="86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6"/>
      <c r="X15" s="86"/>
      <c r="Y15" s="86"/>
      <c r="Z15" s="86"/>
      <c r="AA15" s="86"/>
      <c r="AB15" s="86"/>
      <c r="AC15" s="75" t="str">
        <f t="shared" si="4"/>
        <v/>
      </c>
      <c r="AD15" s="68"/>
      <c r="AE15" s="68"/>
      <c r="AF15" s="74" t="str">
        <f t="shared" ref="AF15:AF24" si="18">IF(AB15="","",(AD15+(AE15/36))*AB15)</f>
        <v/>
      </c>
      <c r="AG15" s="113"/>
      <c r="AH15" s="76" t="str">
        <f t="shared" si="5"/>
        <v/>
      </c>
      <c r="AI15" s="76" t="str">
        <f t="shared" si="6"/>
        <v/>
      </c>
      <c r="AJ15" s="76" t="str">
        <f t="shared" si="7"/>
        <v/>
      </c>
      <c r="AK15" s="76" t="str">
        <f t="shared" si="8"/>
        <v/>
      </c>
      <c r="AL15" s="76" t="str">
        <f t="shared" si="9"/>
        <v/>
      </c>
      <c r="AM15" s="76" t="str">
        <f t="shared" si="10"/>
        <v/>
      </c>
      <c r="AN15" s="76" t="str">
        <f t="shared" si="11"/>
        <v/>
      </c>
      <c r="AO15" s="76" t="str">
        <f t="shared" si="12"/>
        <v/>
      </c>
      <c r="AP15" s="76" t="str">
        <f t="shared" si="13"/>
        <v/>
      </c>
      <c r="AQ15" s="76" t="str">
        <f t="shared" si="14"/>
        <v/>
      </c>
      <c r="AR15" s="76" t="str">
        <f t="shared" si="16"/>
        <v/>
      </c>
      <c r="AS15" s="76" t="str">
        <f t="shared" si="16"/>
        <v/>
      </c>
      <c r="AT15" s="76" t="str">
        <f t="shared" si="16"/>
        <v/>
      </c>
      <c r="AU15" s="76" t="str">
        <f t="shared" si="16"/>
        <v/>
      </c>
      <c r="AV15" s="76" t="str">
        <f t="shared" si="16"/>
        <v/>
      </c>
      <c r="AW15" s="76" t="str">
        <f t="shared" si="16"/>
        <v/>
      </c>
      <c r="AX15" s="76" t="str">
        <f t="shared" si="16"/>
        <v/>
      </c>
      <c r="AY15" s="76" t="str">
        <f t="shared" si="16"/>
        <v/>
      </c>
      <c r="AZ15" s="76" t="str">
        <f t="shared" si="16"/>
        <v/>
      </c>
      <c r="BA15" s="76" t="str">
        <f t="shared" si="16"/>
        <v/>
      </c>
      <c r="BB15" s="76" t="str">
        <f t="shared" si="16"/>
        <v/>
      </c>
      <c r="BC15" s="76" t="str">
        <f t="shared" si="16"/>
        <v/>
      </c>
      <c r="BD15" s="76" t="str">
        <f t="shared" si="16"/>
        <v/>
      </c>
      <c r="BE15" s="76" t="str">
        <f t="shared" si="16"/>
        <v/>
      </c>
      <c r="BF15" s="76" t="str">
        <f t="shared" si="16"/>
        <v/>
      </c>
      <c r="BG15" s="90"/>
    </row>
    <row r="16" spans="1:59" customFormat="1">
      <c r="A16" s="68"/>
      <c r="B16" s="97" t="str">
        <f t="shared" si="17"/>
        <v/>
      </c>
      <c r="C16" s="86"/>
      <c r="D16" s="86"/>
      <c r="E16" s="86"/>
      <c r="F16" s="86"/>
      <c r="G16" s="86"/>
      <c r="H16" s="86"/>
      <c r="I16" s="86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6"/>
      <c r="X16" s="86"/>
      <c r="Y16" s="86"/>
      <c r="Z16" s="86"/>
      <c r="AA16" s="86"/>
      <c r="AB16" s="86"/>
      <c r="AC16" s="75" t="str">
        <f t="shared" si="4"/>
        <v/>
      </c>
      <c r="AD16" s="68"/>
      <c r="AE16" s="68"/>
      <c r="AF16" s="74" t="str">
        <f t="shared" si="18"/>
        <v/>
      </c>
      <c r="AG16" s="113"/>
      <c r="AH16" s="76" t="str">
        <f t="shared" si="5"/>
        <v/>
      </c>
      <c r="AI16" s="76" t="str">
        <f t="shared" si="6"/>
        <v/>
      </c>
      <c r="AJ16" s="76" t="str">
        <f t="shared" si="7"/>
        <v/>
      </c>
      <c r="AK16" s="76" t="str">
        <f t="shared" si="8"/>
        <v/>
      </c>
      <c r="AL16" s="76" t="str">
        <f t="shared" si="9"/>
        <v/>
      </c>
      <c r="AM16" s="76" t="str">
        <f t="shared" si="10"/>
        <v/>
      </c>
      <c r="AN16" s="76" t="str">
        <f t="shared" si="11"/>
        <v/>
      </c>
      <c r="AO16" s="76" t="str">
        <f t="shared" si="12"/>
        <v/>
      </c>
      <c r="AP16" s="76" t="str">
        <f t="shared" si="13"/>
        <v/>
      </c>
      <c r="AQ16" s="76" t="str">
        <f t="shared" si="14"/>
        <v/>
      </c>
      <c r="AR16" s="76" t="str">
        <f t="shared" si="16"/>
        <v/>
      </c>
      <c r="AS16" s="76" t="str">
        <f t="shared" si="16"/>
        <v/>
      </c>
      <c r="AT16" s="76" t="str">
        <f t="shared" si="16"/>
        <v/>
      </c>
      <c r="AU16" s="76" t="str">
        <f t="shared" si="16"/>
        <v/>
      </c>
      <c r="AV16" s="76" t="str">
        <f t="shared" si="16"/>
        <v/>
      </c>
      <c r="AW16" s="76" t="str">
        <f t="shared" si="16"/>
        <v/>
      </c>
      <c r="AX16" s="76" t="str">
        <f t="shared" si="16"/>
        <v/>
      </c>
      <c r="AY16" s="76" t="str">
        <f t="shared" si="16"/>
        <v/>
      </c>
      <c r="AZ16" s="76" t="str">
        <f t="shared" si="16"/>
        <v/>
      </c>
      <c r="BA16" s="76" t="str">
        <f t="shared" si="16"/>
        <v/>
      </c>
      <c r="BB16" s="76" t="str">
        <f t="shared" si="16"/>
        <v/>
      </c>
      <c r="BC16" s="76" t="str">
        <f t="shared" si="16"/>
        <v/>
      </c>
      <c r="BD16" s="76" t="str">
        <f t="shared" si="16"/>
        <v/>
      </c>
      <c r="BE16" s="76" t="str">
        <f t="shared" si="16"/>
        <v/>
      </c>
      <c r="BF16" s="76" t="str">
        <f t="shared" si="16"/>
        <v/>
      </c>
      <c r="BG16" s="90"/>
    </row>
    <row r="17" spans="1:59" customFormat="1">
      <c r="A17" s="68"/>
      <c r="B17" s="97" t="str">
        <f t="shared" si="17"/>
        <v/>
      </c>
      <c r="C17" s="86"/>
      <c r="D17" s="86"/>
      <c r="E17" s="86"/>
      <c r="F17" s="86"/>
      <c r="G17" s="86"/>
      <c r="H17" s="86"/>
      <c r="I17" s="86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6"/>
      <c r="X17" s="86"/>
      <c r="Y17" s="86"/>
      <c r="Z17" s="86"/>
      <c r="AA17" s="86"/>
      <c r="AB17" s="86"/>
      <c r="AC17" s="75" t="str">
        <f t="shared" si="4"/>
        <v/>
      </c>
      <c r="AD17" s="68"/>
      <c r="AE17" s="68"/>
      <c r="AF17" s="74" t="str">
        <f t="shared" si="18"/>
        <v/>
      </c>
      <c r="AG17" s="113"/>
      <c r="AH17" s="76" t="str">
        <f t="shared" si="5"/>
        <v/>
      </c>
      <c r="AI17" s="76" t="str">
        <f t="shared" si="6"/>
        <v/>
      </c>
      <c r="AJ17" s="76" t="str">
        <f t="shared" si="7"/>
        <v/>
      </c>
      <c r="AK17" s="76" t="str">
        <f t="shared" si="8"/>
        <v/>
      </c>
      <c r="AL17" s="76" t="str">
        <f t="shared" si="9"/>
        <v/>
      </c>
      <c r="AM17" s="76" t="str">
        <f t="shared" si="10"/>
        <v/>
      </c>
      <c r="AN17" s="76" t="str">
        <f t="shared" si="11"/>
        <v/>
      </c>
      <c r="AO17" s="76" t="str">
        <f t="shared" si="12"/>
        <v/>
      </c>
      <c r="AP17" s="76" t="str">
        <f t="shared" si="13"/>
        <v/>
      </c>
      <c r="AQ17" s="76" t="str">
        <f t="shared" si="14"/>
        <v/>
      </c>
      <c r="AR17" s="76" t="str">
        <f t="shared" si="16"/>
        <v/>
      </c>
      <c r="AS17" s="76" t="str">
        <f t="shared" si="16"/>
        <v/>
      </c>
      <c r="AT17" s="76" t="str">
        <f t="shared" si="16"/>
        <v/>
      </c>
      <c r="AU17" s="76" t="str">
        <f t="shared" si="16"/>
        <v/>
      </c>
      <c r="AV17" s="76" t="str">
        <f t="shared" si="16"/>
        <v/>
      </c>
      <c r="AW17" s="76" t="str">
        <f t="shared" si="16"/>
        <v/>
      </c>
      <c r="AX17" s="76" t="str">
        <f t="shared" si="16"/>
        <v/>
      </c>
      <c r="AY17" s="76" t="str">
        <f t="shared" si="16"/>
        <v/>
      </c>
      <c r="AZ17" s="76" t="str">
        <f t="shared" si="16"/>
        <v/>
      </c>
      <c r="BA17" s="76" t="str">
        <f t="shared" si="16"/>
        <v/>
      </c>
      <c r="BB17" s="76" t="str">
        <f t="shared" si="16"/>
        <v/>
      </c>
      <c r="BC17" s="76" t="str">
        <f t="shared" si="16"/>
        <v/>
      </c>
      <c r="BD17" s="76" t="str">
        <f t="shared" si="16"/>
        <v/>
      </c>
      <c r="BE17" s="76" t="str">
        <f t="shared" si="16"/>
        <v/>
      </c>
      <c r="BF17" s="76" t="str">
        <f t="shared" si="16"/>
        <v/>
      </c>
      <c r="BG17" s="90"/>
    </row>
    <row r="18" spans="1:59" customFormat="1">
      <c r="A18" s="68"/>
      <c r="B18" s="97" t="str">
        <f t="shared" si="17"/>
        <v/>
      </c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6"/>
      <c r="X18" s="86"/>
      <c r="Y18" s="86"/>
      <c r="Z18" s="86"/>
      <c r="AA18" s="86"/>
      <c r="AB18" s="86"/>
      <c r="AC18" s="75" t="str">
        <f t="shared" si="4"/>
        <v/>
      </c>
      <c r="AD18" s="68"/>
      <c r="AE18" s="68"/>
      <c r="AF18" s="74" t="str">
        <f t="shared" si="18"/>
        <v/>
      </c>
      <c r="AG18" s="113"/>
      <c r="AH18" s="76" t="str">
        <f t="shared" si="5"/>
        <v/>
      </c>
      <c r="AI18" s="76" t="str">
        <f t="shared" si="6"/>
        <v/>
      </c>
      <c r="AJ18" s="76" t="str">
        <f t="shared" si="7"/>
        <v/>
      </c>
      <c r="AK18" s="76" t="str">
        <f t="shared" si="8"/>
        <v/>
      </c>
      <c r="AL18" s="76" t="str">
        <f t="shared" si="9"/>
        <v/>
      </c>
      <c r="AM18" s="76" t="str">
        <f t="shared" si="10"/>
        <v/>
      </c>
      <c r="AN18" s="76" t="str">
        <f t="shared" si="11"/>
        <v/>
      </c>
      <c r="AO18" s="76" t="str">
        <f t="shared" si="12"/>
        <v/>
      </c>
      <c r="AP18" s="76" t="str">
        <f t="shared" si="13"/>
        <v/>
      </c>
      <c r="AQ18" s="76" t="str">
        <f t="shared" si="14"/>
        <v/>
      </c>
      <c r="AR18" s="76" t="str">
        <f t="shared" si="16"/>
        <v/>
      </c>
      <c r="AS18" s="76" t="str">
        <f t="shared" si="16"/>
        <v/>
      </c>
      <c r="AT18" s="76" t="str">
        <f t="shared" si="16"/>
        <v/>
      </c>
      <c r="AU18" s="76" t="str">
        <f t="shared" si="16"/>
        <v/>
      </c>
      <c r="AV18" s="76" t="str">
        <f t="shared" si="16"/>
        <v/>
      </c>
      <c r="AW18" s="76" t="str">
        <f t="shared" si="16"/>
        <v/>
      </c>
      <c r="AX18" s="76" t="str">
        <f t="shared" si="16"/>
        <v/>
      </c>
      <c r="AY18" s="76" t="str">
        <f t="shared" si="16"/>
        <v/>
      </c>
      <c r="AZ18" s="76" t="str">
        <f t="shared" si="16"/>
        <v/>
      </c>
      <c r="BA18" s="76" t="str">
        <f t="shared" si="16"/>
        <v/>
      </c>
      <c r="BB18" s="76" t="str">
        <f t="shared" si="16"/>
        <v/>
      </c>
      <c r="BC18" s="76" t="str">
        <f t="shared" si="16"/>
        <v/>
      </c>
      <c r="BD18" s="76" t="str">
        <f t="shared" si="16"/>
        <v/>
      </c>
      <c r="BE18" s="76" t="str">
        <f t="shared" si="16"/>
        <v/>
      </c>
      <c r="BF18" s="76" t="str">
        <f t="shared" si="16"/>
        <v/>
      </c>
      <c r="BG18" s="90"/>
    </row>
    <row r="19" spans="1:59" customFormat="1">
      <c r="A19" s="68"/>
      <c r="B19" s="97" t="str">
        <f t="shared" si="17"/>
        <v/>
      </c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  <c r="AC19" s="75" t="str">
        <f t="shared" si="4"/>
        <v/>
      </c>
      <c r="AD19" s="68"/>
      <c r="AE19" s="68"/>
      <c r="AF19" s="74" t="str">
        <f t="shared" si="18"/>
        <v/>
      </c>
      <c r="AG19" s="113"/>
      <c r="AH19" s="76" t="str">
        <f t="shared" si="5"/>
        <v/>
      </c>
      <c r="AI19" s="76" t="str">
        <f t="shared" si="6"/>
        <v/>
      </c>
      <c r="AJ19" s="76" t="str">
        <f t="shared" si="7"/>
        <v/>
      </c>
      <c r="AK19" s="76" t="str">
        <f t="shared" si="8"/>
        <v/>
      </c>
      <c r="AL19" s="76" t="str">
        <f t="shared" si="9"/>
        <v/>
      </c>
      <c r="AM19" s="76" t="str">
        <f t="shared" si="10"/>
        <v/>
      </c>
      <c r="AN19" s="76" t="str">
        <f t="shared" si="11"/>
        <v/>
      </c>
      <c r="AO19" s="76" t="str">
        <f t="shared" si="12"/>
        <v/>
      </c>
      <c r="AP19" s="76" t="str">
        <f t="shared" si="13"/>
        <v/>
      </c>
      <c r="AQ19" s="76" t="str">
        <f t="shared" si="14"/>
        <v/>
      </c>
      <c r="AR19" s="76" t="str">
        <f t="shared" si="16"/>
        <v/>
      </c>
      <c r="AS19" s="76" t="str">
        <f t="shared" si="16"/>
        <v/>
      </c>
      <c r="AT19" s="76" t="str">
        <f t="shared" si="16"/>
        <v/>
      </c>
      <c r="AU19" s="76" t="str">
        <f t="shared" si="16"/>
        <v/>
      </c>
      <c r="AV19" s="76" t="str">
        <f t="shared" si="16"/>
        <v/>
      </c>
      <c r="AW19" s="76" t="str">
        <f t="shared" si="16"/>
        <v/>
      </c>
      <c r="AX19" s="76" t="str">
        <f t="shared" si="16"/>
        <v/>
      </c>
      <c r="AY19" s="76" t="str">
        <f t="shared" si="16"/>
        <v/>
      </c>
      <c r="AZ19" s="76" t="str">
        <f t="shared" si="16"/>
        <v/>
      </c>
      <c r="BA19" s="76" t="str">
        <f t="shared" si="16"/>
        <v/>
      </c>
      <c r="BB19" s="76" t="str">
        <f t="shared" si="16"/>
        <v/>
      </c>
      <c r="BC19" s="76" t="str">
        <f t="shared" si="16"/>
        <v/>
      </c>
      <c r="BD19" s="76" t="str">
        <f t="shared" si="16"/>
        <v/>
      </c>
      <c r="BE19" s="76" t="str">
        <f t="shared" si="16"/>
        <v/>
      </c>
      <c r="BF19" s="76" t="str">
        <f t="shared" si="16"/>
        <v/>
      </c>
      <c r="BG19" s="90"/>
    </row>
    <row r="20" spans="1:59" customFormat="1">
      <c r="A20" s="68"/>
      <c r="B20" s="97" t="str">
        <f t="shared" si="17"/>
        <v/>
      </c>
      <c r="C20" s="86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6"/>
      <c r="X20" s="86"/>
      <c r="Y20" s="80"/>
      <c r="Z20" s="86"/>
      <c r="AA20" s="86"/>
      <c r="AB20" s="86"/>
      <c r="AC20" s="75" t="str">
        <f t="shared" si="4"/>
        <v/>
      </c>
      <c r="AD20" s="68"/>
      <c r="AE20" s="68"/>
      <c r="AF20" s="74" t="str">
        <f t="shared" si="18"/>
        <v/>
      </c>
      <c r="AG20" s="113"/>
      <c r="AH20" s="76" t="str">
        <f t="shared" si="5"/>
        <v/>
      </c>
      <c r="AI20" s="76" t="str">
        <f t="shared" si="6"/>
        <v/>
      </c>
      <c r="AJ20" s="76" t="str">
        <f t="shared" si="7"/>
        <v/>
      </c>
      <c r="AK20" s="76" t="str">
        <f t="shared" si="8"/>
        <v/>
      </c>
      <c r="AL20" s="76" t="str">
        <f t="shared" si="9"/>
        <v/>
      </c>
      <c r="AM20" s="76" t="str">
        <f t="shared" si="10"/>
        <v/>
      </c>
      <c r="AN20" s="76" t="str">
        <f t="shared" si="11"/>
        <v/>
      </c>
      <c r="AO20" s="76" t="str">
        <f t="shared" si="12"/>
        <v/>
      </c>
      <c r="AP20" s="76" t="str">
        <f t="shared" si="13"/>
        <v/>
      </c>
      <c r="AQ20" s="76" t="str">
        <f t="shared" si="14"/>
        <v/>
      </c>
      <c r="AR20" s="76" t="str">
        <f t="shared" si="16"/>
        <v/>
      </c>
      <c r="AS20" s="76" t="str">
        <f t="shared" si="16"/>
        <v/>
      </c>
      <c r="AT20" s="76" t="str">
        <f t="shared" si="16"/>
        <v/>
      </c>
      <c r="AU20" s="76" t="str">
        <f t="shared" si="16"/>
        <v/>
      </c>
      <c r="AV20" s="76" t="str">
        <f t="shared" si="16"/>
        <v/>
      </c>
      <c r="AW20" s="76" t="str">
        <f t="shared" si="16"/>
        <v/>
      </c>
      <c r="AX20" s="76" t="str">
        <f t="shared" si="16"/>
        <v/>
      </c>
      <c r="AY20" s="76" t="str">
        <f t="shared" si="16"/>
        <v/>
      </c>
      <c r="AZ20" s="76" t="str">
        <f t="shared" si="16"/>
        <v/>
      </c>
      <c r="BA20" s="76" t="str">
        <f t="shared" si="16"/>
        <v/>
      </c>
      <c r="BB20" s="76" t="str">
        <f t="shared" si="16"/>
        <v/>
      </c>
      <c r="BC20" s="76" t="str">
        <f t="shared" si="16"/>
        <v/>
      </c>
      <c r="BD20" s="76" t="str">
        <f t="shared" si="16"/>
        <v/>
      </c>
      <c r="BE20" s="76" t="str">
        <f t="shared" si="16"/>
        <v/>
      </c>
      <c r="BF20" s="76" t="str">
        <f t="shared" si="16"/>
        <v/>
      </c>
      <c r="BG20" s="90"/>
    </row>
    <row r="21" spans="1:59" customFormat="1">
      <c r="A21" s="68"/>
      <c r="B21" s="97" t="str">
        <f t="shared" si="17"/>
        <v/>
      </c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  <c r="AC21" s="75" t="str">
        <f t="shared" si="4"/>
        <v/>
      </c>
      <c r="AD21" s="68"/>
      <c r="AE21" s="68"/>
      <c r="AF21" s="74" t="str">
        <f t="shared" si="18"/>
        <v/>
      </c>
      <c r="AG21" s="113"/>
      <c r="AH21" s="76" t="str">
        <f t="shared" si="5"/>
        <v/>
      </c>
      <c r="AI21" s="76" t="str">
        <f t="shared" si="6"/>
        <v/>
      </c>
      <c r="AJ21" s="76" t="str">
        <f t="shared" si="7"/>
        <v/>
      </c>
      <c r="AK21" s="76" t="str">
        <f t="shared" si="8"/>
        <v/>
      </c>
      <c r="AL21" s="76" t="str">
        <f t="shared" si="9"/>
        <v/>
      </c>
      <c r="AM21" s="76" t="str">
        <f t="shared" si="10"/>
        <v/>
      </c>
      <c r="AN21" s="76" t="str">
        <f t="shared" si="11"/>
        <v/>
      </c>
      <c r="AO21" s="76" t="str">
        <f t="shared" si="12"/>
        <v/>
      </c>
      <c r="AP21" s="76" t="str">
        <f t="shared" si="13"/>
        <v/>
      </c>
      <c r="AQ21" s="76" t="str">
        <f t="shared" si="14"/>
        <v/>
      </c>
      <c r="AR21" s="76" t="str">
        <f t="shared" si="16"/>
        <v/>
      </c>
      <c r="AS21" s="76" t="str">
        <f t="shared" si="16"/>
        <v/>
      </c>
      <c r="AT21" s="76" t="str">
        <f t="shared" si="16"/>
        <v/>
      </c>
      <c r="AU21" s="76" t="str">
        <f t="shared" si="16"/>
        <v/>
      </c>
      <c r="AV21" s="76" t="str">
        <f t="shared" si="16"/>
        <v/>
      </c>
      <c r="AW21" s="76" t="str">
        <f t="shared" si="16"/>
        <v/>
      </c>
      <c r="AX21" s="76" t="str">
        <f t="shared" si="16"/>
        <v/>
      </c>
      <c r="AY21" s="76" t="str">
        <f t="shared" si="16"/>
        <v/>
      </c>
      <c r="AZ21" s="76" t="str">
        <f t="shared" si="16"/>
        <v/>
      </c>
      <c r="BA21" s="76" t="str">
        <f t="shared" si="16"/>
        <v/>
      </c>
      <c r="BB21" s="76" t="str">
        <f t="shared" si="16"/>
        <v/>
      </c>
      <c r="BC21" s="76" t="str">
        <f t="shared" si="16"/>
        <v/>
      </c>
      <c r="BD21" s="76" t="str">
        <f t="shared" si="16"/>
        <v/>
      </c>
      <c r="BE21" s="76" t="str">
        <f t="shared" si="16"/>
        <v/>
      </c>
      <c r="BF21" s="76" t="str">
        <f t="shared" si="16"/>
        <v/>
      </c>
      <c r="BG21" s="90"/>
    </row>
    <row r="22" spans="1:59" customFormat="1">
      <c r="A22" s="68"/>
      <c r="B22" s="97" t="str">
        <f t="shared" si="17"/>
        <v/>
      </c>
      <c r="C22" s="86"/>
      <c r="D22" s="86"/>
      <c r="E22" s="86"/>
      <c r="F22" s="86"/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  <c r="R22" s="86"/>
      <c r="S22" s="86"/>
      <c r="T22" s="86"/>
      <c r="U22" s="86"/>
      <c r="V22" s="86"/>
      <c r="W22" s="86"/>
      <c r="X22" s="86"/>
      <c r="Y22" s="86"/>
      <c r="Z22" s="86"/>
      <c r="AA22" s="86"/>
      <c r="AB22" s="86"/>
      <c r="AC22" s="75" t="str">
        <f t="shared" si="4"/>
        <v/>
      </c>
      <c r="AD22" s="68"/>
      <c r="AE22" s="68"/>
      <c r="AF22" s="74" t="str">
        <f t="shared" si="18"/>
        <v/>
      </c>
      <c r="AG22" s="113"/>
      <c r="AH22" s="76" t="str">
        <f t="shared" si="5"/>
        <v/>
      </c>
      <c r="AI22" s="76" t="str">
        <f t="shared" si="6"/>
        <v/>
      </c>
      <c r="AJ22" s="76" t="str">
        <f t="shared" si="7"/>
        <v/>
      </c>
      <c r="AK22" s="76" t="str">
        <f t="shared" si="8"/>
        <v/>
      </c>
      <c r="AL22" s="76" t="str">
        <f t="shared" si="9"/>
        <v/>
      </c>
      <c r="AM22" s="76" t="str">
        <f t="shared" si="10"/>
        <v/>
      </c>
      <c r="AN22" s="76" t="str">
        <f t="shared" si="11"/>
        <v/>
      </c>
      <c r="AO22" s="76" t="str">
        <f t="shared" si="12"/>
        <v/>
      </c>
      <c r="AP22" s="76" t="str">
        <f t="shared" si="13"/>
        <v/>
      </c>
      <c r="AQ22" s="76" t="str">
        <f t="shared" si="14"/>
        <v/>
      </c>
      <c r="AR22" s="76" t="str">
        <f t="shared" si="16"/>
        <v/>
      </c>
      <c r="AS22" s="76" t="str">
        <f t="shared" si="16"/>
        <v/>
      </c>
      <c r="AT22" s="76" t="str">
        <f t="shared" si="16"/>
        <v/>
      </c>
      <c r="AU22" s="76" t="str">
        <f t="shared" si="16"/>
        <v/>
      </c>
      <c r="AV22" s="76" t="str">
        <f t="shared" si="16"/>
        <v/>
      </c>
      <c r="AW22" s="76" t="str">
        <f t="shared" si="16"/>
        <v/>
      </c>
      <c r="AX22" s="76" t="str">
        <f t="shared" si="16"/>
        <v/>
      </c>
      <c r="AY22" s="76" t="str">
        <f t="shared" si="16"/>
        <v/>
      </c>
      <c r="AZ22" s="76" t="str">
        <f t="shared" si="16"/>
        <v/>
      </c>
      <c r="BA22" s="76" t="str">
        <f t="shared" si="16"/>
        <v/>
      </c>
      <c r="BB22" s="76" t="str">
        <f t="shared" si="16"/>
        <v/>
      </c>
      <c r="BC22" s="76" t="str">
        <f t="shared" si="16"/>
        <v/>
      </c>
      <c r="BD22" s="76" t="str">
        <f t="shared" si="16"/>
        <v/>
      </c>
      <c r="BE22" s="76" t="str">
        <f t="shared" si="16"/>
        <v/>
      </c>
      <c r="BF22" s="76" t="str">
        <f t="shared" si="16"/>
        <v/>
      </c>
      <c r="BG22" s="90"/>
    </row>
    <row r="23" spans="1:59" customFormat="1">
      <c r="A23" s="68"/>
      <c r="B23" s="97" t="str">
        <f t="shared" si="17"/>
        <v/>
      </c>
      <c r="C23" s="86"/>
      <c r="D23" s="86"/>
      <c r="E23" s="86"/>
      <c r="F23" s="86"/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6"/>
      <c r="R23" s="86"/>
      <c r="S23" s="86"/>
      <c r="T23" s="86"/>
      <c r="U23" s="86"/>
      <c r="V23" s="86"/>
      <c r="W23" s="86"/>
      <c r="X23" s="86"/>
      <c r="Y23" s="86"/>
      <c r="Z23" s="86"/>
      <c r="AA23" s="86"/>
      <c r="AB23" s="86"/>
      <c r="AC23" s="75" t="str">
        <f t="shared" si="4"/>
        <v/>
      </c>
      <c r="AD23" s="68"/>
      <c r="AE23" s="68"/>
      <c r="AF23" s="74" t="str">
        <f t="shared" si="18"/>
        <v/>
      </c>
      <c r="AG23" s="113"/>
      <c r="AH23" s="76" t="str">
        <f t="shared" si="5"/>
        <v/>
      </c>
      <c r="AI23" s="76" t="str">
        <f t="shared" si="6"/>
        <v/>
      </c>
      <c r="AJ23" s="76" t="str">
        <f t="shared" si="7"/>
        <v/>
      </c>
      <c r="AK23" s="76" t="str">
        <f t="shared" si="8"/>
        <v/>
      </c>
      <c r="AL23" s="76" t="str">
        <f t="shared" si="9"/>
        <v/>
      </c>
      <c r="AM23" s="76" t="str">
        <f t="shared" si="10"/>
        <v/>
      </c>
      <c r="AN23" s="76" t="str">
        <f t="shared" si="11"/>
        <v/>
      </c>
      <c r="AO23" s="76" t="str">
        <f t="shared" si="12"/>
        <v/>
      </c>
      <c r="AP23" s="76" t="str">
        <f t="shared" si="13"/>
        <v/>
      </c>
      <c r="AQ23" s="76" t="str">
        <f t="shared" si="14"/>
        <v/>
      </c>
      <c r="AR23" s="76" t="str">
        <f t="shared" si="16"/>
        <v/>
      </c>
      <c r="AS23" s="76" t="str">
        <f t="shared" si="16"/>
        <v/>
      </c>
      <c r="AT23" s="76" t="str">
        <f t="shared" si="16"/>
        <v/>
      </c>
      <c r="AU23" s="76" t="str">
        <f t="shared" si="16"/>
        <v/>
      </c>
      <c r="AV23" s="76" t="str">
        <f t="shared" si="16"/>
        <v/>
      </c>
      <c r="AW23" s="76" t="str">
        <f t="shared" si="16"/>
        <v/>
      </c>
      <c r="AX23" s="76" t="str">
        <f t="shared" si="16"/>
        <v/>
      </c>
      <c r="AY23" s="76" t="str">
        <f t="shared" si="16"/>
        <v/>
      </c>
      <c r="AZ23" s="76" t="str">
        <f t="shared" si="16"/>
        <v/>
      </c>
      <c r="BA23" s="76" t="str">
        <f t="shared" si="16"/>
        <v/>
      </c>
      <c r="BB23" s="76" t="str">
        <f t="shared" si="16"/>
        <v/>
      </c>
      <c r="BC23" s="76" t="str">
        <f t="shared" si="16"/>
        <v/>
      </c>
      <c r="BD23" s="76" t="str">
        <f t="shared" si="16"/>
        <v/>
      </c>
      <c r="BE23" s="76" t="str">
        <f t="shared" si="16"/>
        <v/>
      </c>
      <c r="BF23" s="76" t="str">
        <f t="shared" si="16"/>
        <v/>
      </c>
      <c r="BG23" s="90"/>
    </row>
    <row r="24" spans="1:59" customFormat="1">
      <c r="A24" s="68"/>
      <c r="B24" s="97" t="str">
        <f t="shared" si="17"/>
        <v/>
      </c>
      <c r="C24" s="86"/>
      <c r="D24" s="86"/>
      <c r="E24" s="86"/>
      <c r="F24" s="86"/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  <c r="R24" s="86"/>
      <c r="S24" s="86"/>
      <c r="T24" s="86"/>
      <c r="U24" s="86"/>
      <c r="V24" s="86"/>
      <c r="W24" s="86"/>
      <c r="X24" s="86"/>
      <c r="Y24" s="86"/>
      <c r="Z24" s="86"/>
      <c r="AA24" s="86"/>
      <c r="AB24" s="86"/>
      <c r="AC24" s="75" t="str">
        <f t="shared" si="4"/>
        <v/>
      </c>
      <c r="AD24" s="68"/>
      <c r="AE24" s="68"/>
      <c r="AF24" s="74" t="str">
        <f t="shared" si="18"/>
        <v/>
      </c>
      <c r="AG24" s="114"/>
      <c r="AH24" s="76" t="str">
        <f t="shared" si="5"/>
        <v/>
      </c>
      <c r="AI24" s="76" t="str">
        <f t="shared" si="6"/>
        <v/>
      </c>
      <c r="AJ24" s="76" t="str">
        <f t="shared" si="7"/>
        <v/>
      </c>
      <c r="AK24" s="76" t="str">
        <f t="shared" si="8"/>
        <v/>
      </c>
      <c r="AL24" s="76" t="str">
        <f t="shared" si="9"/>
        <v/>
      </c>
      <c r="AM24" s="76" t="str">
        <f t="shared" si="10"/>
        <v/>
      </c>
      <c r="AN24" s="76" t="str">
        <f t="shared" si="11"/>
        <v/>
      </c>
      <c r="AO24" s="76" t="str">
        <f t="shared" si="12"/>
        <v/>
      </c>
      <c r="AP24" s="76" t="str">
        <f t="shared" si="13"/>
        <v/>
      </c>
      <c r="AQ24" s="76" t="str">
        <f t="shared" si="14"/>
        <v/>
      </c>
      <c r="AR24" s="76" t="str">
        <f t="shared" si="16"/>
        <v/>
      </c>
      <c r="AS24" s="76" t="str">
        <f t="shared" si="16"/>
        <v/>
      </c>
      <c r="AT24" s="76" t="str">
        <f t="shared" si="16"/>
        <v/>
      </c>
      <c r="AU24" s="76" t="str">
        <f t="shared" si="16"/>
        <v/>
      </c>
      <c r="AV24" s="76" t="str">
        <f t="shared" si="16"/>
        <v/>
      </c>
      <c r="AW24" s="76" t="str">
        <f t="shared" si="16"/>
        <v/>
      </c>
      <c r="AX24" s="76" t="str">
        <f t="shared" si="16"/>
        <v/>
      </c>
      <c r="AY24" s="76" t="str">
        <f t="shared" si="16"/>
        <v/>
      </c>
      <c r="AZ24" s="76" t="str">
        <f t="shared" si="16"/>
        <v/>
      </c>
      <c r="BA24" s="76" t="str">
        <f t="shared" si="16"/>
        <v/>
      </c>
      <c r="BB24" s="76" t="str">
        <f t="shared" si="16"/>
        <v/>
      </c>
      <c r="BC24" s="76" t="str">
        <f t="shared" si="16"/>
        <v/>
      </c>
      <c r="BD24" s="76" t="str">
        <f t="shared" si="16"/>
        <v/>
      </c>
      <c r="BE24" s="76" t="str">
        <f t="shared" si="16"/>
        <v/>
      </c>
      <c r="BF24" s="76" t="str">
        <f t="shared" si="16"/>
        <v/>
      </c>
      <c r="BG24" s="90"/>
    </row>
    <row r="25" spans="1:59" s="95" customFormat="1" ht="15.75" thickBot="1">
      <c r="A25" s="77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  <c r="AA25" s="99" t="s">
        <v>619</v>
      </c>
      <c r="AB25" s="99"/>
      <c r="AC25" s="78">
        <f>SUM(AC10:AC24)</f>
        <v>0</v>
      </c>
      <c r="AD25" s="99" t="s">
        <v>627</v>
      </c>
      <c r="AE25" s="99"/>
      <c r="AF25" s="78">
        <f>SUM(AF10:AF24)</f>
        <v>0</v>
      </c>
      <c r="AG25" s="79"/>
      <c r="AH25" s="71"/>
      <c r="AI25" s="71"/>
      <c r="AJ25" s="71"/>
      <c r="AK25" s="71"/>
      <c r="AL25" s="71"/>
      <c r="AM25" s="71"/>
      <c r="AN25" s="71"/>
      <c r="AO25" s="71"/>
      <c r="AP25" s="71"/>
      <c r="AQ25" s="71"/>
      <c r="AR25" s="71"/>
      <c r="AS25" s="71"/>
      <c r="AT25" s="71"/>
      <c r="AU25" s="71"/>
      <c r="AV25" s="65"/>
      <c r="AW25" s="65"/>
      <c r="AX25" s="65"/>
      <c r="AY25" s="65"/>
      <c r="AZ25" s="65"/>
      <c r="BA25" s="65"/>
      <c r="BB25" s="65"/>
      <c r="BC25" s="65"/>
      <c r="BD25" s="65"/>
      <c r="BE25" s="65"/>
      <c r="BF25" s="91"/>
      <c r="BG25" s="94"/>
    </row>
  </sheetData>
  <sheetProtection sheet="1" formatCells="0" formatColumns="0" formatRows="0" insertColumns="0" insertRows="0" insertHyperlinks="0" deleteColumns="0" deleteRows="0" sort="0" autoFilter="0" pivotTables="0"/>
  <protectedRanges>
    <protectedRange password="CE2A" sqref="C10:AB24 A10:A24 AD10:AE24 C5:AA6 AE4:AF4 B2:E2 G2:J2 U2:AA2 B3:B5 AH1:AK1 M2:P2" name="範圍1"/>
    <protectedRange password="CE2A" sqref="K3:L3" name="範圍1_1"/>
  </protectedRanges>
  <mergeCells count="36">
    <mergeCell ref="A1:AF1"/>
    <mergeCell ref="AH1:AK1"/>
    <mergeCell ref="B2:E2"/>
    <mergeCell ref="G2:J2"/>
    <mergeCell ref="K2:L2"/>
    <mergeCell ref="M2:AA2"/>
    <mergeCell ref="AB3:AU3"/>
    <mergeCell ref="C4:AA4"/>
    <mergeCell ref="AB4:AB5"/>
    <mergeCell ref="AC4:AD4"/>
    <mergeCell ref="AE4:AF4"/>
    <mergeCell ref="AG4:AG24"/>
    <mergeCell ref="AH4:BF4"/>
    <mergeCell ref="AC5:AD5"/>
    <mergeCell ref="AE5:AF5"/>
    <mergeCell ref="AB8:AB9"/>
    <mergeCell ref="C3:E3"/>
    <mergeCell ref="F3:H3"/>
    <mergeCell ref="I3:J3"/>
    <mergeCell ref="K3:L3"/>
    <mergeCell ref="M3:AA3"/>
    <mergeCell ref="AH6:BF9"/>
    <mergeCell ref="AA25:AB25"/>
    <mergeCell ref="AD25:AE25"/>
    <mergeCell ref="A6:B6"/>
    <mergeCell ref="AC6:AD6"/>
    <mergeCell ref="AE6:AF6"/>
    <mergeCell ref="A7:B7"/>
    <mergeCell ref="AC7:AD7"/>
    <mergeCell ref="AE7:AF7"/>
    <mergeCell ref="A8:A9"/>
    <mergeCell ref="B8:B9"/>
    <mergeCell ref="C8:AA9"/>
    <mergeCell ref="AC8:AC9"/>
    <mergeCell ref="AD8:AE8"/>
    <mergeCell ref="AF8:AF9"/>
  </mergeCells>
  <phoneticPr fontId="40" type="noConversion"/>
  <conditionalFormatting sqref="AE6:AF6 AC7">
    <cfRule type="cellIs" dxfId="549" priority="11" operator="lessThanOrEqual">
      <formula>0</formula>
    </cfRule>
  </conditionalFormatting>
  <conditionalFormatting sqref="AF10:AF25 AC10:AC25 B10:B24 AB6 AE5:AF5 C7:AB7 AH10:BF24 AH5:BF5">
    <cfRule type="notContainsBlanks" dxfId="548" priority="12">
      <formula>LEN(TRIM(B5))&gt;0</formula>
    </cfRule>
  </conditionalFormatting>
  <conditionalFormatting sqref="AE6:AF6">
    <cfRule type="cellIs" dxfId="547" priority="9" operator="greaterThanOrEqual">
      <formula>20</formula>
    </cfRule>
    <cfRule type="cellIs" dxfId="546" priority="10" operator="greaterThanOrEqual">
      <formula>1</formula>
    </cfRule>
  </conditionalFormatting>
  <conditionalFormatting sqref="AE7 AH1 A10:A24 AD10:AE24 C5:AA6 C10:AB24 B2:B5 G2 AE4">
    <cfRule type="containsBlanks" dxfId="545" priority="13">
      <formula>LEN(TRIM(A1))=0</formula>
    </cfRule>
    <cfRule type="notContainsBlanks" dxfId="544" priority="14">
      <formula>LEN(TRIM(A1))&gt;0</formula>
    </cfRule>
  </conditionalFormatting>
  <conditionalFormatting sqref="F3">
    <cfRule type="containsBlanks" dxfId="541" priority="5">
      <formula>LEN(TRIM(F3))=0</formula>
    </cfRule>
    <cfRule type="notContainsBlanks" dxfId="540" priority="6">
      <formula>LEN(TRIM(F3))&gt;0</formula>
    </cfRule>
  </conditionalFormatting>
  <conditionalFormatting sqref="K3">
    <cfRule type="containsBlanks" dxfId="539" priority="3">
      <formula>LEN(TRIM(K3))=0</formula>
    </cfRule>
    <cfRule type="notContainsBlanks" dxfId="538" priority="4">
      <formula>LEN(TRIM(K3))&gt;0</formula>
    </cfRule>
  </conditionalFormatting>
  <conditionalFormatting sqref="M3">
    <cfRule type="notContainsBlanks" dxfId="537" priority="2">
      <formula>LEN(TRIM(M3))&gt;0</formula>
    </cfRule>
  </conditionalFormatting>
  <conditionalFormatting sqref="M2">
    <cfRule type="notContainsBlanks" dxfId="0" priority="1">
      <formula>LEN(TRIM(M2))&gt;0</formula>
    </cfRule>
  </conditionalFormatting>
  <pageMargins left="0.7" right="0.7" top="0.75" bottom="0.75" header="0.3" footer="0.3"/>
  <pageSetup paperSize="9" orientation="portrait" r:id="rId1"/>
  <ignoredErrors>
    <ignoredError sqref="AS18" evalError="1"/>
    <ignoredError sqref="B10:B24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BG1048576"/>
  <sheetViews>
    <sheetView showGridLines="0" zoomScale="85" zoomScaleNormal="85" workbookViewId="0">
      <selection activeCell="AB11" sqref="AB11"/>
    </sheetView>
  </sheetViews>
  <sheetFormatPr defaultColWidth="8.75" defaultRowHeight="14.25"/>
  <cols>
    <col min="1" max="1" width="15" style="96" customWidth="1"/>
    <col min="2" max="2" width="8.75" style="96"/>
    <col min="3" max="27" width="6.75" style="96" customWidth="1"/>
    <col min="28" max="28" width="9.5" style="96" customWidth="1"/>
    <col min="29" max="29" width="10.25" style="96" customWidth="1"/>
    <col min="30" max="33" width="8.75" style="96"/>
    <col min="34" max="58" width="6.75" style="96" customWidth="1"/>
    <col min="59" max="16384" width="8.75" style="96"/>
  </cols>
  <sheetData>
    <row r="1" spans="1:59" customFormat="1" ht="20.25">
      <c r="A1" s="130" t="s">
        <v>609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0"/>
      <c r="U1" s="130"/>
      <c r="V1" s="130"/>
      <c r="W1" s="130"/>
      <c r="X1" s="130"/>
      <c r="Y1" s="130"/>
      <c r="Z1" s="130"/>
      <c r="AA1" s="130"/>
      <c r="AB1" s="130"/>
      <c r="AC1" s="130"/>
      <c r="AD1" s="130"/>
      <c r="AE1" s="130"/>
      <c r="AF1" s="130"/>
      <c r="AG1" s="89" t="s">
        <v>9</v>
      </c>
      <c r="AH1" s="131"/>
      <c r="AI1" s="104"/>
      <c r="AJ1" s="104"/>
      <c r="AK1" s="104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64"/>
      <c r="AW1" s="64"/>
      <c r="AX1" s="64"/>
      <c r="AY1" s="64"/>
      <c r="AZ1" s="64"/>
      <c r="BA1" s="64"/>
      <c r="BB1" s="64"/>
      <c r="BC1" s="64"/>
      <c r="BD1" s="64"/>
      <c r="BE1" s="64"/>
      <c r="BF1" s="93"/>
      <c r="BG1" s="90"/>
    </row>
    <row r="2" spans="1:59" s="95" customFormat="1" ht="15.75" thickBot="1">
      <c r="A2" s="82" t="s">
        <v>18</v>
      </c>
      <c r="B2" s="132" t="s">
        <v>604</v>
      </c>
      <c r="C2" s="132"/>
      <c r="D2" s="132"/>
      <c r="E2" s="132"/>
      <c r="F2" s="82" t="s">
        <v>37</v>
      </c>
      <c r="G2" s="132" t="s">
        <v>605</v>
      </c>
      <c r="H2" s="132"/>
      <c r="I2" s="132"/>
      <c r="J2" s="132"/>
      <c r="K2" s="133" t="s">
        <v>622</v>
      </c>
      <c r="L2" s="134"/>
      <c r="M2" s="135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7"/>
      <c r="AB2" s="81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69"/>
      <c r="AW2" s="69"/>
      <c r="AX2" s="69"/>
      <c r="AY2" s="69"/>
      <c r="AZ2" s="69"/>
      <c r="BA2" s="69"/>
      <c r="BB2" s="69"/>
      <c r="BC2" s="69"/>
      <c r="BD2" s="69"/>
      <c r="BE2" s="69"/>
      <c r="BF2" s="92"/>
      <c r="BG2" s="94"/>
    </row>
    <row r="3" spans="1:59" customFormat="1" ht="15">
      <c r="A3" s="73" t="s">
        <v>611</v>
      </c>
      <c r="B3" s="66">
        <v>1</v>
      </c>
      <c r="C3" s="118" t="s">
        <v>634</v>
      </c>
      <c r="D3" s="119"/>
      <c r="E3" s="120"/>
      <c r="F3" s="121" t="s">
        <v>631</v>
      </c>
      <c r="G3" s="122"/>
      <c r="H3" s="123"/>
      <c r="I3" s="118" t="s">
        <v>632</v>
      </c>
      <c r="J3" s="120"/>
      <c r="K3" s="124" t="s">
        <v>633</v>
      </c>
      <c r="L3" s="125"/>
      <c r="M3" s="126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8"/>
      <c r="AB3" s="107"/>
      <c r="AC3" s="107"/>
      <c r="AD3" s="107"/>
      <c r="AE3" s="107"/>
      <c r="AF3" s="107"/>
      <c r="AG3" s="107"/>
      <c r="AH3" s="108"/>
      <c r="AI3" s="108"/>
      <c r="AJ3" s="108"/>
      <c r="AK3" s="108"/>
      <c r="AL3" s="108"/>
      <c r="AM3" s="108"/>
      <c r="AN3" s="108"/>
      <c r="AO3" s="108"/>
      <c r="AP3" s="108"/>
      <c r="AQ3" s="108"/>
      <c r="AR3" s="108"/>
      <c r="AS3" s="108"/>
      <c r="AT3" s="108"/>
      <c r="AU3" s="109"/>
      <c r="AV3" s="64"/>
      <c r="AW3" s="64"/>
      <c r="AX3" s="64"/>
      <c r="AY3" s="64"/>
      <c r="AZ3" s="64"/>
      <c r="BA3" s="64"/>
      <c r="BB3" s="64"/>
      <c r="BC3" s="64"/>
      <c r="BD3" s="64"/>
      <c r="BE3" s="64"/>
      <c r="BF3" s="93"/>
      <c r="BG3" s="90"/>
    </row>
    <row r="4" spans="1:59" customFormat="1" ht="15">
      <c r="A4" s="84" t="s">
        <v>622</v>
      </c>
      <c r="B4" s="67" t="s">
        <v>625</v>
      </c>
      <c r="C4" s="103" t="s">
        <v>610</v>
      </c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10" t="s">
        <v>623</v>
      </c>
      <c r="AC4" s="103" t="s">
        <v>612</v>
      </c>
      <c r="AD4" s="103"/>
      <c r="AE4" s="111">
        <v>2024</v>
      </c>
      <c r="AF4" s="104"/>
      <c r="AG4" s="112"/>
      <c r="AH4" s="115" t="s">
        <v>610</v>
      </c>
      <c r="AI4" s="116"/>
      <c r="AJ4" s="116"/>
      <c r="AK4" s="116"/>
      <c r="AL4" s="116"/>
      <c r="AM4" s="116"/>
      <c r="AN4" s="116"/>
      <c r="AO4" s="116"/>
      <c r="AP4" s="116"/>
      <c r="AQ4" s="116"/>
      <c r="AR4" s="116"/>
      <c r="AS4" s="116"/>
      <c r="AT4" s="116"/>
      <c r="AU4" s="116"/>
      <c r="AV4" s="116"/>
      <c r="AW4" s="116"/>
      <c r="AX4" s="116"/>
      <c r="AY4" s="116"/>
      <c r="AZ4" s="116"/>
      <c r="BA4" s="116"/>
      <c r="BB4" s="116"/>
      <c r="BC4" s="116"/>
      <c r="BD4" s="116"/>
      <c r="BE4" s="116"/>
      <c r="BF4" s="117"/>
      <c r="BG4" s="90"/>
    </row>
    <row r="5" spans="1:59" customFormat="1" ht="15">
      <c r="A5" s="88" t="s">
        <v>30</v>
      </c>
      <c r="B5" s="67" t="s">
        <v>626</v>
      </c>
      <c r="C5" s="86">
        <v>42</v>
      </c>
      <c r="D5" s="86">
        <v>46</v>
      </c>
      <c r="E5" s="86">
        <v>50</v>
      </c>
      <c r="F5" s="86">
        <v>54</v>
      </c>
      <c r="G5" s="86">
        <v>58</v>
      </c>
      <c r="H5" s="86">
        <v>62</v>
      </c>
      <c r="I5" s="86">
        <v>66</v>
      </c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110"/>
      <c r="AC5" s="103" t="s">
        <v>613</v>
      </c>
      <c r="AD5" s="103"/>
      <c r="AE5" s="102">
        <f>SUM(AF10:AF24)</f>
        <v>1918.8923611111111</v>
      </c>
      <c r="AF5" s="102"/>
      <c r="AG5" s="113"/>
      <c r="AH5" s="87">
        <f>IF(C5="", "", C5)</f>
        <v>42</v>
      </c>
      <c r="AI5" s="87">
        <f t="shared" ref="AI5:AU5" si="0">IF(D5="", "", D5)</f>
        <v>46</v>
      </c>
      <c r="AJ5" s="87">
        <f t="shared" si="0"/>
        <v>50</v>
      </c>
      <c r="AK5" s="87">
        <f t="shared" si="0"/>
        <v>54</v>
      </c>
      <c r="AL5" s="87">
        <f t="shared" si="0"/>
        <v>58</v>
      </c>
      <c r="AM5" s="87">
        <f t="shared" si="0"/>
        <v>62</v>
      </c>
      <c r="AN5" s="87">
        <f t="shared" si="0"/>
        <v>66</v>
      </c>
      <c r="AO5" s="87" t="str">
        <f t="shared" si="0"/>
        <v/>
      </c>
      <c r="AP5" s="87" t="str">
        <f t="shared" si="0"/>
        <v/>
      </c>
      <c r="AQ5" s="87" t="str">
        <f t="shared" si="0"/>
        <v/>
      </c>
      <c r="AR5" s="87" t="str">
        <f t="shared" si="0"/>
        <v/>
      </c>
      <c r="AS5" s="87" t="str">
        <f t="shared" si="0"/>
        <v/>
      </c>
      <c r="AT5" s="87" t="str">
        <f t="shared" si="0"/>
        <v/>
      </c>
      <c r="AU5" s="87" t="str">
        <f t="shared" si="0"/>
        <v/>
      </c>
      <c r="AV5" s="87" t="str">
        <f>IF(Q5="", "", Q5)</f>
        <v/>
      </c>
      <c r="AW5" s="87" t="str">
        <f t="shared" ref="AW5:BF5" si="1">IF(R5="", "", R5)</f>
        <v/>
      </c>
      <c r="AX5" s="87" t="str">
        <f t="shared" si="1"/>
        <v/>
      </c>
      <c r="AY5" s="87" t="str">
        <f t="shared" si="1"/>
        <v/>
      </c>
      <c r="AZ5" s="87" t="str">
        <f t="shared" si="1"/>
        <v/>
      </c>
      <c r="BA5" s="87" t="str">
        <f t="shared" si="1"/>
        <v/>
      </c>
      <c r="BB5" s="87" t="str">
        <f t="shared" si="1"/>
        <v/>
      </c>
      <c r="BC5" s="87" t="str">
        <f t="shared" si="1"/>
        <v/>
      </c>
      <c r="BD5" s="87" t="str">
        <f t="shared" si="1"/>
        <v/>
      </c>
      <c r="BE5" s="87" t="str">
        <f t="shared" si="1"/>
        <v/>
      </c>
      <c r="BF5" s="87" t="str">
        <f t="shared" si="1"/>
        <v/>
      </c>
      <c r="BG5" s="90"/>
    </row>
    <row r="6" spans="1:59" customFormat="1" ht="15">
      <c r="A6" s="100" t="s">
        <v>614</v>
      </c>
      <c r="B6" s="100"/>
      <c r="C6" s="86">
        <v>10</v>
      </c>
      <c r="D6" s="86">
        <v>350</v>
      </c>
      <c r="E6" s="86">
        <v>114</v>
      </c>
      <c r="F6" s="86">
        <v>594</v>
      </c>
      <c r="G6" s="86">
        <v>324</v>
      </c>
      <c r="H6" s="86">
        <v>328</v>
      </c>
      <c r="I6" s="86">
        <v>10</v>
      </c>
      <c r="J6" s="86"/>
      <c r="K6" s="86"/>
      <c r="L6" s="86"/>
      <c r="M6" s="86"/>
      <c r="N6" s="86"/>
      <c r="O6" s="86"/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74">
        <f>SUM(C6:AA6)</f>
        <v>1730</v>
      </c>
      <c r="AC6" s="101" t="str">
        <f>IF(AE6&lt;5,"NO ",IF(AE6=5,"OK",IF(AE6&gt;5,"OK")))</f>
        <v>OK</v>
      </c>
      <c r="AD6" s="101"/>
      <c r="AE6" s="102">
        <f>AE4-AE5-AE7</f>
        <v>105.10763888888891</v>
      </c>
      <c r="AF6" s="102"/>
      <c r="AG6" s="113"/>
      <c r="AH6" s="129" t="s">
        <v>628</v>
      </c>
      <c r="AI6" s="129"/>
      <c r="AJ6" s="129"/>
      <c r="AK6" s="129"/>
      <c r="AL6" s="129"/>
      <c r="AM6" s="129"/>
      <c r="AN6" s="129"/>
      <c r="AO6" s="129"/>
      <c r="AP6" s="129"/>
      <c r="AQ6" s="129"/>
      <c r="AR6" s="129"/>
      <c r="AS6" s="129"/>
      <c r="AT6" s="129"/>
      <c r="AU6" s="129"/>
      <c r="AV6" s="129"/>
      <c r="AW6" s="129"/>
      <c r="AX6" s="129"/>
      <c r="AY6" s="129"/>
      <c r="AZ6" s="129"/>
      <c r="BA6" s="129"/>
      <c r="BB6" s="129"/>
      <c r="BC6" s="129"/>
      <c r="BD6" s="129"/>
      <c r="BE6" s="129"/>
      <c r="BF6" s="129"/>
      <c r="BG6" s="90"/>
    </row>
    <row r="7" spans="1:59" customFormat="1" ht="15">
      <c r="A7" s="100" t="s">
        <v>621</v>
      </c>
      <c r="B7" s="100"/>
      <c r="C7" s="85">
        <f t="shared" ref="C7:AA7" si="2">IF(C5="","",C6-C10*$AB10-C11*$AB11-C12*$AB12-C13*$AB13-C14*$AB14-C15*$AB15-C16*$AB16-C17*$AB17-C18*$AB18-C19*$AB19-C20*$AB20-C21*$AB21-C22*$AB22-C23*$AB23-C24*$AB24)</f>
        <v>0</v>
      </c>
      <c r="D7" s="85">
        <f t="shared" si="2"/>
        <v>0</v>
      </c>
      <c r="E7" s="85">
        <f t="shared" si="2"/>
        <v>0</v>
      </c>
      <c r="F7" s="85">
        <f t="shared" si="2"/>
        <v>0</v>
      </c>
      <c r="G7" s="85">
        <f t="shared" si="2"/>
        <v>0</v>
      </c>
      <c r="H7" s="85">
        <f t="shared" si="2"/>
        <v>0</v>
      </c>
      <c r="I7" s="85">
        <f t="shared" si="2"/>
        <v>0</v>
      </c>
      <c r="J7" s="85" t="str">
        <f t="shared" si="2"/>
        <v/>
      </c>
      <c r="K7" s="85" t="str">
        <f t="shared" si="2"/>
        <v/>
      </c>
      <c r="L7" s="85" t="str">
        <f t="shared" si="2"/>
        <v/>
      </c>
      <c r="M7" s="85" t="str">
        <f t="shared" si="2"/>
        <v/>
      </c>
      <c r="N7" s="85" t="str">
        <f t="shared" si="2"/>
        <v/>
      </c>
      <c r="O7" s="85" t="str">
        <f t="shared" si="2"/>
        <v/>
      </c>
      <c r="P7" s="85" t="str">
        <f t="shared" si="2"/>
        <v/>
      </c>
      <c r="Q7" s="85" t="str">
        <f t="shared" si="2"/>
        <v/>
      </c>
      <c r="R7" s="85" t="str">
        <f t="shared" si="2"/>
        <v/>
      </c>
      <c r="S7" s="85" t="str">
        <f t="shared" si="2"/>
        <v/>
      </c>
      <c r="T7" s="85" t="str">
        <f t="shared" si="2"/>
        <v/>
      </c>
      <c r="U7" s="85" t="str">
        <f t="shared" si="2"/>
        <v/>
      </c>
      <c r="V7" s="85" t="str">
        <f t="shared" si="2"/>
        <v/>
      </c>
      <c r="W7" s="85" t="str">
        <f t="shared" si="2"/>
        <v/>
      </c>
      <c r="X7" s="85" t="str">
        <f t="shared" si="2"/>
        <v/>
      </c>
      <c r="Y7" s="85" t="str">
        <f t="shared" si="2"/>
        <v/>
      </c>
      <c r="Z7" s="85" t="str">
        <f t="shared" si="2"/>
        <v/>
      </c>
      <c r="AA7" s="85" t="str">
        <f t="shared" si="2"/>
        <v/>
      </c>
      <c r="AB7" s="85">
        <f>SUM(C7:AA7)</f>
        <v>0</v>
      </c>
      <c r="AC7" s="103" t="s">
        <v>620</v>
      </c>
      <c r="AD7" s="103"/>
      <c r="AE7" s="138"/>
      <c r="AF7" s="138"/>
      <c r="AG7" s="113"/>
      <c r="AH7" s="129"/>
      <c r="AI7" s="129"/>
      <c r="AJ7" s="129"/>
      <c r="AK7" s="129"/>
      <c r="AL7" s="129"/>
      <c r="AM7" s="129"/>
      <c r="AN7" s="129"/>
      <c r="AO7" s="129"/>
      <c r="AP7" s="129"/>
      <c r="AQ7" s="129"/>
      <c r="AR7" s="129"/>
      <c r="AS7" s="129"/>
      <c r="AT7" s="129"/>
      <c r="AU7" s="129"/>
      <c r="AV7" s="129"/>
      <c r="AW7" s="129"/>
      <c r="AX7" s="129"/>
      <c r="AY7" s="129"/>
      <c r="AZ7" s="129"/>
      <c r="BA7" s="129"/>
      <c r="BB7" s="129"/>
      <c r="BC7" s="129"/>
      <c r="BD7" s="129"/>
      <c r="BE7" s="129"/>
      <c r="BF7" s="129"/>
      <c r="BG7" s="90"/>
    </row>
    <row r="8" spans="1:59" customFormat="1" ht="15">
      <c r="A8" s="105" t="s">
        <v>624</v>
      </c>
      <c r="B8" s="103" t="s">
        <v>38</v>
      </c>
      <c r="C8" s="103" t="s">
        <v>0</v>
      </c>
      <c r="D8" s="103"/>
      <c r="E8" s="103"/>
      <c r="F8" s="103"/>
      <c r="G8" s="103"/>
      <c r="H8" s="103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 t="s">
        <v>34</v>
      </c>
      <c r="AC8" s="105" t="s">
        <v>614</v>
      </c>
      <c r="AD8" s="105" t="s">
        <v>615</v>
      </c>
      <c r="AE8" s="105"/>
      <c r="AF8" s="106" t="s">
        <v>616</v>
      </c>
      <c r="AG8" s="113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29"/>
      <c r="AV8" s="129"/>
      <c r="AW8" s="129"/>
      <c r="AX8" s="129"/>
      <c r="AY8" s="129"/>
      <c r="AZ8" s="129"/>
      <c r="BA8" s="129"/>
      <c r="BB8" s="129"/>
      <c r="BC8" s="129"/>
      <c r="BD8" s="129"/>
      <c r="BE8" s="129"/>
      <c r="BF8" s="129"/>
      <c r="BG8" s="90"/>
    </row>
    <row r="9" spans="1:59" customFormat="1" ht="15">
      <c r="A9" s="103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5"/>
      <c r="AD9" s="83" t="s">
        <v>617</v>
      </c>
      <c r="AE9" s="83" t="s">
        <v>618</v>
      </c>
      <c r="AF9" s="106"/>
      <c r="AG9" s="113"/>
      <c r="AH9" s="129"/>
      <c r="AI9" s="129"/>
      <c r="AJ9" s="129"/>
      <c r="AK9" s="129"/>
      <c r="AL9" s="129"/>
      <c r="AM9" s="129"/>
      <c r="AN9" s="129"/>
      <c r="AO9" s="129"/>
      <c r="AP9" s="129"/>
      <c r="AQ9" s="129"/>
      <c r="AR9" s="129"/>
      <c r="AS9" s="129"/>
      <c r="AT9" s="129"/>
      <c r="AU9" s="129"/>
      <c r="AV9" s="129"/>
      <c r="AW9" s="129"/>
      <c r="AX9" s="129"/>
      <c r="AY9" s="129"/>
      <c r="AZ9" s="129"/>
      <c r="BA9" s="129"/>
      <c r="BB9" s="129"/>
      <c r="BC9" s="129"/>
      <c r="BD9" s="129"/>
      <c r="BE9" s="129"/>
      <c r="BF9" s="129"/>
      <c r="BG9" s="90"/>
    </row>
    <row r="10" spans="1:59" customFormat="1">
      <c r="A10" s="68" t="s">
        <v>606</v>
      </c>
      <c r="B10" s="97">
        <f>IF(AC10="","",IF(AC10&gt;0,1,0))</f>
        <v>1</v>
      </c>
      <c r="C10" s="86"/>
      <c r="D10" s="86">
        <v>2</v>
      </c>
      <c r="E10" s="86"/>
      <c r="F10" s="86">
        <v>2</v>
      </c>
      <c r="G10" s="86">
        <v>1</v>
      </c>
      <c r="H10" s="86">
        <v>1</v>
      </c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>
        <v>175</v>
      </c>
      <c r="AC10" s="75">
        <f t="shared" ref="AC10:AC24" si="3">IF(AB10="","",SUM(C10:AA10)*AB10)</f>
        <v>1050</v>
      </c>
      <c r="AD10" s="86">
        <v>6</v>
      </c>
      <c r="AE10" s="86">
        <v>17</v>
      </c>
      <c r="AF10" s="74">
        <f>IF(AB10="","",(AD10+(AE10/36))*AB10)</f>
        <v>1132.6388888888889</v>
      </c>
      <c r="AG10" s="113"/>
      <c r="AH10" s="76" t="str">
        <f t="shared" ref="AH10:AW24" si="4">IF(C10=0,"",ROUNDUP(C$7/C10,0))</f>
        <v/>
      </c>
      <c r="AI10" s="76">
        <f t="shared" si="4"/>
        <v>0</v>
      </c>
      <c r="AJ10" s="76" t="str">
        <f t="shared" si="4"/>
        <v/>
      </c>
      <c r="AK10" s="76">
        <f t="shared" si="4"/>
        <v>0</v>
      </c>
      <c r="AL10" s="76">
        <f t="shared" si="4"/>
        <v>0</v>
      </c>
      <c r="AM10" s="76">
        <f t="shared" si="4"/>
        <v>0</v>
      </c>
      <c r="AN10" s="76" t="str">
        <f t="shared" si="4"/>
        <v/>
      </c>
      <c r="AO10" s="76" t="str">
        <f t="shared" si="4"/>
        <v/>
      </c>
      <c r="AP10" s="76" t="str">
        <f t="shared" si="4"/>
        <v/>
      </c>
      <c r="AQ10" s="76" t="str">
        <f t="shared" si="4"/>
        <v/>
      </c>
      <c r="AR10" s="76" t="str">
        <f t="shared" si="4"/>
        <v/>
      </c>
      <c r="AS10" s="76" t="str">
        <f t="shared" si="4"/>
        <v/>
      </c>
      <c r="AT10" s="76" t="str">
        <f t="shared" si="4"/>
        <v/>
      </c>
      <c r="AU10" s="76" t="str">
        <f t="shared" si="4"/>
        <v/>
      </c>
      <c r="AV10" s="76" t="str">
        <f t="shared" si="4"/>
        <v/>
      </c>
      <c r="AW10" s="76" t="str">
        <f t="shared" si="4"/>
        <v/>
      </c>
      <c r="AX10" s="76" t="str">
        <f t="shared" ref="AR10:BF24" si="5">IF(S10=0,"",ROUNDUP(S$7/S10,0))</f>
        <v/>
      </c>
      <c r="AY10" s="76" t="str">
        <f t="shared" si="5"/>
        <v/>
      </c>
      <c r="AZ10" s="76" t="str">
        <f t="shared" si="5"/>
        <v/>
      </c>
      <c r="BA10" s="76" t="str">
        <f t="shared" si="5"/>
        <v/>
      </c>
      <c r="BB10" s="76" t="str">
        <f t="shared" si="5"/>
        <v/>
      </c>
      <c r="BC10" s="76" t="str">
        <f t="shared" si="5"/>
        <v/>
      </c>
      <c r="BD10" s="76" t="str">
        <f t="shared" si="5"/>
        <v/>
      </c>
      <c r="BE10" s="76" t="str">
        <f t="shared" si="5"/>
        <v/>
      </c>
      <c r="BF10" s="76" t="str">
        <f t="shared" si="5"/>
        <v/>
      </c>
      <c r="BG10" s="90"/>
    </row>
    <row r="11" spans="1:59" customFormat="1">
      <c r="A11" s="68" t="s">
        <v>606</v>
      </c>
      <c r="B11" s="97">
        <f t="shared" ref="B11:B24" si="6">IF(AC11="","",IF(AC11=0,"",IF(B10="","",B10+1)))</f>
        <v>2</v>
      </c>
      <c r="C11" s="86"/>
      <c r="D11" s="86"/>
      <c r="E11" s="86">
        <v>1</v>
      </c>
      <c r="F11" s="86">
        <v>2</v>
      </c>
      <c r="G11" s="86">
        <v>1</v>
      </c>
      <c r="H11" s="86">
        <v>1</v>
      </c>
      <c r="I11" s="86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>
        <v>114</v>
      </c>
      <c r="AC11" s="75">
        <f t="shared" si="3"/>
        <v>570</v>
      </c>
      <c r="AD11" s="86">
        <v>5</v>
      </c>
      <c r="AE11" s="86">
        <v>26</v>
      </c>
      <c r="AF11" s="74">
        <f>IF(AB11="","",(AD11+(AE11/36))*AB11)</f>
        <v>652.33333333333337</v>
      </c>
      <c r="AG11" s="113"/>
      <c r="AH11" s="76" t="str">
        <f t="shared" si="4"/>
        <v/>
      </c>
      <c r="AI11" s="76" t="str">
        <f t="shared" si="4"/>
        <v/>
      </c>
      <c r="AJ11" s="76">
        <f t="shared" si="4"/>
        <v>0</v>
      </c>
      <c r="AK11" s="76">
        <f t="shared" si="4"/>
        <v>0</v>
      </c>
      <c r="AL11" s="76">
        <f t="shared" si="4"/>
        <v>0</v>
      </c>
      <c r="AM11" s="76">
        <f t="shared" si="4"/>
        <v>0</v>
      </c>
      <c r="AN11" s="76" t="str">
        <f t="shared" si="4"/>
        <v/>
      </c>
      <c r="AO11" s="76" t="str">
        <f t="shared" si="4"/>
        <v/>
      </c>
      <c r="AP11" s="76" t="str">
        <f t="shared" si="4"/>
        <v/>
      </c>
      <c r="AQ11" s="76" t="str">
        <f t="shared" si="4"/>
        <v/>
      </c>
      <c r="AR11" s="76" t="str">
        <f t="shared" si="5"/>
        <v/>
      </c>
      <c r="AS11" s="76" t="str">
        <f t="shared" si="5"/>
        <v/>
      </c>
      <c r="AT11" s="76" t="str">
        <f t="shared" si="5"/>
        <v/>
      </c>
      <c r="AU11" s="76" t="str">
        <f t="shared" si="5"/>
        <v/>
      </c>
      <c r="AV11" s="76" t="str">
        <f t="shared" si="5"/>
        <v/>
      </c>
      <c r="AW11" s="76" t="str">
        <f t="shared" si="5"/>
        <v/>
      </c>
      <c r="AX11" s="76" t="str">
        <f t="shared" si="5"/>
        <v/>
      </c>
      <c r="AY11" s="76" t="str">
        <f t="shared" si="5"/>
        <v/>
      </c>
      <c r="AZ11" s="76" t="str">
        <f t="shared" si="5"/>
        <v/>
      </c>
      <c r="BA11" s="76" t="str">
        <f t="shared" si="5"/>
        <v/>
      </c>
      <c r="BB11" s="76" t="str">
        <f t="shared" si="5"/>
        <v/>
      </c>
      <c r="BC11" s="76" t="str">
        <f t="shared" si="5"/>
        <v/>
      </c>
      <c r="BD11" s="76" t="str">
        <f t="shared" si="5"/>
        <v/>
      </c>
      <c r="BE11" s="76" t="str">
        <f t="shared" si="5"/>
        <v/>
      </c>
      <c r="BF11" s="76" t="str">
        <f t="shared" si="5"/>
        <v/>
      </c>
      <c r="BG11" s="90"/>
    </row>
    <row r="12" spans="1:59" customFormat="1">
      <c r="A12" s="68" t="s">
        <v>606</v>
      </c>
      <c r="B12" s="97">
        <f t="shared" si="6"/>
        <v>3</v>
      </c>
      <c r="C12" s="86"/>
      <c r="D12" s="86"/>
      <c r="E12" s="86"/>
      <c r="F12" s="86">
        <v>1</v>
      </c>
      <c r="G12" s="86">
        <v>2</v>
      </c>
      <c r="H12" s="86">
        <v>2</v>
      </c>
      <c r="I12" s="86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>
        <v>16</v>
      </c>
      <c r="AC12" s="75">
        <f t="shared" si="3"/>
        <v>80</v>
      </c>
      <c r="AD12" s="86">
        <v>6</v>
      </c>
      <c r="AE12" s="86">
        <v>4</v>
      </c>
      <c r="AF12" s="74">
        <f>IF(AB12="","",(AD12+(AE12/36))*AB12)</f>
        <v>97.777777777777771</v>
      </c>
      <c r="AG12" s="113"/>
      <c r="AH12" s="76" t="str">
        <f t="shared" si="4"/>
        <v/>
      </c>
      <c r="AI12" s="76" t="str">
        <f t="shared" si="4"/>
        <v/>
      </c>
      <c r="AJ12" s="76" t="str">
        <f t="shared" si="4"/>
        <v/>
      </c>
      <c r="AK12" s="76">
        <f t="shared" si="4"/>
        <v>0</v>
      </c>
      <c r="AL12" s="76">
        <f t="shared" si="4"/>
        <v>0</v>
      </c>
      <c r="AM12" s="76">
        <f t="shared" si="4"/>
        <v>0</v>
      </c>
      <c r="AN12" s="76" t="str">
        <f t="shared" si="4"/>
        <v/>
      </c>
      <c r="AO12" s="76" t="str">
        <f t="shared" si="4"/>
        <v/>
      </c>
      <c r="AP12" s="76" t="str">
        <f t="shared" si="4"/>
        <v/>
      </c>
      <c r="AQ12" s="76" t="str">
        <f t="shared" si="4"/>
        <v/>
      </c>
      <c r="AR12" s="76" t="str">
        <f t="shared" si="5"/>
        <v/>
      </c>
      <c r="AS12" s="76" t="str">
        <f t="shared" si="5"/>
        <v/>
      </c>
      <c r="AT12" s="76" t="str">
        <f t="shared" si="5"/>
        <v/>
      </c>
      <c r="AU12" s="76" t="str">
        <f t="shared" si="5"/>
        <v/>
      </c>
      <c r="AV12" s="76" t="str">
        <f t="shared" si="5"/>
        <v/>
      </c>
      <c r="AW12" s="76" t="str">
        <f t="shared" si="5"/>
        <v/>
      </c>
      <c r="AX12" s="76" t="str">
        <f t="shared" si="5"/>
        <v/>
      </c>
      <c r="AY12" s="76" t="str">
        <f t="shared" si="5"/>
        <v/>
      </c>
      <c r="AZ12" s="76" t="str">
        <f t="shared" si="5"/>
        <v/>
      </c>
      <c r="BA12" s="76" t="str">
        <f t="shared" si="5"/>
        <v/>
      </c>
      <c r="BB12" s="76" t="str">
        <f t="shared" si="5"/>
        <v/>
      </c>
      <c r="BC12" s="76" t="str">
        <f t="shared" si="5"/>
        <v/>
      </c>
      <c r="BD12" s="76" t="str">
        <f t="shared" si="5"/>
        <v/>
      </c>
      <c r="BE12" s="76" t="str">
        <f t="shared" si="5"/>
        <v/>
      </c>
      <c r="BF12" s="76" t="str">
        <f t="shared" si="5"/>
        <v/>
      </c>
      <c r="BG12" s="90"/>
    </row>
    <row r="13" spans="1:59" customFormat="1">
      <c r="A13" s="68" t="s">
        <v>608</v>
      </c>
      <c r="B13" s="97">
        <f t="shared" si="6"/>
        <v>4</v>
      </c>
      <c r="C13" s="86">
        <v>1</v>
      </c>
      <c r="D13" s="86"/>
      <c r="E13" s="86"/>
      <c r="F13" s="86"/>
      <c r="G13" s="86"/>
      <c r="H13" s="86">
        <v>1</v>
      </c>
      <c r="I13" s="86">
        <v>1</v>
      </c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6"/>
      <c r="X13" s="86"/>
      <c r="Y13" s="86"/>
      <c r="Z13" s="86"/>
      <c r="AA13" s="86"/>
      <c r="AB13" s="86">
        <v>7</v>
      </c>
      <c r="AC13" s="75">
        <f t="shared" si="3"/>
        <v>21</v>
      </c>
      <c r="AD13" s="86">
        <v>3</v>
      </c>
      <c r="AE13" s="86">
        <v>24.25</v>
      </c>
      <c r="AF13" s="74">
        <f>IF(AB13="","",(AD13+(AE13/36))*AB13)</f>
        <v>25.715277777777779</v>
      </c>
      <c r="AG13" s="113"/>
      <c r="AH13" s="76">
        <f t="shared" si="4"/>
        <v>0</v>
      </c>
      <c r="AI13" s="76" t="str">
        <f t="shared" si="4"/>
        <v/>
      </c>
      <c r="AJ13" s="76" t="str">
        <f t="shared" si="4"/>
        <v/>
      </c>
      <c r="AK13" s="76" t="str">
        <f t="shared" si="4"/>
        <v/>
      </c>
      <c r="AL13" s="76" t="str">
        <f t="shared" si="4"/>
        <v/>
      </c>
      <c r="AM13" s="76">
        <f t="shared" si="4"/>
        <v>0</v>
      </c>
      <c r="AN13" s="76">
        <f t="shared" si="4"/>
        <v>0</v>
      </c>
      <c r="AO13" s="76" t="str">
        <f t="shared" si="4"/>
        <v/>
      </c>
      <c r="AP13" s="76" t="str">
        <f t="shared" si="4"/>
        <v/>
      </c>
      <c r="AQ13" s="76" t="str">
        <f t="shared" si="4"/>
        <v/>
      </c>
      <c r="AR13" s="76" t="str">
        <f t="shared" si="5"/>
        <v/>
      </c>
      <c r="AS13" s="76" t="str">
        <f t="shared" si="5"/>
        <v/>
      </c>
      <c r="AT13" s="76" t="str">
        <f t="shared" si="5"/>
        <v/>
      </c>
      <c r="AU13" s="76" t="str">
        <f t="shared" si="5"/>
        <v/>
      </c>
      <c r="AV13" s="76" t="str">
        <f t="shared" si="5"/>
        <v/>
      </c>
      <c r="AW13" s="76" t="str">
        <f t="shared" si="5"/>
        <v/>
      </c>
      <c r="AX13" s="76" t="str">
        <f t="shared" si="5"/>
        <v/>
      </c>
      <c r="AY13" s="76" t="str">
        <f t="shared" si="5"/>
        <v/>
      </c>
      <c r="AZ13" s="76" t="str">
        <f t="shared" si="5"/>
        <v/>
      </c>
      <c r="BA13" s="76" t="str">
        <f t="shared" si="5"/>
        <v/>
      </c>
      <c r="BB13" s="76" t="str">
        <f t="shared" si="5"/>
        <v/>
      </c>
      <c r="BC13" s="76" t="str">
        <f t="shared" si="5"/>
        <v/>
      </c>
      <c r="BD13" s="76" t="str">
        <f t="shared" si="5"/>
        <v/>
      </c>
      <c r="BE13" s="76" t="str">
        <f t="shared" si="5"/>
        <v/>
      </c>
      <c r="BF13" s="76" t="str">
        <f t="shared" si="5"/>
        <v/>
      </c>
      <c r="BG13" s="90"/>
    </row>
    <row r="14" spans="1:59" customFormat="1">
      <c r="A14" s="68" t="s">
        <v>607</v>
      </c>
      <c r="B14" s="97">
        <f t="shared" si="6"/>
        <v>5</v>
      </c>
      <c r="C14" s="86">
        <v>1</v>
      </c>
      <c r="D14" s="86"/>
      <c r="E14" s="86"/>
      <c r="F14" s="86"/>
      <c r="G14" s="86">
        <v>1</v>
      </c>
      <c r="H14" s="86"/>
      <c r="I14" s="86">
        <v>1</v>
      </c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6"/>
      <c r="X14" s="86"/>
      <c r="Y14" s="86"/>
      <c r="Z14" s="86"/>
      <c r="AA14" s="86"/>
      <c r="AB14" s="86">
        <v>3</v>
      </c>
      <c r="AC14" s="75">
        <f t="shared" si="3"/>
        <v>9</v>
      </c>
      <c r="AD14" s="86">
        <v>3</v>
      </c>
      <c r="AE14" s="86">
        <v>17.125</v>
      </c>
      <c r="AF14" s="74">
        <f>IF(AB14="","",(AD14+(AE14/36))*AB14)</f>
        <v>10.427083333333334</v>
      </c>
      <c r="AG14" s="113"/>
      <c r="AH14" s="76">
        <f t="shared" si="4"/>
        <v>0</v>
      </c>
      <c r="AI14" s="76" t="str">
        <f t="shared" si="4"/>
        <v/>
      </c>
      <c r="AJ14" s="76" t="str">
        <f t="shared" si="4"/>
        <v/>
      </c>
      <c r="AK14" s="76" t="str">
        <f t="shared" si="4"/>
        <v/>
      </c>
      <c r="AL14" s="76">
        <f t="shared" si="4"/>
        <v>0</v>
      </c>
      <c r="AM14" s="76" t="str">
        <f t="shared" si="4"/>
        <v/>
      </c>
      <c r="AN14" s="76">
        <f t="shared" si="4"/>
        <v>0</v>
      </c>
      <c r="AO14" s="76" t="str">
        <f t="shared" si="4"/>
        <v/>
      </c>
      <c r="AP14" s="76" t="str">
        <f t="shared" si="4"/>
        <v/>
      </c>
      <c r="AQ14" s="76" t="str">
        <f t="shared" si="4"/>
        <v/>
      </c>
      <c r="AR14" s="76" t="str">
        <f t="shared" si="5"/>
        <v/>
      </c>
      <c r="AS14" s="76" t="str">
        <f t="shared" si="5"/>
        <v/>
      </c>
      <c r="AT14" s="76" t="str">
        <f t="shared" si="5"/>
        <v/>
      </c>
      <c r="AU14" s="76" t="str">
        <f t="shared" si="5"/>
        <v/>
      </c>
      <c r="AV14" s="76" t="str">
        <f t="shared" si="5"/>
        <v/>
      </c>
      <c r="AW14" s="76" t="str">
        <f t="shared" si="5"/>
        <v/>
      </c>
      <c r="AX14" s="76" t="str">
        <f t="shared" si="5"/>
        <v/>
      </c>
      <c r="AY14" s="76" t="str">
        <f t="shared" si="5"/>
        <v/>
      </c>
      <c r="AZ14" s="76" t="str">
        <f t="shared" si="5"/>
        <v/>
      </c>
      <c r="BA14" s="76" t="str">
        <f t="shared" si="5"/>
        <v/>
      </c>
      <c r="BB14" s="76" t="str">
        <f t="shared" si="5"/>
        <v/>
      </c>
      <c r="BC14" s="76" t="str">
        <f t="shared" si="5"/>
        <v/>
      </c>
      <c r="BD14" s="76" t="str">
        <f t="shared" si="5"/>
        <v/>
      </c>
      <c r="BE14" s="76" t="str">
        <f t="shared" si="5"/>
        <v/>
      </c>
      <c r="BF14" s="76" t="str">
        <f t="shared" si="5"/>
        <v/>
      </c>
      <c r="BG14" s="90"/>
    </row>
    <row r="15" spans="1:59" customFormat="1">
      <c r="A15" s="68"/>
      <c r="B15" s="97" t="str">
        <f t="shared" si="6"/>
        <v/>
      </c>
      <c r="C15" s="86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6"/>
      <c r="X15" s="86"/>
      <c r="Y15" s="86"/>
      <c r="Z15" s="86"/>
      <c r="AA15" s="86"/>
      <c r="AB15" s="86"/>
      <c r="AC15" s="75" t="str">
        <f t="shared" si="3"/>
        <v/>
      </c>
      <c r="AD15" s="68"/>
      <c r="AE15" s="68"/>
      <c r="AF15" s="74" t="str">
        <f t="shared" ref="AF15:AF24" si="7">IF(AB15="","",(AD15+(AE15/36))*AB15)</f>
        <v/>
      </c>
      <c r="AG15" s="113"/>
      <c r="AH15" s="76" t="str">
        <f t="shared" si="4"/>
        <v/>
      </c>
      <c r="AI15" s="76" t="str">
        <f t="shared" si="4"/>
        <v/>
      </c>
      <c r="AJ15" s="76" t="str">
        <f t="shared" si="4"/>
        <v/>
      </c>
      <c r="AK15" s="76" t="str">
        <f t="shared" si="4"/>
        <v/>
      </c>
      <c r="AL15" s="76" t="str">
        <f t="shared" si="4"/>
        <v/>
      </c>
      <c r="AM15" s="76" t="str">
        <f t="shared" si="4"/>
        <v/>
      </c>
      <c r="AN15" s="76" t="str">
        <f t="shared" si="4"/>
        <v/>
      </c>
      <c r="AO15" s="76" t="str">
        <f t="shared" si="4"/>
        <v/>
      </c>
      <c r="AP15" s="76" t="str">
        <f t="shared" si="4"/>
        <v/>
      </c>
      <c r="AQ15" s="76" t="str">
        <f t="shared" si="4"/>
        <v/>
      </c>
      <c r="AR15" s="76" t="str">
        <f t="shared" si="5"/>
        <v/>
      </c>
      <c r="AS15" s="76" t="str">
        <f t="shared" si="5"/>
        <v/>
      </c>
      <c r="AT15" s="76" t="str">
        <f t="shared" si="5"/>
        <v/>
      </c>
      <c r="AU15" s="76" t="str">
        <f t="shared" si="5"/>
        <v/>
      </c>
      <c r="AV15" s="76" t="str">
        <f t="shared" si="5"/>
        <v/>
      </c>
      <c r="AW15" s="76" t="str">
        <f t="shared" si="5"/>
        <v/>
      </c>
      <c r="AX15" s="76" t="str">
        <f t="shared" si="5"/>
        <v/>
      </c>
      <c r="AY15" s="76" t="str">
        <f t="shared" si="5"/>
        <v/>
      </c>
      <c r="AZ15" s="76" t="str">
        <f t="shared" si="5"/>
        <v/>
      </c>
      <c r="BA15" s="76" t="str">
        <f t="shared" si="5"/>
        <v/>
      </c>
      <c r="BB15" s="76" t="str">
        <f t="shared" si="5"/>
        <v/>
      </c>
      <c r="BC15" s="76" t="str">
        <f t="shared" si="5"/>
        <v/>
      </c>
      <c r="BD15" s="76" t="str">
        <f t="shared" si="5"/>
        <v/>
      </c>
      <c r="BE15" s="76" t="str">
        <f t="shared" si="5"/>
        <v/>
      </c>
      <c r="BF15" s="76" t="str">
        <f t="shared" si="5"/>
        <v/>
      </c>
      <c r="BG15" s="90"/>
    </row>
    <row r="16" spans="1:59" customFormat="1">
      <c r="A16" s="68"/>
      <c r="B16" s="97" t="str">
        <f t="shared" si="6"/>
        <v/>
      </c>
      <c r="C16" s="86"/>
      <c r="D16" s="86"/>
      <c r="E16" s="86"/>
      <c r="F16" s="86"/>
      <c r="G16" s="86"/>
      <c r="H16" s="86"/>
      <c r="I16" s="86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6"/>
      <c r="X16" s="86"/>
      <c r="Y16" s="86"/>
      <c r="Z16" s="86"/>
      <c r="AA16" s="86"/>
      <c r="AB16" s="86"/>
      <c r="AC16" s="75" t="str">
        <f t="shared" si="3"/>
        <v/>
      </c>
      <c r="AD16" s="68"/>
      <c r="AE16" s="68"/>
      <c r="AF16" s="74" t="str">
        <f t="shared" si="7"/>
        <v/>
      </c>
      <c r="AG16" s="113"/>
      <c r="AH16" s="76" t="str">
        <f t="shared" si="4"/>
        <v/>
      </c>
      <c r="AI16" s="76" t="str">
        <f t="shared" si="4"/>
        <v/>
      </c>
      <c r="AJ16" s="76" t="str">
        <f t="shared" si="4"/>
        <v/>
      </c>
      <c r="AK16" s="76" t="str">
        <f t="shared" si="4"/>
        <v/>
      </c>
      <c r="AL16" s="76" t="str">
        <f t="shared" si="4"/>
        <v/>
      </c>
      <c r="AM16" s="76" t="str">
        <f t="shared" si="4"/>
        <v/>
      </c>
      <c r="AN16" s="76" t="str">
        <f t="shared" si="4"/>
        <v/>
      </c>
      <c r="AO16" s="76" t="str">
        <f t="shared" si="4"/>
        <v/>
      </c>
      <c r="AP16" s="76" t="str">
        <f t="shared" si="4"/>
        <v/>
      </c>
      <c r="AQ16" s="76" t="str">
        <f t="shared" si="4"/>
        <v/>
      </c>
      <c r="AR16" s="76" t="str">
        <f t="shared" si="5"/>
        <v/>
      </c>
      <c r="AS16" s="76" t="str">
        <f t="shared" si="5"/>
        <v/>
      </c>
      <c r="AT16" s="76" t="str">
        <f t="shared" si="5"/>
        <v/>
      </c>
      <c r="AU16" s="76" t="str">
        <f t="shared" si="5"/>
        <v/>
      </c>
      <c r="AV16" s="76" t="str">
        <f t="shared" si="5"/>
        <v/>
      </c>
      <c r="AW16" s="76" t="str">
        <f t="shared" si="5"/>
        <v/>
      </c>
      <c r="AX16" s="76" t="str">
        <f t="shared" si="5"/>
        <v/>
      </c>
      <c r="AY16" s="76" t="str">
        <f t="shared" si="5"/>
        <v/>
      </c>
      <c r="AZ16" s="76" t="str">
        <f t="shared" si="5"/>
        <v/>
      </c>
      <c r="BA16" s="76" t="str">
        <f t="shared" si="5"/>
        <v/>
      </c>
      <c r="BB16" s="76" t="str">
        <f t="shared" si="5"/>
        <v/>
      </c>
      <c r="BC16" s="76" t="str">
        <f t="shared" si="5"/>
        <v/>
      </c>
      <c r="BD16" s="76" t="str">
        <f t="shared" si="5"/>
        <v/>
      </c>
      <c r="BE16" s="76" t="str">
        <f t="shared" si="5"/>
        <v/>
      </c>
      <c r="BF16" s="76" t="str">
        <f t="shared" si="5"/>
        <v/>
      </c>
      <c r="BG16" s="90"/>
    </row>
    <row r="17" spans="1:59" customFormat="1">
      <c r="A17" s="68"/>
      <c r="B17" s="97" t="str">
        <f t="shared" si="6"/>
        <v/>
      </c>
      <c r="C17" s="86"/>
      <c r="D17" s="86"/>
      <c r="E17" s="86"/>
      <c r="F17" s="86"/>
      <c r="G17" s="86"/>
      <c r="H17" s="86"/>
      <c r="I17" s="86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6"/>
      <c r="X17" s="86"/>
      <c r="Y17" s="86"/>
      <c r="Z17" s="86"/>
      <c r="AA17" s="86"/>
      <c r="AB17" s="86"/>
      <c r="AC17" s="75" t="str">
        <f t="shared" si="3"/>
        <v/>
      </c>
      <c r="AD17" s="68"/>
      <c r="AE17" s="68"/>
      <c r="AF17" s="74" t="str">
        <f t="shared" si="7"/>
        <v/>
      </c>
      <c r="AG17" s="113"/>
      <c r="AH17" s="76" t="str">
        <f t="shared" si="4"/>
        <v/>
      </c>
      <c r="AI17" s="76" t="str">
        <f t="shared" si="4"/>
        <v/>
      </c>
      <c r="AJ17" s="76" t="str">
        <f t="shared" si="4"/>
        <v/>
      </c>
      <c r="AK17" s="76" t="str">
        <f t="shared" si="4"/>
        <v/>
      </c>
      <c r="AL17" s="76" t="str">
        <f t="shared" si="4"/>
        <v/>
      </c>
      <c r="AM17" s="76" t="str">
        <f t="shared" si="4"/>
        <v/>
      </c>
      <c r="AN17" s="76" t="str">
        <f t="shared" si="4"/>
        <v/>
      </c>
      <c r="AO17" s="76" t="str">
        <f t="shared" si="4"/>
        <v/>
      </c>
      <c r="AP17" s="76" t="str">
        <f t="shared" si="4"/>
        <v/>
      </c>
      <c r="AQ17" s="76" t="str">
        <f t="shared" si="4"/>
        <v/>
      </c>
      <c r="AR17" s="76" t="str">
        <f t="shared" si="5"/>
        <v/>
      </c>
      <c r="AS17" s="76" t="str">
        <f t="shared" si="5"/>
        <v/>
      </c>
      <c r="AT17" s="76" t="str">
        <f t="shared" si="5"/>
        <v/>
      </c>
      <c r="AU17" s="76" t="str">
        <f t="shared" si="5"/>
        <v/>
      </c>
      <c r="AV17" s="76" t="str">
        <f t="shared" si="5"/>
        <v/>
      </c>
      <c r="AW17" s="76" t="str">
        <f t="shared" si="5"/>
        <v/>
      </c>
      <c r="AX17" s="76" t="str">
        <f t="shared" si="5"/>
        <v/>
      </c>
      <c r="AY17" s="76" t="str">
        <f t="shared" si="5"/>
        <v/>
      </c>
      <c r="AZ17" s="76" t="str">
        <f t="shared" si="5"/>
        <v/>
      </c>
      <c r="BA17" s="76" t="str">
        <f t="shared" si="5"/>
        <v/>
      </c>
      <c r="BB17" s="76" t="str">
        <f t="shared" si="5"/>
        <v/>
      </c>
      <c r="BC17" s="76" t="str">
        <f t="shared" si="5"/>
        <v/>
      </c>
      <c r="BD17" s="76" t="str">
        <f t="shared" si="5"/>
        <v/>
      </c>
      <c r="BE17" s="76" t="str">
        <f t="shared" si="5"/>
        <v/>
      </c>
      <c r="BF17" s="76" t="str">
        <f t="shared" si="5"/>
        <v/>
      </c>
      <c r="BG17" s="90"/>
    </row>
    <row r="18" spans="1:59" customFormat="1">
      <c r="A18" s="68"/>
      <c r="B18" s="97" t="str">
        <f t="shared" si="6"/>
        <v/>
      </c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6"/>
      <c r="X18" s="86"/>
      <c r="Y18" s="86"/>
      <c r="Z18" s="86"/>
      <c r="AA18" s="86"/>
      <c r="AB18" s="86"/>
      <c r="AC18" s="75" t="str">
        <f t="shared" si="3"/>
        <v/>
      </c>
      <c r="AD18" s="68"/>
      <c r="AE18" s="68"/>
      <c r="AF18" s="74" t="str">
        <f t="shared" si="7"/>
        <v/>
      </c>
      <c r="AG18" s="113"/>
      <c r="AH18" s="76" t="str">
        <f t="shared" si="4"/>
        <v/>
      </c>
      <c r="AI18" s="76" t="str">
        <f t="shared" si="4"/>
        <v/>
      </c>
      <c r="AJ18" s="76" t="str">
        <f t="shared" si="4"/>
        <v/>
      </c>
      <c r="AK18" s="76" t="str">
        <f t="shared" si="4"/>
        <v/>
      </c>
      <c r="AL18" s="76" t="str">
        <f t="shared" si="4"/>
        <v/>
      </c>
      <c r="AM18" s="76" t="str">
        <f t="shared" si="4"/>
        <v/>
      </c>
      <c r="AN18" s="76" t="str">
        <f t="shared" si="4"/>
        <v/>
      </c>
      <c r="AO18" s="76" t="str">
        <f t="shared" si="4"/>
        <v/>
      </c>
      <c r="AP18" s="76" t="str">
        <f t="shared" si="4"/>
        <v/>
      </c>
      <c r="AQ18" s="76" t="str">
        <f t="shared" si="4"/>
        <v/>
      </c>
      <c r="AR18" s="76" t="str">
        <f t="shared" si="5"/>
        <v/>
      </c>
      <c r="AS18" s="76" t="str">
        <f t="shared" si="5"/>
        <v/>
      </c>
      <c r="AT18" s="76" t="str">
        <f t="shared" si="5"/>
        <v/>
      </c>
      <c r="AU18" s="76" t="str">
        <f t="shared" si="5"/>
        <v/>
      </c>
      <c r="AV18" s="76" t="str">
        <f t="shared" si="5"/>
        <v/>
      </c>
      <c r="AW18" s="76" t="str">
        <f t="shared" si="5"/>
        <v/>
      </c>
      <c r="AX18" s="76" t="str">
        <f t="shared" si="5"/>
        <v/>
      </c>
      <c r="AY18" s="76" t="str">
        <f t="shared" si="5"/>
        <v/>
      </c>
      <c r="AZ18" s="76" t="str">
        <f t="shared" si="5"/>
        <v/>
      </c>
      <c r="BA18" s="76" t="str">
        <f t="shared" si="5"/>
        <v/>
      </c>
      <c r="BB18" s="76" t="str">
        <f t="shared" si="5"/>
        <v/>
      </c>
      <c r="BC18" s="76" t="str">
        <f t="shared" si="5"/>
        <v/>
      </c>
      <c r="BD18" s="76" t="str">
        <f t="shared" si="5"/>
        <v/>
      </c>
      <c r="BE18" s="76" t="str">
        <f t="shared" si="5"/>
        <v/>
      </c>
      <c r="BF18" s="76" t="str">
        <f t="shared" si="5"/>
        <v/>
      </c>
      <c r="BG18" s="90"/>
    </row>
    <row r="19" spans="1:59" customFormat="1">
      <c r="A19" s="68"/>
      <c r="B19" s="97" t="str">
        <f t="shared" si="6"/>
        <v/>
      </c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  <c r="AC19" s="75" t="str">
        <f t="shared" si="3"/>
        <v/>
      </c>
      <c r="AD19" s="68"/>
      <c r="AE19" s="68"/>
      <c r="AF19" s="74" t="str">
        <f t="shared" si="7"/>
        <v/>
      </c>
      <c r="AG19" s="113"/>
      <c r="AH19" s="76" t="str">
        <f t="shared" si="4"/>
        <v/>
      </c>
      <c r="AI19" s="76" t="str">
        <f t="shared" si="4"/>
        <v/>
      </c>
      <c r="AJ19" s="76" t="str">
        <f t="shared" si="4"/>
        <v/>
      </c>
      <c r="AK19" s="76" t="str">
        <f t="shared" si="4"/>
        <v/>
      </c>
      <c r="AL19" s="76" t="str">
        <f t="shared" si="4"/>
        <v/>
      </c>
      <c r="AM19" s="76" t="str">
        <f t="shared" si="4"/>
        <v/>
      </c>
      <c r="AN19" s="76" t="str">
        <f t="shared" si="4"/>
        <v/>
      </c>
      <c r="AO19" s="76" t="str">
        <f t="shared" si="4"/>
        <v/>
      </c>
      <c r="AP19" s="76" t="str">
        <f t="shared" si="4"/>
        <v/>
      </c>
      <c r="AQ19" s="76" t="str">
        <f t="shared" si="4"/>
        <v/>
      </c>
      <c r="AR19" s="76" t="str">
        <f t="shared" si="5"/>
        <v/>
      </c>
      <c r="AS19" s="76" t="str">
        <f t="shared" si="5"/>
        <v/>
      </c>
      <c r="AT19" s="76" t="str">
        <f t="shared" si="5"/>
        <v/>
      </c>
      <c r="AU19" s="76" t="str">
        <f t="shared" si="5"/>
        <v/>
      </c>
      <c r="AV19" s="76" t="str">
        <f t="shared" si="5"/>
        <v/>
      </c>
      <c r="AW19" s="76" t="str">
        <f t="shared" si="5"/>
        <v/>
      </c>
      <c r="AX19" s="76" t="str">
        <f t="shared" si="5"/>
        <v/>
      </c>
      <c r="AY19" s="76" t="str">
        <f t="shared" si="5"/>
        <v/>
      </c>
      <c r="AZ19" s="76" t="str">
        <f t="shared" si="5"/>
        <v/>
      </c>
      <c r="BA19" s="76" t="str">
        <f t="shared" si="5"/>
        <v/>
      </c>
      <c r="BB19" s="76" t="str">
        <f t="shared" si="5"/>
        <v/>
      </c>
      <c r="BC19" s="76" t="str">
        <f t="shared" si="5"/>
        <v/>
      </c>
      <c r="BD19" s="76" t="str">
        <f t="shared" si="5"/>
        <v/>
      </c>
      <c r="BE19" s="76" t="str">
        <f t="shared" si="5"/>
        <v/>
      </c>
      <c r="BF19" s="76" t="str">
        <f t="shared" si="5"/>
        <v/>
      </c>
      <c r="BG19" s="90"/>
    </row>
    <row r="20" spans="1:59" customFormat="1">
      <c r="A20" s="68"/>
      <c r="B20" s="97" t="str">
        <f t="shared" si="6"/>
        <v/>
      </c>
      <c r="C20" s="86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6"/>
      <c r="X20" s="86"/>
      <c r="Y20" s="80"/>
      <c r="Z20" s="86"/>
      <c r="AA20" s="86"/>
      <c r="AB20" s="86"/>
      <c r="AC20" s="75" t="str">
        <f t="shared" si="3"/>
        <v/>
      </c>
      <c r="AD20" s="68"/>
      <c r="AE20" s="68"/>
      <c r="AF20" s="74" t="str">
        <f t="shared" si="7"/>
        <v/>
      </c>
      <c r="AG20" s="113"/>
      <c r="AH20" s="76" t="str">
        <f t="shared" si="4"/>
        <v/>
      </c>
      <c r="AI20" s="76" t="str">
        <f t="shared" si="4"/>
        <v/>
      </c>
      <c r="AJ20" s="76" t="str">
        <f t="shared" si="4"/>
        <v/>
      </c>
      <c r="AK20" s="76" t="str">
        <f t="shared" si="4"/>
        <v/>
      </c>
      <c r="AL20" s="76" t="str">
        <f t="shared" si="4"/>
        <v/>
      </c>
      <c r="AM20" s="76" t="str">
        <f t="shared" si="4"/>
        <v/>
      </c>
      <c r="AN20" s="76" t="str">
        <f t="shared" si="4"/>
        <v/>
      </c>
      <c r="AO20" s="76" t="str">
        <f t="shared" si="4"/>
        <v/>
      </c>
      <c r="AP20" s="76" t="str">
        <f t="shared" si="4"/>
        <v/>
      </c>
      <c r="AQ20" s="76" t="str">
        <f t="shared" si="4"/>
        <v/>
      </c>
      <c r="AR20" s="76" t="str">
        <f t="shared" si="5"/>
        <v/>
      </c>
      <c r="AS20" s="76" t="str">
        <f t="shared" si="5"/>
        <v/>
      </c>
      <c r="AT20" s="76" t="str">
        <f t="shared" si="5"/>
        <v/>
      </c>
      <c r="AU20" s="76" t="str">
        <f t="shared" si="5"/>
        <v/>
      </c>
      <c r="AV20" s="76" t="str">
        <f t="shared" si="5"/>
        <v/>
      </c>
      <c r="AW20" s="76" t="str">
        <f t="shared" si="5"/>
        <v/>
      </c>
      <c r="AX20" s="76" t="str">
        <f t="shared" si="5"/>
        <v/>
      </c>
      <c r="AY20" s="76" t="str">
        <f t="shared" si="5"/>
        <v/>
      </c>
      <c r="AZ20" s="76" t="str">
        <f t="shared" si="5"/>
        <v/>
      </c>
      <c r="BA20" s="76" t="str">
        <f t="shared" si="5"/>
        <v/>
      </c>
      <c r="BB20" s="76" t="str">
        <f t="shared" si="5"/>
        <v/>
      </c>
      <c r="BC20" s="76" t="str">
        <f t="shared" si="5"/>
        <v/>
      </c>
      <c r="BD20" s="76" t="str">
        <f t="shared" si="5"/>
        <v/>
      </c>
      <c r="BE20" s="76" t="str">
        <f t="shared" si="5"/>
        <v/>
      </c>
      <c r="BF20" s="76" t="str">
        <f t="shared" si="5"/>
        <v/>
      </c>
      <c r="BG20" s="90"/>
    </row>
    <row r="21" spans="1:59" customFormat="1">
      <c r="A21" s="68"/>
      <c r="B21" s="97" t="str">
        <f t="shared" si="6"/>
        <v/>
      </c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  <c r="AC21" s="75" t="str">
        <f t="shared" si="3"/>
        <v/>
      </c>
      <c r="AD21" s="68"/>
      <c r="AE21" s="68"/>
      <c r="AF21" s="74" t="str">
        <f t="shared" si="7"/>
        <v/>
      </c>
      <c r="AG21" s="113"/>
      <c r="AH21" s="76" t="str">
        <f t="shared" si="4"/>
        <v/>
      </c>
      <c r="AI21" s="76" t="str">
        <f t="shared" si="4"/>
        <v/>
      </c>
      <c r="AJ21" s="76" t="str">
        <f t="shared" si="4"/>
        <v/>
      </c>
      <c r="AK21" s="76" t="str">
        <f t="shared" si="4"/>
        <v/>
      </c>
      <c r="AL21" s="76" t="str">
        <f t="shared" si="4"/>
        <v/>
      </c>
      <c r="AM21" s="76" t="str">
        <f t="shared" si="4"/>
        <v/>
      </c>
      <c r="AN21" s="76" t="str">
        <f t="shared" si="4"/>
        <v/>
      </c>
      <c r="AO21" s="76" t="str">
        <f t="shared" si="4"/>
        <v/>
      </c>
      <c r="AP21" s="76" t="str">
        <f t="shared" si="4"/>
        <v/>
      </c>
      <c r="AQ21" s="76" t="str">
        <f t="shared" si="4"/>
        <v/>
      </c>
      <c r="AR21" s="76" t="str">
        <f t="shared" si="5"/>
        <v/>
      </c>
      <c r="AS21" s="76" t="str">
        <f t="shared" si="5"/>
        <v/>
      </c>
      <c r="AT21" s="76" t="str">
        <f t="shared" si="5"/>
        <v/>
      </c>
      <c r="AU21" s="76" t="str">
        <f t="shared" si="5"/>
        <v/>
      </c>
      <c r="AV21" s="76" t="str">
        <f t="shared" si="5"/>
        <v/>
      </c>
      <c r="AW21" s="76" t="str">
        <f t="shared" si="5"/>
        <v/>
      </c>
      <c r="AX21" s="76" t="str">
        <f t="shared" si="5"/>
        <v/>
      </c>
      <c r="AY21" s="76" t="str">
        <f t="shared" si="5"/>
        <v/>
      </c>
      <c r="AZ21" s="76" t="str">
        <f t="shared" si="5"/>
        <v/>
      </c>
      <c r="BA21" s="76" t="str">
        <f t="shared" si="5"/>
        <v/>
      </c>
      <c r="BB21" s="76" t="str">
        <f t="shared" si="5"/>
        <v/>
      </c>
      <c r="BC21" s="76" t="str">
        <f t="shared" si="5"/>
        <v/>
      </c>
      <c r="BD21" s="76" t="str">
        <f t="shared" si="5"/>
        <v/>
      </c>
      <c r="BE21" s="76" t="str">
        <f t="shared" si="5"/>
        <v/>
      </c>
      <c r="BF21" s="76" t="str">
        <f t="shared" si="5"/>
        <v/>
      </c>
      <c r="BG21" s="90"/>
    </row>
    <row r="22" spans="1:59" customFormat="1">
      <c r="A22" s="68"/>
      <c r="B22" s="97" t="str">
        <f t="shared" si="6"/>
        <v/>
      </c>
      <c r="C22" s="86"/>
      <c r="D22" s="86"/>
      <c r="E22" s="86"/>
      <c r="F22" s="86"/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  <c r="R22" s="86"/>
      <c r="S22" s="86"/>
      <c r="T22" s="86"/>
      <c r="U22" s="86"/>
      <c r="V22" s="86"/>
      <c r="W22" s="86"/>
      <c r="X22" s="86"/>
      <c r="Y22" s="86"/>
      <c r="Z22" s="86"/>
      <c r="AA22" s="86"/>
      <c r="AB22" s="86"/>
      <c r="AC22" s="75" t="str">
        <f t="shared" si="3"/>
        <v/>
      </c>
      <c r="AD22" s="68"/>
      <c r="AE22" s="68"/>
      <c r="AF22" s="74" t="str">
        <f t="shared" si="7"/>
        <v/>
      </c>
      <c r="AG22" s="113"/>
      <c r="AH22" s="76" t="str">
        <f t="shared" si="4"/>
        <v/>
      </c>
      <c r="AI22" s="76" t="str">
        <f t="shared" si="4"/>
        <v/>
      </c>
      <c r="AJ22" s="76" t="str">
        <f t="shared" si="4"/>
        <v/>
      </c>
      <c r="AK22" s="76" t="str">
        <f t="shared" si="4"/>
        <v/>
      </c>
      <c r="AL22" s="76" t="str">
        <f t="shared" si="4"/>
        <v/>
      </c>
      <c r="AM22" s="76" t="str">
        <f t="shared" si="4"/>
        <v/>
      </c>
      <c r="AN22" s="76" t="str">
        <f t="shared" si="4"/>
        <v/>
      </c>
      <c r="AO22" s="76" t="str">
        <f t="shared" si="4"/>
        <v/>
      </c>
      <c r="AP22" s="76" t="str">
        <f t="shared" si="4"/>
        <v/>
      </c>
      <c r="AQ22" s="76" t="str">
        <f t="shared" si="4"/>
        <v/>
      </c>
      <c r="AR22" s="76" t="str">
        <f t="shared" si="5"/>
        <v/>
      </c>
      <c r="AS22" s="76" t="str">
        <f t="shared" si="5"/>
        <v/>
      </c>
      <c r="AT22" s="76" t="str">
        <f t="shared" si="5"/>
        <v/>
      </c>
      <c r="AU22" s="76" t="str">
        <f t="shared" si="5"/>
        <v/>
      </c>
      <c r="AV22" s="76" t="str">
        <f t="shared" si="5"/>
        <v/>
      </c>
      <c r="AW22" s="76" t="str">
        <f t="shared" si="5"/>
        <v/>
      </c>
      <c r="AX22" s="76" t="str">
        <f t="shared" si="5"/>
        <v/>
      </c>
      <c r="AY22" s="76" t="str">
        <f t="shared" si="5"/>
        <v/>
      </c>
      <c r="AZ22" s="76" t="str">
        <f t="shared" si="5"/>
        <v/>
      </c>
      <c r="BA22" s="76" t="str">
        <f t="shared" si="5"/>
        <v/>
      </c>
      <c r="BB22" s="76" t="str">
        <f t="shared" si="5"/>
        <v/>
      </c>
      <c r="BC22" s="76" t="str">
        <f t="shared" si="5"/>
        <v/>
      </c>
      <c r="BD22" s="76" t="str">
        <f t="shared" si="5"/>
        <v/>
      </c>
      <c r="BE22" s="76" t="str">
        <f t="shared" si="5"/>
        <v/>
      </c>
      <c r="BF22" s="76" t="str">
        <f t="shared" si="5"/>
        <v/>
      </c>
      <c r="BG22" s="90"/>
    </row>
    <row r="23" spans="1:59" customFormat="1">
      <c r="A23" s="68"/>
      <c r="B23" s="97" t="str">
        <f t="shared" si="6"/>
        <v/>
      </c>
      <c r="C23" s="86"/>
      <c r="D23" s="86"/>
      <c r="E23" s="86"/>
      <c r="F23" s="86"/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6"/>
      <c r="R23" s="86"/>
      <c r="S23" s="86"/>
      <c r="T23" s="86"/>
      <c r="U23" s="86"/>
      <c r="V23" s="86"/>
      <c r="W23" s="86"/>
      <c r="X23" s="86"/>
      <c r="Y23" s="86"/>
      <c r="Z23" s="86"/>
      <c r="AA23" s="86"/>
      <c r="AB23" s="86"/>
      <c r="AC23" s="75" t="str">
        <f t="shared" si="3"/>
        <v/>
      </c>
      <c r="AD23" s="68"/>
      <c r="AE23" s="68"/>
      <c r="AF23" s="74" t="str">
        <f t="shared" si="7"/>
        <v/>
      </c>
      <c r="AG23" s="113"/>
      <c r="AH23" s="76" t="str">
        <f t="shared" si="4"/>
        <v/>
      </c>
      <c r="AI23" s="76" t="str">
        <f t="shared" si="4"/>
        <v/>
      </c>
      <c r="AJ23" s="76" t="str">
        <f t="shared" si="4"/>
        <v/>
      </c>
      <c r="AK23" s="76" t="str">
        <f t="shared" si="4"/>
        <v/>
      </c>
      <c r="AL23" s="76" t="str">
        <f t="shared" si="4"/>
        <v/>
      </c>
      <c r="AM23" s="76" t="str">
        <f t="shared" si="4"/>
        <v/>
      </c>
      <c r="AN23" s="76" t="str">
        <f t="shared" si="4"/>
        <v/>
      </c>
      <c r="AO23" s="76" t="str">
        <f t="shared" si="4"/>
        <v/>
      </c>
      <c r="AP23" s="76" t="str">
        <f t="shared" si="4"/>
        <v/>
      </c>
      <c r="AQ23" s="76" t="str">
        <f t="shared" si="4"/>
        <v/>
      </c>
      <c r="AR23" s="76" t="str">
        <f t="shared" si="5"/>
        <v/>
      </c>
      <c r="AS23" s="76" t="str">
        <f t="shared" si="5"/>
        <v/>
      </c>
      <c r="AT23" s="76" t="str">
        <f t="shared" si="5"/>
        <v/>
      </c>
      <c r="AU23" s="76" t="str">
        <f t="shared" si="5"/>
        <v/>
      </c>
      <c r="AV23" s="76" t="str">
        <f t="shared" si="5"/>
        <v/>
      </c>
      <c r="AW23" s="76" t="str">
        <f t="shared" si="5"/>
        <v/>
      </c>
      <c r="AX23" s="76" t="str">
        <f t="shared" si="5"/>
        <v/>
      </c>
      <c r="AY23" s="76" t="str">
        <f t="shared" si="5"/>
        <v/>
      </c>
      <c r="AZ23" s="76" t="str">
        <f t="shared" si="5"/>
        <v/>
      </c>
      <c r="BA23" s="76" t="str">
        <f t="shared" si="5"/>
        <v/>
      </c>
      <c r="BB23" s="76" t="str">
        <f t="shared" si="5"/>
        <v/>
      </c>
      <c r="BC23" s="76" t="str">
        <f t="shared" si="5"/>
        <v/>
      </c>
      <c r="BD23" s="76" t="str">
        <f t="shared" si="5"/>
        <v/>
      </c>
      <c r="BE23" s="76" t="str">
        <f t="shared" si="5"/>
        <v/>
      </c>
      <c r="BF23" s="76" t="str">
        <f t="shared" si="5"/>
        <v/>
      </c>
      <c r="BG23" s="90"/>
    </row>
    <row r="24" spans="1:59" customFormat="1">
      <c r="A24" s="68"/>
      <c r="B24" s="97" t="str">
        <f t="shared" si="6"/>
        <v/>
      </c>
      <c r="C24" s="86"/>
      <c r="D24" s="86"/>
      <c r="E24" s="86"/>
      <c r="F24" s="86"/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  <c r="R24" s="86"/>
      <c r="S24" s="86"/>
      <c r="T24" s="86"/>
      <c r="U24" s="86"/>
      <c r="V24" s="86"/>
      <c r="W24" s="86"/>
      <c r="X24" s="86"/>
      <c r="Y24" s="86"/>
      <c r="Z24" s="86"/>
      <c r="AA24" s="86"/>
      <c r="AB24" s="86"/>
      <c r="AC24" s="75" t="str">
        <f t="shared" si="3"/>
        <v/>
      </c>
      <c r="AD24" s="68"/>
      <c r="AE24" s="68"/>
      <c r="AF24" s="74" t="str">
        <f t="shared" si="7"/>
        <v/>
      </c>
      <c r="AG24" s="114"/>
      <c r="AH24" s="76" t="str">
        <f t="shared" si="4"/>
        <v/>
      </c>
      <c r="AI24" s="76" t="str">
        <f t="shared" si="4"/>
        <v/>
      </c>
      <c r="AJ24" s="76" t="str">
        <f t="shared" si="4"/>
        <v/>
      </c>
      <c r="AK24" s="76" t="str">
        <f t="shared" si="4"/>
        <v/>
      </c>
      <c r="AL24" s="76" t="str">
        <f t="shared" si="4"/>
        <v/>
      </c>
      <c r="AM24" s="76" t="str">
        <f t="shared" si="4"/>
        <v/>
      </c>
      <c r="AN24" s="76" t="str">
        <f t="shared" si="4"/>
        <v/>
      </c>
      <c r="AO24" s="76" t="str">
        <f t="shared" si="4"/>
        <v/>
      </c>
      <c r="AP24" s="76" t="str">
        <f t="shared" si="4"/>
        <v/>
      </c>
      <c r="AQ24" s="76" t="str">
        <f t="shared" si="4"/>
        <v/>
      </c>
      <c r="AR24" s="76" t="str">
        <f t="shared" si="5"/>
        <v/>
      </c>
      <c r="AS24" s="76" t="str">
        <f t="shared" si="5"/>
        <v/>
      </c>
      <c r="AT24" s="76" t="str">
        <f t="shared" si="5"/>
        <v/>
      </c>
      <c r="AU24" s="76" t="str">
        <f t="shared" si="5"/>
        <v/>
      </c>
      <c r="AV24" s="76" t="str">
        <f t="shared" si="5"/>
        <v/>
      </c>
      <c r="AW24" s="76" t="str">
        <f t="shared" si="5"/>
        <v/>
      </c>
      <c r="AX24" s="76" t="str">
        <f t="shared" si="5"/>
        <v/>
      </c>
      <c r="AY24" s="76" t="str">
        <f t="shared" si="5"/>
        <v/>
      </c>
      <c r="AZ24" s="76" t="str">
        <f t="shared" si="5"/>
        <v/>
      </c>
      <c r="BA24" s="76" t="str">
        <f t="shared" si="5"/>
        <v/>
      </c>
      <c r="BB24" s="76" t="str">
        <f t="shared" si="5"/>
        <v/>
      </c>
      <c r="BC24" s="76" t="str">
        <f t="shared" si="5"/>
        <v/>
      </c>
      <c r="BD24" s="76" t="str">
        <f t="shared" si="5"/>
        <v/>
      </c>
      <c r="BE24" s="76" t="str">
        <f t="shared" si="5"/>
        <v/>
      </c>
      <c r="BF24" s="76" t="str">
        <f t="shared" si="5"/>
        <v/>
      </c>
      <c r="BG24" s="90"/>
    </row>
    <row r="25" spans="1:59" s="95" customFormat="1" ht="15.75" thickBot="1">
      <c r="A25" s="77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  <c r="AA25" s="99" t="s">
        <v>619</v>
      </c>
      <c r="AB25" s="99"/>
      <c r="AC25" s="78">
        <f>SUM(AC10:AC24)</f>
        <v>1730</v>
      </c>
      <c r="AD25" s="99" t="s">
        <v>627</v>
      </c>
      <c r="AE25" s="99"/>
      <c r="AF25" s="78">
        <f>SUM(AF10:AF24)</f>
        <v>1918.8923611111111</v>
      </c>
      <c r="AG25" s="79"/>
      <c r="AH25" s="71"/>
      <c r="AI25" s="71"/>
      <c r="AJ25" s="71"/>
      <c r="AK25" s="71"/>
      <c r="AL25" s="71"/>
      <c r="AM25" s="71"/>
      <c r="AN25" s="71"/>
      <c r="AO25" s="71"/>
      <c r="AP25" s="71"/>
      <c r="AQ25" s="71"/>
      <c r="AR25" s="71"/>
      <c r="AS25" s="71"/>
      <c r="AT25" s="71"/>
      <c r="AU25" s="71"/>
      <c r="AV25" s="65"/>
      <c r="AW25" s="65"/>
      <c r="AX25" s="65"/>
      <c r="AY25" s="65"/>
      <c r="AZ25" s="65"/>
      <c r="BA25" s="65"/>
      <c r="BB25" s="65"/>
      <c r="BC25" s="65"/>
      <c r="BD25" s="65"/>
      <c r="BE25" s="65"/>
      <c r="BF25" s="91"/>
      <c r="BG25" s="94"/>
    </row>
    <row r="26" spans="1:59">
      <c r="A26" s="98"/>
    </row>
    <row r="1048576" spans="1:1">
      <c r="A1048576" s="98"/>
    </row>
  </sheetData>
  <sheetProtection sheet="1" formatCells="0" formatColumns="0" formatRows="0" insertColumns="0" insertRows="0" insertHyperlinks="0" deleteColumns="0" deleteRows="0" sort="0" autoFilter="0" pivotTables="0"/>
  <protectedRanges>
    <protectedRange password="CE2A" sqref="C10:AB24 A10:A24 AD10:AE24 C5:AA6 AE4:AF4 B2:E2 G2:J2 U2:AA2 B3:B5 AH1:AK1 M2:P2" name="範圍1"/>
    <protectedRange password="CE2A" sqref="K3:L3" name="範圍1_1"/>
  </protectedRanges>
  <mergeCells count="36">
    <mergeCell ref="A1:AF1"/>
    <mergeCell ref="AH1:AK1"/>
    <mergeCell ref="B2:E2"/>
    <mergeCell ref="G2:J2"/>
    <mergeCell ref="K2:L2"/>
    <mergeCell ref="M2:AA2"/>
    <mergeCell ref="AB3:AU3"/>
    <mergeCell ref="C4:AA4"/>
    <mergeCell ref="AB4:AB5"/>
    <mergeCell ref="AC4:AD4"/>
    <mergeCell ref="AE4:AF4"/>
    <mergeCell ref="AG4:AG24"/>
    <mergeCell ref="AH4:BF4"/>
    <mergeCell ref="AC5:AD5"/>
    <mergeCell ref="AE5:AF5"/>
    <mergeCell ref="AB8:AB9"/>
    <mergeCell ref="C3:E3"/>
    <mergeCell ref="F3:H3"/>
    <mergeCell ref="I3:J3"/>
    <mergeCell ref="K3:L3"/>
    <mergeCell ref="M3:AA3"/>
    <mergeCell ref="AH6:BF9"/>
    <mergeCell ref="AA25:AB25"/>
    <mergeCell ref="AD25:AE25"/>
    <mergeCell ref="A6:B6"/>
    <mergeCell ref="AC6:AD6"/>
    <mergeCell ref="AE6:AF6"/>
    <mergeCell ref="A7:B7"/>
    <mergeCell ref="AC7:AD7"/>
    <mergeCell ref="AE7:AF7"/>
    <mergeCell ref="A8:A9"/>
    <mergeCell ref="B8:B9"/>
    <mergeCell ref="C8:AA9"/>
    <mergeCell ref="AC8:AC9"/>
    <mergeCell ref="AD8:AE8"/>
    <mergeCell ref="AF8:AF9"/>
  </mergeCells>
  <phoneticPr fontId="40" type="noConversion"/>
  <conditionalFormatting sqref="AE6:AF6 AC7">
    <cfRule type="cellIs" dxfId="536" priority="10" operator="lessThanOrEqual">
      <formula>0</formula>
    </cfRule>
  </conditionalFormatting>
  <conditionalFormatting sqref="AF10:AF25 AC10:AC25 B10:B24 AB6 AE5:AF5 C7:AB7 AH10:BF24 AH5:BF5">
    <cfRule type="notContainsBlanks" dxfId="535" priority="11">
      <formula>LEN(TRIM(B5))&gt;0</formula>
    </cfRule>
  </conditionalFormatting>
  <conditionalFormatting sqref="AE6:AF6">
    <cfRule type="cellIs" dxfId="534" priority="8" operator="greaterThanOrEqual">
      <formula>20</formula>
    </cfRule>
    <cfRule type="cellIs" dxfId="533" priority="9" operator="greaterThanOrEqual">
      <formula>1</formula>
    </cfRule>
  </conditionalFormatting>
  <conditionalFormatting sqref="AE7 AH1 A10:A24 AD10:AE24 C5:AA6 C10:AB24 B2:B5 G2 AE4">
    <cfRule type="containsBlanks" dxfId="532" priority="12">
      <formula>LEN(TRIM(A1))=0</formula>
    </cfRule>
    <cfRule type="notContainsBlanks" dxfId="531" priority="13">
      <formula>LEN(TRIM(A1))&gt;0</formula>
    </cfRule>
  </conditionalFormatting>
  <conditionalFormatting sqref="M2">
    <cfRule type="containsBlanks" dxfId="530" priority="6">
      <formula>LEN(TRIM(M2))=0</formula>
    </cfRule>
    <cfRule type="notContainsBlanks" dxfId="529" priority="7">
      <formula>LEN(TRIM(M2))&gt;0</formula>
    </cfRule>
  </conditionalFormatting>
  <conditionalFormatting sqref="M3">
    <cfRule type="notContainsBlanks" dxfId="528" priority="5">
      <formula>LEN(TRIM(M3))&gt;0</formula>
    </cfRule>
  </conditionalFormatting>
  <conditionalFormatting sqref="F3">
    <cfRule type="containsBlanks" dxfId="527" priority="3">
      <formula>LEN(TRIM(F3))=0</formula>
    </cfRule>
    <cfRule type="notContainsBlanks" dxfId="526" priority="4">
      <formula>LEN(TRIM(F3))&gt;0</formula>
    </cfRule>
  </conditionalFormatting>
  <conditionalFormatting sqref="K3">
    <cfRule type="containsBlanks" dxfId="525" priority="1">
      <formula>LEN(TRIM(K3))=0</formula>
    </cfRule>
    <cfRule type="notContainsBlanks" dxfId="524" priority="2">
      <formula>LEN(TRIM(K3))&gt;0</formula>
    </cfRule>
  </conditionalFormatting>
  <pageMargins left="0.7" right="0.7" top="0.75" bottom="0.75" header="0.3" footer="0.3"/>
  <ignoredErrors>
    <ignoredError sqref="B10:B24" unlocked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66FF"/>
  </sheetPr>
  <dimension ref="A1:CJ417"/>
  <sheetViews>
    <sheetView topLeftCell="P1" zoomScale="70" zoomScaleNormal="70" workbookViewId="0">
      <pane ySplit="2" topLeftCell="A198" activePane="bottomLeft" state="frozen"/>
      <selection pane="bottomLeft" activeCell="AP357" sqref="AP357:AQ357"/>
    </sheetView>
  </sheetViews>
  <sheetFormatPr defaultColWidth="9" defaultRowHeight="12" outlineLevelRow="1"/>
  <cols>
    <col min="1" max="1" width="10.75" style="14" bestFit="1" customWidth="1"/>
    <col min="2" max="2" width="12.25" style="14" customWidth="1"/>
    <col min="3" max="3" width="6" style="14" bestFit="1" customWidth="1"/>
    <col min="4" max="4" width="7.125" style="14" bestFit="1" customWidth="1"/>
    <col min="5" max="5" width="6" style="14" bestFit="1" customWidth="1"/>
    <col min="6" max="9" width="5.875" style="14" bestFit="1" customWidth="1"/>
    <col min="10" max="10" width="6.375" style="14" bestFit="1" customWidth="1"/>
    <col min="11" max="11" width="5.875" style="14" bestFit="1" customWidth="1"/>
    <col min="12" max="12" width="7.5" style="14" bestFit="1" customWidth="1"/>
    <col min="13" max="18" width="5.875" style="14" customWidth="1"/>
    <col min="19" max="19" width="7.5" style="14" bestFit="1" customWidth="1"/>
    <col min="20" max="36" width="5.875" style="14" customWidth="1"/>
    <col min="37" max="38" width="5.875" style="14" bestFit="1" customWidth="1"/>
    <col min="39" max="39" width="7.625" style="8" bestFit="1" customWidth="1"/>
    <col min="40" max="40" width="6.375" style="9" bestFit="1" customWidth="1"/>
    <col min="41" max="41" width="6.25" style="14" customWidth="1"/>
    <col min="42" max="42" width="4.875" style="14" bestFit="1" customWidth="1"/>
    <col min="43" max="43" width="9.25" style="9" bestFit="1" customWidth="1"/>
    <col min="44" max="44" width="2.375" style="14" customWidth="1"/>
    <col min="45" max="45" width="1" style="14" customWidth="1"/>
    <col min="46" max="81" width="3.875" style="44" customWidth="1"/>
    <col min="82" max="16384" width="9" style="14"/>
  </cols>
  <sheetData>
    <row r="1" spans="1:88" ht="18" customHeight="1">
      <c r="A1" s="139" t="s">
        <v>19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139"/>
      <c r="Y1" s="139"/>
      <c r="Z1" s="139"/>
      <c r="AA1" s="139"/>
      <c r="AB1" s="139"/>
      <c r="AC1" s="139"/>
      <c r="AD1" s="139"/>
      <c r="AE1" s="139"/>
      <c r="AF1" s="139"/>
      <c r="AG1" s="139"/>
      <c r="AH1" s="139"/>
      <c r="AI1" s="139"/>
      <c r="AJ1" s="139"/>
      <c r="AK1" s="139"/>
      <c r="AL1" s="139"/>
      <c r="AM1" s="139"/>
      <c r="AN1" s="38" t="s">
        <v>9</v>
      </c>
      <c r="AO1" s="140"/>
      <c r="AP1" s="140"/>
      <c r="AQ1" s="140"/>
      <c r="AR1" s="13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</row>
    <row r="2" spans="1:88" ht="21" customHeight="1">
      <c r="A2" s="53" t="s">
        <v>18</v>
      </c>
      <c r="B2" s="141"/>
      <c r="C2" s="141"/>
      <c r="D2" s="141"/>
      <c r="E2" s="141"/>
      <c r="F2" s="53" t="s">
        <v>7</v>
      </c>
      <c r="G2" s="141"/>
      <c r="H2" s="141"/>
      <c r="I2" s="141"/>
      <c r="J2" s="141"/>
      <c r="K2" s="54" t="s">
        <v>8</v>
      </c>
      <c r="L2" s="142"/>
      <c r="M2" s="142"/>
      <c r="N2" s="142"/>
      <c r="O2" s="142"/>
      <c r="P2" s="142"/>
      <c r="Q2" s="142"/>
      <c r="R2" s="142"/>
      <c r="S2" s="142"/>
      <c r="T2" s="142"/>
      <c r="U2" s="142"/>
      <c r="V2" s="142"/>
      <c r="W2" s="142"/>
      <c r="X2" s="142"/>
      <c r="Y2" s="142"/>
      <c r="Z2" s="142"/>
      <c r="AA2" s="142"/>
      <c r="AB2" s="142"/>
      <c r="AC2" s="142"/>
      <c r="AD2" s="142"/>
      <c r="AE2" s="142"/>
      <c r="AF2" s="142"/>
      <c r="AG2" s="142"/>
      <c r="AH2" s="142"/>
      <c r="AI2" s="142"/>
      <c r="AJ2" s="142"/>
      <c r="AK2" s="142"/>
      <c r="AL2" s="142"/>
      <c r="AM2" s="142"/>
      <c r="AN2" s="143"/>
      <c r="AO2" s="143"/>
      <c r="AP2" s="143"/>
      <c r="AQ2" s="143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</row>
    <row r="3" spans="1:88" ht="21.75" customHeight="1" thickBot="1">
      <c r="A3" s="144">
        <v>1</v>
      </c>
      <c r="B3" s="145"/>
      <c r="C3" s="146"/>
      <c r="D3" s="49" t="str">
        <f>IF(B6=0,"",IF(B6&gt;0,B6))</f>
        <v/>
      </c>
      <c r="E3" s="49" t="str">
        <f>IF(B22=0,"",IF(B22&gt;0,B22))</f>
        <v/>
      </c>
      <c r="F3" s="49" t="str">
        <f>IF(B38=0,"",IF(B38&gt;0,B38))</f>
        <v/>
      </c>
      <c r="G3" s="49" t="str">
        <f>IF(B54=0,"",IF(B54&gt;0,B54))</f>
        <v/>
      </c>
      <c r="H3" s="49" t="str">
        <f>IF(B70=0,"",IF(B70&gt;0,B70))</f>
        <v/>
      </c>
      <c r="I3" s="49" t="str">
        <f>IF(B86=0,"",IF(B86&gt;0,B86))</f>
        <v/>
      </c>
      <c r="J3" s="49" t="str">
        <f>IF(B102=0,"",IF(B102&gt;0,B102))</f>
        <v/>
      </c>
      <c r="K3" s="49" t="str">
        <f>IF(B118=0,"",IF(B118&gt;0,B118))</f>
        <v/>
      </c>
      <c r="L3" s="49" t="str">
        <f>IF($B134=0,"",IF($B134&gt;0,$B134))</f>
        <v/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 t="str">
        <f>IF($B150=0,"",IF($B150&gt;0,$B150))</f>
        <v/>
      </c>
      <c r="AL3" s="49" t="str">
        <f>IF($B166=0,"",IF($B166&gt;0,$B166))</f>
        <v/>
      </c>
      <c r="AM3" s="49" t="str">
        <f>IF($B182=0,"",IF($B182&gt;0,$B182))</f>
        <v/>
      </c>
      <c r="AN3" s="49" t="str">
        <f>IF($B198=0,"",IF($B198&gt;0,$B198))</f>
        <v/>
      </c>
      <c r="AO3" s="49" t="str">
        <f>IF($B214=0,"",IF($B214&gt;0,$B214))</f>
        <v/>
      </c>
      <c r="AP3" s="49" t="str">
        <f>IF($B230=0,"",IF($B230&gt;0,$B230))</f>
        <v/>
      </c>
      <c r="AQ3" s="48"/>
      <c r="AR3" s="15"/>
      <c r="AS3" s="15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</row>
    <row r="4" spans="1:88" ht="17.100000000000001" customHeight="1">
      <c r="A4" s="51" t="s">
        <v>29</v>
      </c>
      <c r="B4" s="50"/>
      <c r="C4" s="147" t="s">
        <v>10</v>
      </c>
      <c r="D4" s="148"/>
      <c r="E4" s="148"/>
      <c r="F4" s="148"/>
      <c r="G4" s="148"/>
      <c r="H4" s="148"/>
      <c r="I4" s="148"/>
      <c r="J4" s="148"/>
      <c r="K4" s="148"/>
      <c r="L4" s="148"/>
      <c r="M4" s="148"/>
      <c r="N4" s="148"/>
      <c r="O4" s="148"/>
      <c r="P4" s="148"/>
      <c r="Q4" s="148"/>
      <c r="R4" s="148"/>
      <c r="S4" s="148"/>
      <c r="T4" s="148"/>
      <c r="U4" s="148"/>
      <c r="V4" s="148"/>
      <c r="W4" s="148"/>
      <c r="X4" s="148"/>
      <c r="Y4" s="148"/>
      <c r="Z4" s="148"/>
      <c r="AA4" s="148"/>
      <c r="AB4" s="148"/>
      <c r="AC4" s="148"/>
      <c r="AD4" s="148"/>
      <c r="AE4" s="148"/>
      <c r="AF4" s="148"/>
      <c r="AG4" s="148"/>
      <c r="AH4" s="148"/>
      <c r="AI4" s="148"/>
      <c r="AJ4" s="148"/>
      <c r="AK4" s="148"/>
      <c r="AL4" s="148"/>
      <c r="AM4" s="4"/>
      <c r="AN4" s="31"/>
      <c r="AO4" s="32" t="s">
        <v>4</v>
      </c>
      <c r="AP4" s="149"/>
      <c r="AQ4" s="150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</row>
    <row r="5" spans="1:88" ht="27">
      <c r="A5" s="52" t="s">
        <v>36</v>
      </c>
      <c r="B5" s="50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  <c r="AE5" s="55"/>
      <c r="AF5" s="55"/>
      <c r="AG5" s="55"/>
      <c r="AH5" s="55"/>
      <c r="AI5" s="55"/>
      <c r="AJ5" s="55"/>
      <c r="AK5" s="55"/>
      <c r="AL5" s="55"/>
      <c r="AM5" s="5" t="s">
        <v>2</v>
      </c>
      <c r="AN5" s="31"/>
      <c r="AO5" s="32" t="s">
        <v>5</v>
      </c>
      <c r="AP5" s="151">
        <f>SUM(AQ10:AQ17)</f>
        <v>0</v>
      </c>
      <c r="AQ5" s="151"/>
      <c r="AT5" s="2" t="str">
        <f t="shared" ref="AT5:BY5" si="0">IF(C5=0,"",IF(C5&gt;0,C5))</f>
        <v/>
      </c>
      <c r="AU5" s="2" t="str">
        <f t="shared" si="0"/>
        <v/>
      </c>
      <c r="AV5" s="2" t="str">
        <f t="shared" si="0"/>
        <v/>
      </c>
      <c r="AW5" s="2" t="str">
        <f t="shared" si="0"/>
        <v/>
      </c>
      <c r="AX5" s="2" t="str">
        <f t="shared" si="0"/>
        <v/>
      </c>
      <c r="AY5" s="2" t="str">
        <f t="shared" si="0"/>
        <v/>
      </c>
      <c r="AZ5" s="2" t="str">
        <f t="shared" si="0"/>
        <v/>
      </c>
      <c r="BA5" s="2" t="str">
        <f t="shared" si="0"/>
        <v/>
      </c>
      <c r="BB5" s="2" t="str">
        <f t="shared" si="0"/>
        <v/>
      </c>
      <c r="BC5" s="2" t="str">
        <f t="shared" si="0"/>
        <v/>
      </c>
      <c r="BD5" s="2" t="str">
        <f t="shared" si="0"/>
        <v/>
      </c>
      <c r="BE5" s="2" t="str">
        <f t="shared" si="0"/>
        <v/>
      </c>
      <c r="BF5" s="2" t="str">
        <f t="shared" si="0"/>
        <v/>
      </c>
      <c r="BG5" s="2" t="str">
        <f t="shared" si="0"/>
        <v/>
      </c>
      <c r="BH5" s="2" t="str">
        <f t="shared" si="0"/>
        <v/>
      </c>
      <c r="BI5" s="2" t="str">
        <f t="shared" si="0"/>
        <v/>
      </c>
      <c r="BJ5" s="2" t="str">
        <f t="shared" si="0"/>
        <v/>
      </c>
      <c r="BK5" s="2" t="str">
        <f t="shared" si="0"/>
        <v/>
      </c>
      <c r="BL5" s="2" t="str">
        <f t="shared" si="0"/>
        <v/>
      </c>
      <c r="BM5" s="2" t="str">
        <f t="shared" si="0"/>
        <v/>
      </c>
      <c r="BN5" s="2" t="str">
        <f t="shared" si="0"/>
        <v/>
      </c>
      <c r="BO5" s="2" t="str">
        <f t="shared" si="0"/>
        <v/>
      </c>
      <c r="BP5" s="2" t="str">
        <f t="shared" si="0"/>
        <v/>
      </c>
      <c r="BQ5" s="2" t="str">
        <f t="shared" si="0"/>
        <v/>
      </c>
      <c r="BR5" s="2" t="str">
        <f t="shared" si="0"/>
        <v/>
      </c>
      <c r="BS5" s="2" t="str">
        <f t="shared" si="0"/>
        <v/>
      </c>
      <c r="BT5" s="2" t="str">
        <f t="shared" si="0"/>
        <v/>
      </c>
      <c r="BU5" s="2" t="str">
        <f t="shared" si="0"/>
        <v/>
      </c>
      <c r="BV5" s="2" t="str">
        <f t="shared" si="0"/>
        <v/>
      </c>
      <c r="BW5" s="2" t="str">
        <f t="shared" si="0"/>
        <v/>
      </c>
      <c r="BX5" s="2" t="str">
        <f t="shared" si="0"/>
        <v/>
      </c>
      <c r="BY5" s="2" t="str">
        <f t="shared" si="0"/>
        <v/>
      </c>
      <c r="BZ5" s="2" t="str">
        <f t="shared" ref="BZ5:CA5" si="1">IF(AI5=0,"",IF(AI5&gt;0,AI5))</f>
        <v/>
      </c>
      <c r="CA5" s="2" t="str">
        <f t="shared" si="1"/>
        <v/>
      </c>
      <c r="CB5" s="2" t="str">
        <f t="shared" ref="CB5" si="2">IF(AK5=0,"",IF(AK5&gt;0,AK5))</f>
        <v/>
      </c>
      <c r="CC5" s="2" t="str">
        <f t="shared" ref="CC5" si="3">IF(AL5=0,"",IF(AL5&gt;0,AL5))</f>
        <v/>
      </c>
    </row>
    <row r="6" spans="1:88" ht="17.100000000000001" customHeight="1">
      <c r="A6" s="152" t="s">
        <v>30</v>
      </c>
      <c r="B6" s="153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5">
        <f>SUM(C6:AL6)</f>
        <v>0</v>
      </c>
      <c r="AN6" s="33"/>
      <c r="AO6" s="34" t="str">
        <f>IF(AP6&lt;5,"NO ",IF(AP6=5,"ok",IF(AP6&gt;5,"ok")))</f>
        <v xml:space="preserve">NO </v>
      </c>
      <c r="AP6" s="154">
        <f>AP4-AP5-AP7</f>
        <v>0</v>
      </c>
      <c r="AQ6" s="154"/>
      <c r="AR6" s="16"/>
      <c r="AS6" s="16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</row>
    <row r="7" spans="1:88" ht="17.100000000000001" customHeight="1">
      <c r="A7" s="152"/>
      <c r="B7" s="153"/>
      <c r="C7" s="47" t="str">
        <f t="shared" ref="C7:AL7" si="4">IF(C5="","",C6-C10*$AM10-C11*$AM11-C12*$AM12-C13*$AM13-C14*$AM14-C15*$AM15-C16*$AM16-C17*$AM17)</f>
        <v/>
      </c>
      <c r="D7" s="47" t="str">
        <f t="shared" si="4"/>
        <v/>
      </c>
      <c r="E7" s="47" t="str">
        <f t="shared" si="4"/>
        <v/>
      </c>
      <c r="F7" s="47" t="str">
        <f t="shared" si="4"/>
        <v/>
      </c>
      <c r="G7" s="47" t="str">
        <f t="shared" si="4"/>
        <v/>
      </c>
      <c r="H7" s="47" t="str">
        <f t="shared" si="4"/>
        <v/>
      </c>
      <c r="I7" s="47" t="str">
        <f t="shared" si="4"/>
        <v/>
      </c>
      <c r="J7" s="47" t="str">
        <f t="shared" si="4"/>
        <v/>
      </c>
      <c r="K7" s="47" t="str">
        <f t="shared" si="4"/>
        <v/>
      </c>
      <c r="L7" s="47" t="str">
        <f t="shared" si="4"/>
        <v/>
      </c>
      <c r="M7" s="47" t="str">
        <f t="shared" si="4"/>
        <v/>
      </c>
      <c r="N7" s="47" t="str">
        <f t="shared" si="4"/>
        <v/>
      </c>
      <c r="O7" s="47" t="str">
        <f t="shared" si="4"/>
        <v/>
      </c>
      <c r="P7" s="47" t="str">
        <f t="shared" si="4"/>
        <v/>
      </c>
      <c r="Q7" s="47" t="str">
        <f t="shared" si="4"/>
        <v/>
      </c>
      <c r="R7" s="47" t="str">
        <f t="shared" si="4"/>
        <v/>
      </c>
      <c r="S7" s="47" t="str">
        <f t="shared" si="4"/>
        <v/>
      </c>
      <c r="T7" s="47" t="str">
        <f t="shared" si="4"/>
        <v/>
      </c>
      <c r="U7" s="47" t="str">
        <f t="shared" si="4"/>
        <v/>
      </c>
      <c r="V7" s="47" t="str">
        <f t="shared" si="4"/>
        <v/>
      </c>
      <c r="W7" s="47" t="str">
        <f t="shared" si="4"/>
        <v/>
      </c>
      <c r="X7" s="47" t="str">
        <f t="shared" si="4"/>
        <v/>
      </c>
      <c r="Y7" s="47" t="str">
        <f t="shared" si="4"/>
        <v/>
      </c>
      <c r="Z7" s="47" t="str">
        <f t="shared" si="4"/>
        <v/>
      </c>
      <c r="AA7" s="47" t="str">
        <f t="shared" si="4"/>
        <v/>
      </c>
      <c r="AB7" s="47" t="str">
        <f t="shared" si="4"/>
        <v/>
      </c>
      <c r="AC7" s="47" t="str">
        <f t="shared" si="4"/>
        <v/>
      </c>
      <c r="AD7" s="47" t="str">
        <f t="shared" si="4"/>
        <v/>
      </c>
      <c r="AE7" s="47" t="str">
        <f t="shared" si="4"/>
        <v/>
      </c>
      <c r="AF7" s="47" t="str">
        <f t="shared" si="4"/>
        <v/>
      </c>
      <c r="AG7" s="47" t="str">
        <f t="shared" si="4"/>
        <v/>
      </c>
      <c r="AH7" s="47" t="str">
        <f t="shared" si="4"/>
        <v/>
      </c>
      <c r="AI7" s="47" t="str">
        <f t="shared" si="4"/>
        <v/>
      </c>
      <c r="AJ7" s="47" t="str">
        <f t="shared" si="4"/>
        <v/>
      </c>
      <c r="AK7" s="47" t="str">
        <f t="shared" si="4"/>
        <v/>
      </c>
      <c r="AL7" s="47" t="str">
        <f t="shared" si="4"/>
        <v/>
      </c>
      <c r="AM7" s="45">
        <f>SUM(C7:AL7)</f>
        <v>0</v>
      </c>
      <c r="AN7" s="155" t="s">
        <v>35</v>
      </c>
      <c r="AO7" s="156"/>
      <c r="AP7" s="157"/>
      <c r="AQ7" s="158"/>
      <c r="AR7" s="17"/>
      <c r="AS7" s="17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</row>
    <row r="8" spans="1:88" ht="17.100000000000001" customHeight="1">
      <c r="A8" s="163" t="s">
        <v>20</v>
      </c>
      <c r="B8" s="163"/>
      <c r="C8" s="164" t="s">
        <v>0</v>
      </c>
      <c r="D8" s="164"/>
      <c r="E8" s="164"/>
      <c r="F8" s="164"/>
      <c r="G8" s="164"/>
      <c r="H8" s="164"/>
      <c r="I8" s="164"/>
      <c r="J8" s="164"/>
      <c r="K8" s="164"/>
      <c r="L8" s="164"/>
      <c r="M8" s="164"/>
      <c r="N8" s="164"/>
      <c r="O8" s="164"/>
      <c r="P8" s="164"/>
      <c r="Q8" s="164"/>
      <c r="R8" s="164"/>
      <c r="S8" s="164"/>
      <c r="T8" s="164"/>
      <c r="U8" s="164"/>
      <c r="V8" s="164"/>
      <c r="W8" s="164"/>
      <c r="X8" s="164"/>
      <c r="Y8" s="164"/>
      <c r="Z8" s="164"/>
      <c r="AA8" s="164"/>
      <c r="AB8" s="164"/>
      <c r="AC8" s="164"/>
      <c r="AD8" s="164"/>
      <c r="AE8" s="164"/>
      <c r="AF8" s="164"/>
      <c r="AG8" s="164"/>
      <c r="AH8" s="164"/>
      <c r="AI8" s="164"/>
      <c r="AJ8" s="164"/>
      <c r="AK8" s="164"/>
      <c r="AL8" s="164"/>
      <c r="AM8" s="165" t="s">
        <v>34</v>
      </c>
      <c r="AN8" s="166" t="s">
        <v>11</v>
      </c>
      <c r="AO8" s="167" t="s">
        <v>12</v>
      </c>
      <c r="AP8" s="167"/>
      <c r="AQ8" s="168" t="s">
        <v>6</v>
      </c>
      <c r="AR8" s="15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</row>
    <row r="9" spans="1:88" ht="17.100000000000001" customHeight="1">
      <c r="A9" s="163"/>
      <c r="B9" s="163"/>
      <c r="C9" s="164"/>
      <c r="D9" s="164"/>
      <c r="E9" s="164"/>
      <c r="F9" s="164"/>
      <c r="G9" s="164"/>
      <c r="H9" s="164"/>
      <c r="I9" s="164"/>
      <c r="J9" s="164"/>
      <c r="K9" s="164"/>
      <c r="L9" s="164"/>
      <c r="M9" s="164"/>
      <c r="N9" s="164"/>
      <c r="O9" s="164"/>
      <c r="P9" s="164"/>
      <c r="Q9" s="164"/>
      <c r="R9" s="164"/>
      <c r="S9" s="164"/>
      <c r="T9" s="164"/>
      <c r="U9" s="164"/>
      <c r="V9" s="164"/>
      <c r="W9" s="164"/>
      <c r="X9" s="164"/>
      <c r="Y9" s="164"/>
      <c r="Z9" s="164"/>
      <c r="AA9" s="164"/>
      <c r="AB9" s="164"/>
      <c r="AC9" s="164"/>
      <c r="AD9" s="164"/>
      <c r="AE9" s="164"/>
      <c r="AF9" s="164"/>
      <c r="AG9" s="164"/>
      <c r="AH9" s="164"/>
      <c r="AI9" s="164"/>
      <c r="AJ9" s="164"/>
      <c r="AK9" s="164"/>
      <c r="AL9" s="164"/>
      <c r="AM9" s="165"/>
      <c r="AN9" s="166"/>
      <c r="AO9" s="28" t="s">
        <v>3</v>
      </c>
      <c r="AP9" s="29" t="s">
        <v>13</v>
      </c>
      <c r="AQ9" s="168"/>
      <c r="AR9" s="20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</row>
    <row r="10" spans="1:88" ht="17.100000000000001" customHeight="1">
      <c r="A10" s="159"/>
      <c r="B10" s="30" t="s">
        <v>21</v>
      </c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40" t="str">
        <f>IF(AM10="","",SUM(C10:AL10)*AM10)</f>
        <v/>
      </c>
      <c r="AO10" s="39"/>
      <c r="AP10" s="39"/>
      <c r="AQ10" s="42" t="str">
        <f>IF(AM10="","",(AO10+AR10)*AM10)</f>
        <v/>
      </c>
      <c r="AR10" s="22">
        <f>AP10/36</f>
        <v>0</v>
      </c>
      <c r="AT10" s="3" t="str">
        <f t="shared" ref="AT10:CA10" si="5">IF(C10=0,"",ROUNDUP(C7/C10,0))</f>
        <v/>
      </c>
      <c r="AU10" s="3" t="str">
        <f t="shared" si="5"/>
        <v/>
      </c>
      <c r="AV10" s="3" t="str">
        <f t="shared" si="5"/>
        <v/>
      </c>
      <c r="AW10" s="3" t="str">
        <f t="shared" si="5"/>
        <v/>
      </c>
      <c r="AX10" s="3" t="str">
        <f t="shared" si="5"/>
        <v/>
      </c>
      <c r="AY10" s="3" t="str">
        <f t="shared" si="5"/>
        <v/>
      </c>
      <c r="AZ10" s="3" t="str">
        <f t="shared" si="5"/>
        <v/>
      </c>
      <c r="BA10" s="3" t="str">
        <f t="shared" si="5"/>
        <v/>
      </c>
      <c r="BB10" s="3" t="str">
        <f t="shared" si="5"/>
        <v/>
      </c>
      <c r="BC10" s="3" t="str">
        <f t="shared" si="5"/>
        <v/>
      </c>
      <c r="BD10" s="3" t="str">
        <f t="shared" si="5"/>
        <v/>
      </c>
      <c r="BE10" s="3" t="str">
        <f t="shared" si="5"/>
        <v/>
      </c>
      <c r="BF10" s="3" t="str">
        <f t="shared" si="5"/>
        <v/>
      </c>
      <c r="BG10" s="3" t="str">
        <f t="shared" si="5"/>
        <v/>
      </c>
      <c r="BH10" s="3" t="str">
        <f t="shared" si="5"/>
        <v/>
      </c>
      <c r="BI10" s="3" t="str">
        <f t="shared" si="5"/>
        <v/>
      </c>
      <c r="BJ10" s="3" t="str">
        <f t="shared" si="5"/>
        <v/>
      </c>
      <c r="BK10" s="3" t="str">
        <f t="shared" si="5"/>
        <v/>
      </c>
      <c r="BL10" s="3" t="str">
        <f t="shared" si="5"/>
        <v/>
      </c>
      <c r="BM10" s="3" t="str">
        <f t="shared" si="5"/>
        <v/>
      </c>
      <c r="BN10" s="3" t="str">
        <f t="shared" si="5"/>
        <v/>
      </c>
      <c r="BO10" s="3" t="str">
        <f t="shared" si="5"/>
        <v/>
      </c>
      <c r="BP10" s="3" t="str">
        <f t="shared" si="5"/>
        <v/>
      </c>
      <c r="BQ10" s="3" t="str">
        <f t="shared" si="5"/>
        <v/>
      </c>
      <c r="BR10" s="3" t="str">
        <f t="shared" si="5"/>
        <v/>
      </c>
      <c r="BS10" s="3" t="str">
        <f t="shared" si="5"/>
        <v/>
      </c>
      <c r="BT10" s="3" t="str">
        <f t="shared" si="5"/>
        <v/>
      </c>
      <c r="BU10" s="3" t="str">
        <f t="shared" si="5"/>
        <v/>
      </c>
      <c r="BV10" s="3" t="str">
        <f t="shared" si="5"/>
        <v/>
      </c>
      <c r="BW10" s="3" t="str">
        <f t="shared" si="5"/>
        <v/>
      </c>
      <c r="BX10" s="3" t="str">
        <f t="shared" si="5"/>
        <v/>
      </c>
      <c r="BY10" s="3" t="str">
        <f t="shared" si="5"/>
        <v/>
      </c>
      <c r="BZ10" s="3" t="str">
        <f t="shared" si="5"/>
        <v/>
      </c>
      <c r="CA10" s="3" t="str">
        <f t="shared" si="5"/>
        <v/>
      </c>
      <c r="CB10" s="3" t="str">
        <f t="shared" ref="CB10:CC10" si="6">IF(AK10=0,"",ROUNDUP(AK7/AK10,0))</f>
        <v/>
      </c>
      <c r="CC10" s="3" t="str">
        <f t="shared" si="6"/>
        <v/>
      </c>
    </row>
    <row r="11" spans="1:88" ht="17.100000000000001" customHeight="1">
      <c r="A11" s="159"/>
      <c r="B11" s="30" t="s">
        <v>22</v>
      </c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40" t="str">
        <f t="shared" ref="AN11:AN17" si="7">IF(AM11="","",SUM(C11:AL11)*AM11)</f>
        <v/>
      </c>
      <c r="AO11" s="39"/>
      <c r="AP11" s="39"/>
      <c r="AQ11" s="42" t="str">
        <f t="shared" ref="AQ11:AQ17" si="8">IF(AM11="","",(AO11+AR11)*AM11)</f>
        <v/>
      </c>
      <c r="AR11" s="22">
        <f t="shared" ref="AR11:AR17" si="9">AP11/36</f>
        <v>0</v>
      </c>
      <c r="AT11" s="3" t="str">
        <f t="shared" ref="AT11:CA11" si="10">IF(C11=0,"",ROUNDUP(C7/C11,0))</f>
        <v/>
      </c>
      <c r="AU11" s="3" t="str">
        <f t="shared" si="10"/>
        <v/>
      </c>
      <c r="AV11" s="3" t="str">
        <f t="shared" si="10"/>
        <v/>
      </c>
      <c r="AW11" s="3" t="str">
        <f t="shared" si="10"/>
        <v/>
      </c>
      <c r="AX11" s="3" t="str">
        <f t="shared" si="10"/>
        <v/>
      </c>
      <c r="AY11" s="3" t="str">
        <f t="shared" si="10"/>
        <v/>
      </c>
      <c r="AZ11" s="3" t="str">
        <f t="shared" si="10"/>
        <v/>
      </c>
      <c r="BA11" s="3" t="str">
        <f t="shared" si="10"/>
        <v/>
      </c>
      <c r="BB11" s="3" t="str">
        <f t="shared" si="10"/>
        <v/>
      </c>
      <c r="BC11" s="3" t="str">
        <f t="shared" si="10"/>
        <v/>
      </c>
      <c r="BD11" s="3" t="str">
        <f t="shared" si="10"/>
        <v/>
      </c>
      <c r="BE11" s="3" t="str">
        <f t="shared" si="10"/>
        <v/>
      </c>
      <c r="BF11" s="3" t="str">
        <f t="shared" si="10"/>
        <v/>
      </c>
      <c r="BG11" s="3" t="str">
        <f t="shared" si="10"/>
        <v/>
      </c>
      <c r="BH11" s="3" t="str">
        <f t="shared" si="10"/>
        <v/>
      </c>
      <c r="BI11" s="3" t="str">
        <f t="shared" si="10"/>
        <v/>
      </c>
      <c r="BJ11" s="3" t="str">
        <f t="shared" si="10"/>
        <v/>
      </c>
      <c r="BK11" s="3" t="str">
        <f t="shared" si="10"/>
        <v/>
      </c>
      <c r="BL11" s="3" t="str">
        <f t="shared" si="10"/>
        <v/>
      </c>
      <c r="BM11" s="3" t="str">
        <f t="shared" si="10"/>
        <v/>
      </c>
      <c r="BN11" s="3" t="str">
        <f t="shared" si="10"/>
        <v/>
      </c>
      <c r="BO11" s="3" t="str">
        <f t="shared" si="10"/>
        <v/>
      </c>
      <c r="BP11" s="3" t="str">
        <f t="shared" si="10"/>
        <v/>
      </c>
      <c r="BQ11" s="3" t="str">
        <f t="shared" si="10"/>
        <v/>
      </c>
      <c r="BR11" s="3" t="str">
        <f t="shared" si="10"/>
        <v/>
      </c>
      <c r="BS11" s="3" t="str">
        <f t="shared" si="10"/>
        <v/>
      </c>
      <c r="BT11" s="3" t="str">
        <f t="shared" si="10"/>
        <v/>
      </c>
      <c r="BU11" s="3" t="str">
        <f t="shared" si="10"/>
        <v/>
      </c>
      <c r="BV11" s="3" t="str">
        <f t="shared" si="10"/>
        <v/>
      </c>
      <c r="BW11" s="3" t="str">
        <f t="shared" si="10"/>
        <v/>
      </c>
      <c r="BX11" s="3" t="str">
        <f t="shared" si="10"/>
        <v/>
      </c>
      <c r="BY11" s="3" t="str">
        <f t="shared" si="10"/>
        <v/>
      </c>
      <c r="BZ11" s="3" t="str">
        <f t="shared" si="10"/>
        <v/>
      </c>
      <c r="CA11" s="3" t="str">
        <f t="shared" si="10"/>
        <v/>
      </c>
      <c r="CB11" s="3" t="str">
        <f t="shared" ref="CB11:CC11" si="11">IF(AK11=0,"",ROUNDUP(AK7/AK11,0))</f>
        <v/>
      </c>
      <c r="CC11" s="3" t="str">
        <f t="shared" si="11"/>
        <v/>
      </c>
    </row>
    <row r="12" spans="1:88" ht="17.100000000000001" customHeight="1">
      <c r="A12" s="159"/>
      <c r="B12" s="30" t="s">
        <v>23</v>
      </c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40" t="str">
        <f t="shared" si="7"/>
        <v/>
      </c>
      <c r="AO12" s="39"/>
      <c r="AP12" s="39"/>
      <c r="AQ12" s="42" t="str">
        <f t="shared" si="8"/>
        <v/>
      </c>
      <c r="AR12" s="22">
        <f t="shared" si="9"/>
        <v>0</v>
      </c>
      <c r="AT12" s="3" t="str">
        <f t="shared" ref="AT12:CA12" si="12">IF(C12=0,"",ROUNDUP(C7/C12,0))</f>
        <v/>
      </c>
      <c r="AU12" s="3" t="str">
        <f t="shared" si="12"/>
        <v/>
      </c>
      <c r="AV12" s="3" t="str">
        <f t="shared" si="12"/>
        <v/>
      </c>
      <c r="AW12" s="3" t="str">
        <f t="shared" si="12"/>
        <v/>
      </c>
      <c r="AX12" s="3" t="str">
        <f t="shared" si="12"/>
        <v/>
      </c>
      <c r="AY12" s="3" t="str">
        <f t="shared" si="12"/>
        <v/>
      </c>
      <c r="AZ12" s="3" t="str">
        <f t="shared" si="12"/>
        <v/>
      </c>
      <c r="BA12" s="3" t="str">
        <f t="shared" si="12"/>
        <v/>
      </c>
      <c r="BB12" s="3" t="str">
        <f t="shared" si="12"/>
        <v/>
      </c>
      <c r="BC12" s="3" t="str">
        <f t="shared" si="12"/>
        <v/>
      </c>
      <c r="BD12" s="3" t="str">
        <f t="shared" si="12"/>
        <v/>
      </c>
      <c r="BE12" s="3" t="str">
        <f t="shared" si="12"/>
        <v/>
      </c>
      <c r="BF12" s="3" t="str">
        <f t="shared" si="12"/>
        <v/>
      </c>
      <c r="BG12" s="3" t="str">
        <f t="shared" si="12"/>
        <v/>
      </c>
      <c r="BH12" s="3" t="str">
        <f t="shared" si="12"/>
        <v/>
      </c>
      <c r="BI12" s="3" t="str">
        <f t="shared" si="12"/>
        <v/>
      </c>
      <c r="BJ12" s="3" t="str">
        <f t="shared" si="12"/>
        <v/>
      </c>
      <c r="BK12" s="3" t="str">
        <f t="shared" si="12"/>
        <v/>
      </c>
      <c r="BL12" s="3" t="str">
        <f t="shared" si="12"/>
        <v/>
      </c>
      <c r="BM12" s="3" t="str">
        <f t="shared" si="12"/>
        <v/>
      </c>
      <c r="BN12" s="3" t="str">
        <f t="shared" si="12"/>
        <v/>
      </c>
      <c r="BO12" s="3" t="str">
        <f t="shared" si="12"/>
        <v/>
      </c>
      <c r="BP12" s="3" t="str">
        <f t="shared" si="12"/>
        <v/>
      </c>
      <c r="BQ12" s="3" t="str">
        <f t="shared" si="12"/>
        <v/>
      </c>
      <c r="BR12" s="3" t="str">
        <f t="shared" si="12"/>
        <v/>
      </c>
      <c r="BS12" s="3" t="str">
        <f t="shared" si="12"/>
        <v/>
      </c>
      <c r="BT12" s="3" t="str">
        <f t="shared" si="12"/>
        <v/>
      </c>
      <c r="BU12" s="3" t="str">
        <f t="shared" si="12"/>
        <v/>
      </c>
      <c r="BV12" s="3" t="str">
        <f t="shared" si="12"/>
        <v/>
      </c>
      <c r="BW12" s="3" t="str">
        <f t="shared" si="12"/>
        <v/>
      </c>
      <c r="BX12" s="3" t="str">
        <f t="shared" si="12"/>
        <v/>
      </c>
      <c r="BY12" s="3" t="str">
        <f t="shared" si="12"/>
        <v/>
      </c>
      <c r="BZ12" s="3" t="str">
        <f t="shared" si="12"/>
        <v/>
      </c>
      <c r="CA12" s="3" t="str">
        <f t="shared" si="12"/>
        <v/>
      </c>
      <c r="CB12" s="3" t="str">
        <f t="shared" ref="CB12:CC12" si="13">IF(AK12=0,"",ROUNDUP(AK7/AK12,0))</f>
        <v/>
      </c>
      <c r="CC12" s="3" t="str">
        <f t="shared" si="13"/>
        <v/>
      </c>
      <c r="CI12" s="149"/>
      <c r="CJ12" s="150"/>
    </row>
    <row r="13" spans="1:88" ht="17.100000000000001" customHeight="1">
      <c r="A13" s="159"/>
      <c r="B13" s="30" t="s">
        <v>24</v>
      </c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40" t="str">
        <f t="shared" si="7"/>
        <v/>
      </c>
      <c r="AO13" s="39"/>
      <c r="AP13" s="39"/>
      <c r="AQ13" s="42" t="str">
        <f t="shared" si="8"/>
        <v/>
      </c>
      <c r="AR13" s="22">
        <f>AP13/36</f>
        <v>0</v>
      </c>
      <c r="AT13" s="3" t="str">
        <f t="shared" ref="AT13:CA13" si="14">IF(C13=0,"",ROUNDUP(C7/C13,0))</f>
        <v/>
      </c>
      <c r="AU13" s="3" t="str">
        <f t="shared" si="14"/>
        <v/>
      </c>
      <c r="AV13" s="3" t="str">
        <f t="shared" si="14"/>
        <v/>
      </c>
      <c r="AW13" s="3" t="str">
        <f t="shared" si="14"/>
        <v/>
      </c>
      <c r="AX13" s="3" t="str">
        <f t="shared" si="14"/>
        <v/>
      </c>
      <c r="AY13" s="3" t="str">
        <f t="shared" si="14"/>
        <v/>
      </c>
      <c r="AZ13" s="3" t="str">
        <f t="shared" si="14"/>
        <v/>
      </c>
      <c r="BA13" s="3" t="str">
        <f t="shared" si="14"/>
        <v/>
      </c>
      <c r="BB13" s="3" t="str">
        <f t="shared" si="14"/>
        <v/>
      </c>
      <c r="BC13" s="3" t="str">
        <f t="shared" si="14"/>
        <v/>
      </c>
      <c r="BD13" s="3" t="str">
        <f t="shared" si="14"/>
        <v/>
      </c>
      <c r="BE13" s="3" t="str">
        <f t="shared" si="14"/>
        <v/>
      </c>
      <c r="BF13" s="3" t="str">
        <f t="shared" si="14"/>
        <v/>
      </c>
      <c r="BG13" s="3" t="str">
        <f t="shared" si="14"/>
        <v/>
      </c>
      <c r="BH13" s="3" t="str">
        <f t="shared" si="14"/>
        <v/>
      </c>
      <c r="BI13" s="3" t="str">
        <f t="shared" si="14"/>
        <v/>
      </c>
      <c r="BJ13" s="3" t="str">
        <f t="shared" si="14"/>
        <v/>
      </c>
      <c r="BK13" s="3" t="str">
        <f t="shared" si="14"/>
        <v/>
      </c>
      <c r="BL13" s="3" t="str">
        <f t="shared" si="14"/>
        <v/>
      </c>
      <c r="BM13" s="3" t="str">
        <f t="shared" si="14"/>
        <v/>
      </c>
      <c r="BN13" s="3" t="str">
        <f t="shared" si="14"/>
        <v/>
      </c>
      <c r="BO13" s="3" t="str">
        <f t="shared" si="14"/>
        <v/>
      </c>
      <c r="BP13" s="3" t="str">
        <f t="shared" si="14"/>
        <v/>
      </c>
      <c r="BQ13" s="3" t="str">
        <f t="shared" si="14"/>
        <v/>
      </c>
      <c r="BR13" s="3" t="str">
        <f t="shared" si="14"/>
        <v/>
      </c>
      <c r="BS13" s="3" t="str">
        <f t="shared" si="14"/>
        <v/>
      </c>
      <c r="BT13" s="3" t="str">
        <f t="shared" si="14"/>
        <v/>
      </c>
      <c r="BU13" s="3" t="str">
        <f t="shared" si="14"/>
        <v/>
      </c>
      <c r="BV13" s="3" t="str">
        <f t="shared" si="14"/>
        <v/>
      </c>
      <c r="BW13" s="3" t="str">
        <f t="shared" si="14"/>
        <v/>
      </c>
      <c r="BX13" s="3" t="str">
        <f t="shared" si="14"/>
        <v/>
      </c>
      <c r="BY13" s="3" t="str">
        <f t="shared" si="14"/>
        <v/>
      </c>
      <c r="BZ13" s="3" t="str">
        <f t="shared" si="14"/>
        <v/>
      </c>
      <c r="CA13" s="3" t="str">
        <f t="shared" si="14"/>
        <v/>
      </c>
      <c r="CB13" s="3" t="str">
        <f t="shared" ref="CB13:CC13" si="15">IF(AK13=0,"",ROUNDUP(AK7/AK13,0))</f>
        <v/>
      </c>
      <c r="CC13" s="3" t="str">
        <f t="shared" si="15"/>
        <v/>
      </c>
    </row>
    <row r="14" spans="1:88" ht="17.100000000000001" customHeight="1">
      <c r="A14" s="159"/>
      <c r="B14" s="30" t="s">
        <v>25</v>
      </c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40" t="str">
        <f t="shared" si="7"/>
        <v/>
      </c>
      <c r="AO14" s="39"/>
      <c r="AP14" s="39"/>
      <c r="AQ14" s="42" t="str">
        <f t="shared" si="8"/>
        <v/>
      </c>
      <c r="AR14" s="22">
        <f>AP14/36</f>
        <v>0</v>
      </c>
      <c r="AT14" s="3" t="str">
        <f t="shared" ref="AT14:CA14" si="16">IF(C14=0,"",ROUNDUP(C7/C14,0))</f>
        <v/>
      </c>
      <c r="AU14" s="3" t="str">
        <f t="shared" si="16"/>
        <v/>
      </c>
      <c r="AV14" s="3" t="str">
        <f t="shared" si="16"/>
        <v/>
      </c>
      <c r="AW14" s="3" t="str">
        <f t="shared" si="16"/>
        <v/>
      </c>
      <c r="AX14" s="3" t="str">
        <f t="shared" si="16"/>
        <v/>
      </c>
      <c r="AY14" s="3" t="str">
        <f t="shared" si="16"/>
        <v/>
      </c>
      <c r="AZ14" s="3" t="str">
        <f t="shared" si="16"/>
        <v/>
      </c>
      <c r="BA14" s="3" t="str">
        <f t="shared" si="16"/>
        <v/>
      </c>
      <c r="BB14" s="3" t="str">
        <f t="shared" si="16"/>
        <v/>
      </c>
      <c r="BC14" s="3" t="str">
        <f t="shared" si="16"/>
        <v/>
      </c>
      <c r="BD14" s="3" t="str">
        <f t="shared" si="16"/>
        <v/>
      </c>
      <c r="BE14" s="3" t="str">
        <f t="shared" si="16"/>
        <v/>
      </c>
      <c r="BF14" s="3" t="str">
        <f t="shared" si="16"/>
        <v/>
      </c>
      <c r="BG14" s="3" t="str">
        <f t="shared" si="16"/>
        <v/>
      </c>
      <c r="BH14" s="3" t="str">
        <f t="shared" si="16"/>
        <v/>
      </c>
      <c r="BI14" s="3" t="str">
        <f t="shared" si="16"/>
        <v/>
      </c>
      <c r="BJ14" s="3" t="str">
        <f t="shared" si="16"/>
        <v/>
      </c>
      <c r="BK14" s="3" t="str">
        <f t="shared" si="16"/>
        <v/>
      </c>
      <c r="BL14" s="3" t="str">
        <f t="shared" si="16"/>
        <v/>
      </c>
      <c r="BM14" s="3" t="str">
        <f t="shared" si="16"/>
        <v/>
      </c>
      <c r="BN14" s="3" t="str">
        <f t="shared" si="16"/>
        <v/>
      </c>
      <c r="BO14" s="3" t="str">
        <f t="shared" si="16"/>
        <v/>
      </c>
      <c r="BP14" s="3" t="str">
        <f t="shared" si="16"/>
        <v/>
      </c>
      <c r="BQ14" s="3" t="str">
        <f t="shared" si="16"/>
        <v/>
      </c>
      <c r="BR14" s="3" t="str">
        <f t="shared" si="16"/>
        <v/>
      </c>
      <c r="BS14" s="3" t="str">
        <f t="shared" si="16"/>
        <v/>
      </c>
      <c r="BT14" s="3" t="str">
        <f t="shared" si="16"/>
        <v/>
      </c>
      <c r="BU14" s="3" t="str">
        <f t="shared" si="16"/>
        <v/>
      </c>
      <c r="BV14" s="3" t="str">
        <f t="shared" si="16"/>
        <v/>
      </c>
      <c r="BW14" s="3" t="str">
        <f t="shared" si="16"/>
        <v/>
      </c>
      <c r="BX14" s="3" t="str">
        <f t="shared" si="16"/>
        <v/>
      </c>
      <c r="BY14" s="3" t="str">
        <f t="shared" si="16"/>
        <v/>
      </c>
      <c r="BZ14" s="3" t="str">
        <f t="shared" si="16"/>
        <v/>
      </c>
      <c r="CA14" s="3" t="str">
        <f t="shared" si="16"/>
        <v/>
      </c>
      <c r="CB14" s="3" t="str">
        <f t="shared" ref="CB14:CC14" si="17">IF(AK14=0,"",ROUNDUP(AK7/AK14,0))</f>
        <v/>
      </c>
      <c r="CC14" s="3" t="str">
        <f t="shared" si="17"/>
        <v/>
      </c>
    </row>
    <row r="15" spans="1:88" ht="17.100000000000001" customHeight="1">
      <c r="A15" s="159"/>
      <c r="B15" s="30" t="s">
        <v>32</v>
      </c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40" t="str">
        <f>IF(AM15="","",SUM(C15:AL15)*AM15)</f>
        <v/>
      </c>
      <c r="AO15" s="39"/>
      <c r="AP15" s="39"/>
      <c r="AQ15" s="42" t="str">
        <f t="shared" si="8"/>
        <v/>
      </c>
      <c r="AR15" s="22">
        <f t="shared" si="9"/>
        <v>0</v>
      </c>
      <c r="AT15" s="3" t="str">
        <f t="shared" ref="AT15:CA15" si="18">IF(C15=0,"",ROUNDUP(C7/C15,0))</f>
        <v/>
      </c>
      <c r="AU15" s="3" t="str">
        <f t="shared" si="18"/>
        <v/>
      </c>
      <c r="AV15" s="3" t="str">
        <f t="shared" si="18"/>
        <v/>
      </c>
      <c r="AW15" s="3" t="str">
        <f t="shared" si="18"/>
        <v/>
      </c>
      <c r="AX15" s="3" t="str">
        <f t="shared" si="18"/>
        <v/>
      </c>
      <c r="AY15" s="3" t="str">
        <f t="shared" si="18"/>
        <v/>
      </c>
      <c r="AZ15" s="3" t="str">
        <f t="shared" si="18"/>
        <v/>
      </c>
      <c r="BA15" s="3" t="str">
        <f t="shared" si="18"/>
        <v/>
      </c>
      <c r="BB15" s="3" t="str">
        <f t="shared" si="18"/>
        <v/>
      </c>
      <c r="BC15" s="3" t="str">
        <f t="shared" si="18"/>
        <v/>
      </c>
      <c r="BD15" s="3" t="str">
        <f t="shared" si="18"/>
        <v/>
      </c>
      <c r="BE15" s="3" t="str">
        <f t="shared" si="18"/>
        <v/>
      </c>
      <c r="BF15" s="3" t="str">
        <f t="shared" si="18"/>
        <v/>
      </c>
      <c r="BG15" s="3" t="str">
        <f t="shared" si="18"/>
        <v/>
      </c>
      <c r="BH15" s="3" t="str">
        <f t="shared" si="18"/>
        <v/>
      </c>
      <c r="BI15" s="3" t="str">
        <f t="shared" si="18"/>
        <v/>
      </c>
      <c r="BJ15" s="3" t="str">
        <f t="shared" si="18"/>
        <v/>
      </c>
      <c r="BK15" s="3" t="str">
        <f t="shared" si="18"/>
        <v/>
      </c>
      <c r="BL15" s="3" t="str">
        <f t="shared" si="18"/>
        <v/>
      </c>
      <c r="BM15" s="3" t="str">
        <f t="shared" si="18"/>
        <v/>
      </c>
      <c r="BN15" s="3" t="str">
        <f t="shared" si="18"/>
        <v/>
      </c>
      <c r="BO15" s="3" t="str">
        <f t="shared" si="18"/>
        <v/>
      </c>
      <c r="BP15" s="3" t="str">
        <f t="shared" si="18"/>
        <v/>
      </c>
      <c r="BQ15" s="3" t="str">
        <f t="shared" si="18"/>
        <v/>
      </c>
      <c r="BR15" s="3" t="str">
        <f t="shared" si="18"/>
        <v/>
      </c>
      <c r="BS15" s="3" t="str">
        <f t="shared" si="18"/>
        <v/>
      </c>
      <c r="BT15" s="3" t="str">
        <f t="shared" si="18"/>
        <v/>
      </c>
      <c r="BU15" s="3" t="str">
        <f t="shared" si="18"/>
        <v/>
      </c>
      <c r="BV15" s="3" t="str">
        <f t="shared" si="18"/>
        <v/>
      </c>
      <c r="BW15" s="3" t="str">
        <f t="shared" si="18"/>
        <v/>
      </c>
      <c r="BX15" s="3" t="str">
        <f t="shared" si="18"/>
        <v/>
      </c>
      <c r="BY15" s="3" t="str">
        <f t="shared" si="18"/>
        <v/>
      </c>
      <c r="BZ15" s="3" t="str">
        <f t="shared" si="18"/>
        <v/>
      </c>
      <c r="CA15" s="3" t="str">
        <f t="shared" si="18"/>
        <v/>
      </c>
      <c r="CB15" s="3" t="str">
        <f t="shared" ref="CB15:CC15" si="19">IF(AK15=0,"",ROUNDUP(AK7/AK15,0))</f>
        <v/>
      </c>
      <c r="CC15" s="3" t="str">
        <f t="shared" si="19"/>
        <v/>
      </c>
    </row>
    <row r="16" spans="1:88" ht="17.100000000000001" customHeight="1">
      <c r="A16" s="159"/>
      <c r="B16" s="30" t="s">
        <v>27</v>
      </c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40" t="str">
        <f t="shared" si="7"/>
        <v/>
      </c>
      <c r="AO16" s="39"/>
      <c r="AP16" s="39"/>
      <c r="AQ16" s="42" t="str">
        <f t="shared" si="8"/>
        <v/>
      </c>
      <c r="AR16" s="22">
        <f t="shared" si="9"/>
        <v>0</v>
      </c>
      <c r="AT16" s="3" t="str">
        <f t="shared" ref="AT16:CA16" si="20">IF(C16=0,"",ROUNDUP(C7/C16,0))</f>
        <v/>
      </c>
      <c r="AU16" s="3" t="str">
        <f t="shared" si="20"/>
        <v/>
      </c>
      <c r="AV16" s="3" t="str">
        <f t="shared" si="20"/>
        <v/>
      </c>
      <c r="AW16" s="3" t="str">
        <f t="shared" si="20"/>
        <v/>
      </c>
      <c r="AX16" s="3" t="str">
        <f t="shared" si="20"/>
        <v/>
      </c>
      <c r="AY16" s="3" t="str">
        <f t="shared" si="20"/>
        <v/>
      </c>
      <c r="AZ16" s="3" t="str">
        <f t="shared" si="20"/>
        <v/>
      </c>
      <c r="BA16" s="3" t="str">
        <f t="shared" si="20"/>
        <v/>
      </c>
      <c r="BB16" s="3" t="str">
        <f t="shared" si="20"/>
        <v/>
      </c>
      <c r="BC16" s="3" t="str">
        <f t="shared" si="20"/>
        <v/>
      </c>
      <c r="BD16" s="3" t="str">
        <f t="shared" si="20"/>
        <v/>
      </c>
      <c r="BE16" s="3" t="str">
        <f t="shared" si="20"/>
        <v/>
      </c>
      <c r="BF16" s="3" t="str">
        <f t="shared" si="20"/>
        <v/>
      </c>
      <c r="BG16" s="3" t="str">
        <f t="shared" si="20"/>
        <v/>
      </c>
      <c r="BH16" s="3" t="str">
        <f t="shared" si="20"/>
        <v/>
      </c>
      <c r="BI16" s="3" t="str">
        <f t="shared" si="20"/>
        <v/>
      </c>
      <c r="BJ16" s="3" t="str">
        <f t="shared" si="20"/>
        <v/>
      </c>
      <c r="BK16" s="3" t="str">
        <f t="shared" si="20"/>
        <v/>
      </c>
      <c r="BL16" s="3" t="str">
        <f t="shared" si="20"/>
        <v/>
      </c>
      <c r="BM16" s="3" t="str">
        <f t="shared" si="20"/>
        <v/>
      </c>
      <c r="BN16" s="3" t="str">
        <f t="shared" si="20"/>
        <v/>
      </c>
      <c r="BO16" s="3" t="str">
        <f t="shared" si="20"/>
        <v/>
      </c>
      <c r="BP16" s="3" t="str">
        <f t="shared" si="20"/>
        <v/>
      </c>
      <c r="BQ16" s="3" t="str">
        <f t="shared" si="20"/>
        <v/>
      </c>
      <c r="BR16" s="3" t="str">
        <f t="shared" si="20"/>
        <v/>
      </c>
      <c r="BS16" s="3" t="str">
        <f t="shared" si="20"/>
        <v/>
      </c>
      <c r="BT16" s="3" t="str">
        <f t="shared" si="20"/>
        <v/>
      </c>
      <c r="BU16" s="3" t="str">
        <f t="shared" si="20"/>
        <v/>
      </c>
      <c r="BV16" s="3" t="str">
        <f t="shared" si="20"/>
        <v/>
      </c>
      <c r="BW16" s="3" t="str">
        <f t="shared" si="20"/>
        <v/>
      </c>
      <c r="BX16" s="3" t="str">
        <f t="shared" si="20"/>
        <v/>
      </c>
      <c r="BY16" s="3" t="str">
        <f t="shared" si="20"/>
        <v/>
      </c>
      <c r="BZ16" s="3" t="str">
        <f t="shared" si="20"/>
        <v/>
      </c>
      <c r="CA16" s="3" t="str">
        <f t="shared" si="20"/>
        <v/>
      </c>
      <c r="CB16" s="3" t="str">
        <f t="shared" ref="CB16:CC16" si="21">IF(AK16=0,"",ROUNDUP(AK7/AK16,0))</f>
        <v/>
      </c>
      <c r="CC16" s="3" t="str">
        <f t="shared" si="21"/>
        <v/>
      </c>
    </row>
    <row r="17" spans="1:81" ht="17.100000000000001" customHeight="1">
      <c r="A17" s="159"/>
      <c r="B17" s="30" t="s">
        <v>28</v>
      </c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41" t="str">
        <f t="shared" si="7"/>
        <v/>
      </c>
      <c r="AO17" s="39"/>
      <c r="AP17" s="39"/>
      <c r="AQ17" s="42" t="str">
        <f t="shared" si="8"/>
        <v/>
      </c>
      <c r="AR17" s="22">
        <f t="shared" si="9"/>
        <v>0</v>
      </c>
      <c r="AT17" s="3" t="str">
        <f t="shared" ref="AT17:CA17" si="22">IF(C17=0,"",ROUNDUP(C7/C17,0))</f>
        <v/>
      </c>
      <c r="AU17" s="3" t="str">
        <f t="shared" si="22"/>
        <v/>
      </c>
      <c r="AV17" s="3" t="str">
        <f t="shared" si="22"/>
        <v/>
      </c>
      <c r="AW17" s="3" t="str">
        <f t="shared" si="22"/>
        <v/>
      </c>
      <c r="AX17" s="3" t="str">
        <f t="shared" si="22"/>
        <v/>
      </c>
      <c r="AY17" s="3" t="str">
        <f t="shared" si="22"/>
        <v/>
      </c>
      <c r="AZ17" s="3" t="str">
        <f t="shared" si="22"/>
        <v/>
      </c>
      <c r="BA17" s="3" t="str">
        <f t="shared" si="22"/>
        <v/>
      </c>
      <c r="BB17" s="3" t="str">
        <f t="shared" si="22"/>
        <v/>
      </c>
      <c r="BC17" s="3" t="str">
        <f t="shared" si="22"/>
        <v/>
      </c>
      <c r="BD17" s="3" t="str">
        <f t="shared" si="22"/>
        <v/>
      </c>
      <c r="BE17" s="3" t="str">
        <f t="shared" si="22"/>
        <v/>
      </c>
      <c r="BF17" s="3" t="str">
        <f t="shared" si="22"/>
        <v/>
      </c>
      <c r="BG17" s="3" t="str">
        <f t="shared" si="22"/>
        <v/>
      </c>
      <c r="BH17" s="3" t="str">
        <f t="shared" si="22"/>
        <v/>
      </c>
      <c r="BI17" s="3" t="str">
        <f t="shared" si="22"/>
        <v/>
      </c>
      <c r="BJ17" s="3" t="str">
        <f t="shared" si="22"/>
        <v/>
      </c>
      <c r="BK17" s="3" t="str">
        <f t="shared" si="22"/>
        <v/>
      </c>
      <c r="BL17" s="3" t="str">
        <f t="shared" si="22"/>
        <v/>
      </c>
      <c r="BM17" s="3" t="str">
        <f t="shared" si="22"/>
        <v/>
      </c>
      <c r="BN17" s="3" t="str">
        <f t="shared" si="22"/>
        <v/>
      </c>
      <c r="BO17" s="3" t="str">
        <f t="shared" si="22"/>
        <v/>
      </c>
      <c r="BP17" s="3" t="str">
        <f t="shared" si="22"/>
        <v/>
      </c>
      <c r="BQ17" s="3" t="str">
        <f t="shared" si="22"/>
        <v/>
      </c>
      <c r="BR17" s="3" t="str">
        <f t="shared" si="22"/>
        <v/>
      </c>
      <c r="BS17" s="3" t="str">
        <f t="shared" si="22"/>
        <v/>
      </c>
      <c r="BT17" s="3" t="str">
        <f t="shared" si="22"/>
        <v/>
      </c>
      <c r="BU17" s="3" t="str">
        <f t="shared" si="22"/>
        <v/>
      </c>
      <c r="BV17" s="3" t="str">
        <f t="shared" si="22"/>
        <v/>
      </c>
      <c r="BW17" s="3" t="str">
        <f t="shared" si="22"/>
        <v/>
      </c>
      <c r="BX17" s="3" t="str">
        <f t="shared" si="22"/>
        <v/>
      </c>
      <c r="BY17" s="3" t="str">
        <f t="shared" si="22"/>
        <v/>
      </c>
      <c r="BZ17" s="3" t="str">
        <f t="shared" si="22"/>
        <v/>
      </c>
      <c r="CA17" s="3" t="str">
        <f t="shared" si="22"/>
        <v/>
      </c>
      <c r="CB17" s="3" t="str">
        <f t="shared" ref="CB17:CC17" si="23">IF(AK17=0,"",ROUNDUP(AK7/AK17,0))</f>
        <v/>
      </c>
      <c r="CC17" s="3" t="str">
        <f t="shared" si="23"/>
        <v/>
      </c>
    </row>
    <row r="18" spans="1:81" ht="13.5" customHeight="1" thickBot="1">
      <c r="A18" s="21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6"/>
      <c r="AN18" s="43">
        <f>SUM(AN10:AN17)</f>
        <v>0</v>
      </c>
      <c r="AO18" s="22"/>
      <c r="AP18" s="23"/>
      <c r="AQ18" s="11"/>
      <c r="AR18" s="22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22.5" customHeight="1" thickBot="1">
      <c r="A19" s="160">
        <v>2</v>
      </c>
      <c r="B19" s="161"/>
      <c r="C19" s="162"/>
      <c r="AQ19" s="12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ht="17.100000000000001" customHeight="1">
      <c r="A20" s="51" t="s">
        <v>29</v>
      </c>
      <c r="B20" s="50"/>
      <c r="C20" s="147" t="s">
        <v>31</v>
      </c>
      <c r="D20" s="148"/>
      <c r="E20" s="148"/>
      <c r="F20" s="148"/>
      <c r="G20" s="148"/>
      <c r="H20" s="148"/>
      <c r="I20" s="148"/>
      <c r="J20" s="148"/>
      <c r="K20" s="148"/>
      <c r="L20" s="148"/>
      <c r="M20" s="148"/>
      <c r="N20" s="148"/>
      <c r="O20" s="148"/>
      <c r="P20" s="148"/>
      <c r="Q20" s="148"/>
      <c r="R20" s="148"/>
      <c r="S20" s="148"/>
      <c r="T20" s="148"/>
      <c r="U20" s="148"/>
      <c r="V20" s="148"/>
      <c r="W20" s="148"/>
      <c r="X20" s="148"/>
      <c r="Y20" s="148"/>
      <c r="Z20" s="148"/>
      <c r="AA20" s="148"/>
      <c r="AB20" s="148"/>
      <c r="AC20" s="148"/>
      <c r="AD20" s="148"/>
      <c r="AE20" s="148"/>
      <c r="AF20" s="148"/>
      <c r="AG20" s="148"/>
      <c r="AH20" s="148"/>
      <c r="AI20" s="148"/>
      <c r="AJ20" s="148"/>
      <c r="AK20" s="148"/>
      <c r="AL20" s="148"/>
      <c r="AM20" s="4"/>
      <c r="AN20" s="31"/>
      <c r="AO20" s="35" t="s">
        <v>4</v>
      </c>
      <c r="AP20" s="149"/>
      <c r="AQ20" s="150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ht="27">
      <c r="A21" s="52" t="s">
        <v>36</v>
      </c>
      <c r="B21" s="50"/>
      <c r="C21" s="36" t="str">
        <f>IF(C5=0,"",IF(C5&gt;0,C5))</f>
        <v/>
      </c>
      <c r="D21" s="36" t="str">
        <f t="shared" ref="D21:AL21" si="24">IF(D5=0,"",IF(D5&gt;0,D5))</f>
        <v/>
      </c>
      <c r="E21" s="36" t="str">
        <f t="shared" si="24"/>
        <v/>
      </c>
      <c r="F21" s="36" t="str">
        <f t="shared" si="24"/>
        <v/>
      </c>
      <c r="G21" s="36" t="str">
        <f t="shared" si="24"/>
        <v/>
      </c>
      <c r="H21" s="36" t="str">
        <f t="shared" si="24"/>
        <v/>
      </c>
      <c r="I21" s="36" t="str">
        <f t="shared" si="24"/>
        <v/>
      </c>
      <c r="J21" s="36" t="str">
        <f t="shared" si="24"/>
        <v/>
      </c>
      <c r="K21" s="36" t="str">
        <f t="shared" si="24"/>
        <v/>
      </c>
      <c r="L21" s="36" t="str">
        <f t="shared" si="24"/>
        <v/>
      </c>
      <c r="M21" s="36" t="str">
        <f t="shared" si="24"/>
        <v/>
      </c>
      <c r="N21" s="36" t="str">
        <f t="shared" si="24"/>
        <v/>
      </c>
      <c r="O21" s="36" t="str">
        <f t="shared" si="24"/>
        <v/>
      </c>
      <c r="P21" s="36" t="str">
        <f t="shared" si="24"/>
        <v/>
      </c>
      <c r="Q21" s="36" t="str">
        <f t="shared" si="24"/>
        <v/>
      </c>
      <c r="R21" s="36" t="str">
        <f t="shared" si="24"/>
        <v/>
      </c>
      <c r="S21" s="36" t="str">
        <f t="shared" si="24"/>
        <v/>
      </c>
      <c r="T21" s="36" t="str">
        <f t="shared" si="24"/>
        <v/>
      </c>
      <c r="U21" s="36" t="str">
        <f t="shared" si="24"/>
        <v/>
      </c>
      <c r="V21" s="36" t="str">
        <f t="shared" si="24"/>
        <v/>
      </c>
      <c r="W21" s="36" t="str">
        <f t="shared" si="24"/>
        <v/>
      </c>
      <c r="X21" s="36" t="str">
        <f t="shared" si="24"/>
        <v/>
      </c>
      <c r="Y21" s="36" t="str">
        <f t="shared" si="24"/>
        <v/>
      </c>
      <c r="Z21" s="36" t="str">
        <f t="shared" si="24"/>
        <v/>
      </c>
      <c r="AA21" s="36" t="str">
        <f t="shared" si="24"/>
        <v/>
      </c>
      <c r="AB21" s="36" t="str">
        <f t="shared" si="24"/>
        <v/>
      </c>
      <c r="AC21" s="36" t="str">
        <f t="shared" si="24"/>
        <v/>
      </c>
      <c r="AD21" s="36" t="str">
        <f t="shared" si="24"/>
        <v/>
      </c>
      <c r="AE21" s="36" t="str">
        <f>IF(AE5=0,"",IF(AE5&gt;0,AE5))</f>
        <v/>
      </c>
      <c r="AF21" s="36" t="str">
        <f t="shared" si="24"/>
        <v/>
      </c>
      <c r="AG21" s="36" t="str">
        <f t="shared" si="24"/>
        <v/>
      </c>
      <c r="AH21" s="36" t="str">
        <f t="shared" si="24"/>
        <v/>
      </c>
      <c r="AI21" s="36" t="str">
        <f t="shared" si="24"/>
        <v/>
      </c>
      <c r="AJ21" s="36" t="str">
        <f t="shared" si="24"/>
        <v/>
      </c>
      <c r="AK21" s="36" t="str">
        <f t="shared" si="24"/>
        <v/>
      </c>
      <c r="AL21" s="36" t="str">
        <f t="shared" si="24"/>
        <v/>
      </c>
      <c r="AM21" s="5"/>
      <c r="AN21" s="31"/>
      <c r="AO21" s="32" t="s">
        <v>5</v>
      </c>
      <c r="AP21" s="151">
        <f>SUM(AQ26:AQ33)</f>
        <v>0</v>
      </c>
      <c r="AQ21" s="151"/>
      <c r="AT21" s="2" t="str">
        <f t="shared" ref="AT21:BY21" si="25">IF(C21=0,"",IF(C21&gt;0,C21))</f>
        <v/>
      </c>
      <c r="AU21" s="2" t="str">
        <f t="shared" si="25"/>
        <v/>
      </c>
      <c r="AV21" s="2" t="str">
        <f t="shared" si="25"/>
        <v/>
      </c>
      <c r="AW21" s="2" t="str">
        <f t="shared" si="25"/>
        <v/>
      </c>
      <c r="AX21" s="2" t="str">
        <f t="shared" si="25"/>
        <v/>
      </c>
      <c r="AY21" s="2" t="str">
        <f t="shared" si="25"/>
        <v/>
      </c>
      <c r="AZ21" s="2" t="str">
        <f t="shared" si="25"/>
        <v/>
      </c>
      <c r="BA21" s="2" t="str">
        <f t="shared" si="25"/>
        <v/>
      </c>
      <c r="BB21" s="2" t="str">
        <f t="shared" si="25"/>
        <v/>
      </c>
      <c r="BC21" s="2" t="str">
        <f t="shared" si="25"/>
        <v/>
      </c>
      <c r="BD21" s="2" t="str">
        <f t="shared" si="25"/>
        <v/>
      </c>
      <c r="BE21" s="2" t="str">
        <f t="shared" si="25"/>
        <v/>
      </c>
      <c r="BF21" s="2" t="str">
        <f t="shared" si="25"/>
        <v/>
      </c>
      <c r="BG21" s="2" t="str">
        <f t="shared" si="25"/>
        <v/>
      </c>
      <c r="BH21" s="2" t="str">
        <f t="shared" si="25"/>
        <v/>
      </c>
      <c r="BI21" s="2" t="str">
        <f t="shared" si="25"/>
        <v/>
      </c>
      <c r="BJ21" s="2" t="str">
        <f t="shared" si="25"/>
        <v/>
      </c>
      <c r="BK21" s="2" t="str">
        <f t="shared" si="25"/>
        <v/>
      </c>
      <c r="BL21" s="2" t="str">
        <f t="shared" si="25"/>
        <v/>
      </c>
      <c r="BM21" s="2" t="str">
        <f t="shared" si="25"/>
        <v/>
      </c>
      <c r="BN21" s="2" t="str">
        <f t="shared" si="25"/>
        <v/>
      </c>
      <c r="BO21" s="2" t="str">
        <f t="shared" si="25"/>
        <v/>
      </c>
      <c r="BP21" s="2" t="str">
        <f t="shared" si="25"/>
        <v/>
      </c>
      <c r="BQ21" s="2" t="str">
        <f t="shared" si="25"/>
        <v/>
      </c>
      <c r="BR21" s="2" t="str">
        <f t="shared" si="25"/>
        <v/>
      </c>
      <c r="BS21" s="2" t="str">
        <f t="shared" si="25"/>
        <v/>
      </c>
      <c r="BT21" s="2" t="str">
        <f t="shared" si="25"/>
        <v/>
      </c>
      <c r="BU21" s="2" t="str">
        <f t="shared" si="25"/>
        <v/>
      </c>
      <c r="BV21" s="2" t="str">
        <f t="shared" si="25"/>
        <v/>
      </c>
      <c r="BW21" s="2" t="str">
        <f t="shared" si="25"/>
        <v/>
      </c>
      <c r="BX21" s="2" t="str">
        <f t="shared" si="25"/>
        <v/>
      </c>
      <c r="BY21" s="2" t="str">
        <f t="shared" si="25"/>
        <v/>
      </c>
      <c r="BZ21" s="2" t="str">
        <f t="shared" ref="BZ21" si="26">IF(AI21=0,"",IF(AI21&gt;0,AI21))</f>
        <v/>
      </c>
      <c r="CA21" s="2" t="str">
        <f t="shared" ref="CA21" si="27">IF(AJ21=0,"",IF(AJ21&gt;0,AJ21))</f>
        <v/>
      </c>
      <c r="CB21" s="2" t="str">
        <f t="shared" ref="CB21" si="28">IF(AK21=0,"",IF(AK21&gt;0,AK21))</f>
        <v/>
      </c>
      <c r="CC21" s="2" t="str">
        <f t="shared" ref="CC21" si="29">IF(AL21=0,"",IF(AL21&gt;0,AL21))</f>
        <v/>
      </c>
    </row>
    <row r="22" spans="1:81" ht="17.100000000000001" customHeight="1">
      <c r="A22" s="152" t="s">
        <v>30</v>
      </c>
      <c r="B22" s="153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5">
        <f>SUM(C22:AL22)</f>
        <v>0</v>
      </c>
      <c r="AN22" s="33"/>
      <c r="AO22" s="34" t="str">
        <f>IF(AP22&lt;5,"NO ",IF(AP22=5,"ok",IF(AP22&gt;5,"ok")))</f>
        <v xml:space="preserve">NO </v>
      </c>
      <c r="AP22" s="154">
        <f>AP20-AP21-AP23</f>
        <v>0</v>
      </c>
      <c r="AQ22" s="154"/>
      <c r="AR22" s="16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</row>
    <row r="23" spans="1:81" ht="17.100000000000001" customHeight="1">
      <c r="A23" s="152"/>
      <c r="B23" s="153"/>
      <c r="C23" s="47" t="str">
        <f t="shared" ref="C23:AF23" si="30">IF(C21="","",C22-C26*$AM26-C27*$AM27-C28*$AM28-C29*$AM29-C30*$AM30-C31*$AM31-C32*$AM32-C33*$AM33)</f>
        <v/>
      </c>
      <c r="D23" s="47" t="str">
        <f t="shared" si="30"/>
        <v/>
      </c>
      <c r="E23" s="47" t="str">
        <f t="shared" si="30"/>
        <v/>
      </c>
      <c r="F23" s="47" t="str">
        <f t="shared" si="30"/>
        <v/>
      </c>
      <c r="G23" s="47" t="str">
        <f t="shared" si="30"/>
        <v/>
      </c>
      <c r="H23" s="47" t="str">
        <f t="shared" si="30"/>
        <v/>
      </c>
      <c r="I23" s="47" t="str">
        <f t="shared" si="30"/>
        <v/>
      </c>
      <c r="J23" s="47" t="str">
        <f t="shared" si="30"/>
        <v/>
      </c>
      <c r="K23" s="47" t="str">
        <f t="shared" si="30"/>
        <v/>
      </c>
      <c r="L23" s="47" t="str">
        <f t="shared" si="30"/>
        <v/>
      </c>
      <c r="M23" s="47" t="str">
        <f t="shared" si="30"/>
        <v/>
      </c>
      <c r="N23" s="47" t="str">
        <f t="shared" si="30"/>
        <v/>
      </c>
      <c r="O23" s="47" t="str">
        <f t="shared" si="30"/>
        <v/>
      </c>
      <c r="P23" s="47" t="str">
        <f t="shared" si="30"/>
        <v/>
      </c>
      <c r="Q23" s="47" t="str">
        <f t="shared" si="30"/>
        <v/>
      </c>
      <c r="R23" s="47" t="str">
        <f t="shared" si="30"/>
        <v/>
      </c>
      <c r="S23" s="47" t="str">
        <f t="shared" si="30"/>
        <v/>
      </c>
      <c r="T23" s="47" t="str">
        <f t="shared" si="30"/>
        <v/>
      </c>
      <c r="U23" s="47" t="str">
        <f t="shared" si="30"/>
        <v/>
      </c>
      <c r="V23" s="47" t="str">
        <f t="shared" si="30"/>
        <v/>
      </c>
      <c r="W23" s="47" t="str">
        <f t="shared" si="30"/>
        <v/>
      </c>
      <c r="X23" s="47" t="str">
        <f t="shared" si="30"/>
        <v/>
      </c>
      <c r="Y23" s="47" t="str">
        <f t="shared" si="30"/>
        <v/>
      </c>
      <c r="Z23" s="47" t="str">
        <f t="shared" si="30"/>
        <v/>
      </c>
      <c r="AA23" s="47" t="str">
        <f t="shared" si="30"/>
        <v/>
      </c>
      <c r="AB23" s="47" t="str">
        <f t="shared" si="30"/>
        <v/>
      </c>
      <c r="AC23" s="47" t="str">
        <f t="shared" si="30"/>
        <v/>
      </c>
      <c r="AD23" s="47" t="str">
        <f t="shared" si="30"/>
        <v/>
      </c>
      <c r="AE23" s="47" t="str">
        <f t="shared" si="30"/>
        <v/>
      </c>
      <c r="AF23" s="47" t="str">
        <f t="shared" si="30"/>
        <v/>
      </c>
      <c r="AG23" s="47" t="str">
        <f t="shared" ref="AG23" si="31">IF(AG21="","",AG22-AG26*$AM26-AG27*$AM27-AG28*$AM28-AG29*$AM29-AG30*$AM30-AG31*$AM31-AG32*$AM32-AG33*$AM33)</f>
        <v/>
      </c>
      <c r="AH23" s="47" t="str">
        <f t="shared" ref="AH23" si="32">IF(AH21="","",AH22-AH26*$AM26-AH27*$AM27-AH28*$AM28-AH29*$AM29-AH30*$AM30-AH31*$AM31-AH32*$AM32-AH33*$AM33)</f>
        <v/>
      </c>
      <c r="AI23" s="47" t="str">
        <f t="shared" ref="AI23:AJ23" si="33">IF(AI21="","",AI22-AI26*$AM26-AI27*$AM27-AI28*$AM28-AI29*$AM29-AI30*$AM30-AI31*$AM31-AI32*$AM32-AI33*$AM33)</f>
        <v/>
      </c>
      <c r="AJ23" s="47" t="str">
        <f t="shared" si="33"/>
        <v/>
      </c>
      <c r="AK23" s="47" t="str">
        <f>IF(AK21="","",AK22-AK26*$AM26-AK27*$AM27-AK28*$AM28-AK29*$AM29-AK30*$AM30-AK31*$AM31-AK32*$AM32-AK33*$AM33)</f>
        <v/>
      </c>
      <c r="AL23" s="47" t="str">
        <f>IF(AL21="","",AL22-AL26*$AM26-AL27*$AM27-AL28*$AM28-AL29*$AM29-AL30*$AM30-AL31*$AM31-AL32*$AM32-AL33*$AM33)</f>
        <v/>
      </c>
      <c r="AM23" s="45">
        <f>SUM(C23:AL23)</f>
        <v>0</v>
      </c>
      <c r="AN23" s="155" t="s">
        <v>33</v>
      </c>
      <c r="AO23" s="156"/>
      <c r="AP23" s="157"/>
      <c r="AQ23" s="158"/>
      <c r="AR23" s="17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</row>
    <row r="24" spans="1:81" ht="17.100000000000001" customHeight="1">
      <c r="A24" s="163" t="s">
        <v>20</v>
      </c>
      <c r="B24" s="163"/>
      <c r="C24" s="150" t="s">
        <v>0</v>
      </c>
      <c r="D24" s="150"/>
      <c r="E24" s="150"/>
      <c r="F24" s="150"/>
      <c r="G24" s="150"/>
      <c r="H24" s="150"/>
      <c r="I24" s="150"/>
      <c r="J24" s="150"/>
      <c r="K24" s="150"/>
      <c r="L24" s="150"/>
      <c r="M24" s="150"/>
      <c r="N24" s="150"/>
      <c r="O24" s="150"/>
      <c r="P24" s="150"/>
      <c r="Q24" s="150"/>
      <c r="R24" s="150"/>
      <c r="S24" s="150"/>
      <c r="T24" s="150"/>
      <c r="U24" s="150"/>
      <c r="V24" s="150"/>
      <c r="W24" s="150"/>
      <c r="X24" s="150"/>
      <c r="Y24" s="150"/>
      <c r="Z24" s="150"/>
      <c r="AA24" s="150"/>
      <c r="AB24" s="150"/>
      <c r="AC24" s="150"/>
      <c r="AD24" s="150"/>
      <c r="AE24" s="150"/>
      <c r="AF24" s="150"/>
      <c r="AG24" s="150"/>
      <c r="AH24" s="150"/>
      <c r="AI24" s="150"/>
      <c r="AJ24" s="150"/>
      <c r="AK24" s="150"/>
      <c r="AL24" s="150"/>
      <c r="AM24" s="165" t="s">
        <v>1</v>
      </c>
      <c r="AN24" s="166" t="s">
        <v>11</v>
      </c>
      <c r="AO24" s="170" t="s">
        <v>12</v>
      </c>
      <c r="AP24" s="170"/>
      <c r="AQ24" s="169" t="s">
        <v>6</v>
      </c>
      <c r="AR24" s="15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</row>
    <row r="25" spans="1:81" ht="17.100000000000001" customHeight="1">
      <c r="A25" s="163"/>
      <c r="B25" s="163"/>
      <c r="C25" s="150"/>
      <c r="D25" s="150"/>
      <c r="E25" s="150"/>
      <c r="F25" s="150"/>
      <c r="G25" s="150"/>
      <c r="H25" s="150"/>
      <c r="I25" s="150"/>
      <c r="J25" s="150"/>
      <c r="K25" s="150"/>
      <c r="L25" s="150"/>
      <c r="M25" s="150"/>
      <c r="N25" s="150"/>
      <c r="O25" s="150"/>
      <c r="P25" s="150"/>
      <c r="Q25" s="150"/>
      <c r="R25" s="150"/>
      <c r="S25" s="150"/>
      <c r="T25" s="150"/>
      <c r="U25" s="150"/>
      <c r="V25" s="150"/>
      <c r="W25" s="150"/>
      <c r="X25" s="150"/>
      <c r="Y25" s="150"/>
      <c r="Z25" s="150"/>
      <c r="AA25" s="150"/>
      <c r="AB25" s="150"/>
      <c r="AC25" s="150"/>
      <c r="AD25" s="150"/>
      <c r="AE25" s="150"/>
      <c r="AF25" s="150"/>
      <c r="AG25" s="150"/>
      <c r="AH25" s="150"/>
      <c r="AI25" s="150"/>
      <c r="AJ25" s="150"/>
      <c r="AK25" s="150"/>
      <c r="AL25" s="150"/>
      <c r="AM25" s="165"/>
      <c r="AN25" s="166"/>
      <c r="AO25" s="18" t="s">
        <v>3</v>
      </c>
      <c r="AP25" s="19" t="s">
        <v>13</v>
      </c>
      <c r="AQ25" s="169"/>
      <c r="AR25" s="20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</row>
    <row r="26" spans="1:81" ht="17.100000000000001" customHeight="1">
      <c r="A26" s="159"/>
      <c r="B26" s="30" t="s">
        <v>21</v>
      </c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40" t="str">
        <f>IF(AM26="","",SUM(C26:AL26)*AM26)</f>
        <v/>
      </c>
      <c r="AO26" s="39"/>
      <c r="AP26" s="39"/>
      <c r="AQ26" s="42">
        <f>(AO26+AR26)*AM26</f>
        <v>0</v>
      </c>
      <c r="AR26" s="22">
        <f>AP26/36</f>
        <v>0</v>
      </c>
      <c r="AT26" s="3" t="str">
        <f t="shared" ref="AT26:CA26" si="34">IF(C26=0,"",ROUNDUP(C23/C26,0))</f>
        <v/>
      </c>
      <c r="AU26" s="3" t="str">
        <f t="shared" si="34"/>
        <v/>
      </c>
      <c r="AV26" s="3" t="str">
        <f t="shared" si="34"/>
        <v/>
      </c>
      <c r="AW26" s="3" t="str">
        <f t="shared" si="34"/>
        <v/>
      </c>
      <c r="AX26" s="3" t="str">
        <f t="shared" si="34"/>
        <v/>
      </c>
      <c r="AY26" s="3" t="str">
        <f t="shared" si="34"/>
        <v/>
      </c>
      <c r="AZ26" s="3" t="str">
        <f t="shared" si="34"/>
        <v/>
      </c>
      <c r="BA26" s="3" t="str">
        <f t="shared" si="34"/>
        <v/>
      </c>
      <c r="BB26" s="3" t="str">
        <f t="shared" si="34"/>
        <v/>
      </c>
      <c r="BC26" s="3" t="str">
        <f t="shared" si="34"/>
        <v/>
      </c>
      <c r="BD26" s="3" t="str">
        <f t="shared" si="34"/>
        <v/>
      </c>
      <c r="BE26" s="3" t="str">
        <f t="shared" si="34"/>
        <v/>
      </c>
      <c r="BF26" s="3" t="str">
        <f t="shared" si="34"/>
        <v/>
      </c>
      <c r="BG26" s="3" t="str">
        <f t="shared" si="34"/>
        <v/>
      </c>
      <c r="BH26" s="3" t="str">
        <f t="shared" si="34"/>
        <v/>
      </c>
      <c r="BI26" s="3" t="str">
        <f t="shared" si="34"/>
        <v/>
      </c>
      <c r="BJ26" s="3" t="str">
        <f t="shared" si="34"/>
        <v/>
      </c>
      <c r="BK26" s="3" t="str">
        <f t="shared" si="34"/>
        <v/>
      </c>
      <c r="BL26" s="3" t="str">
        <f t="shared" si="34"/>
        <v/>
      </c>
      <c r="BM26" s="3" t="str">
        <f t="shared" si="34"/>
        <v/>
      </c>
      <c r="BN26" s="3" t="str">
        <f t="shared" si="34"/>
        <v/>
      </c>
      <c r="BO26" s="3" t="str">
        <f t="shared" si="34"/>
        <v/>
      </c>
      <c r="BP26" s="3" t="str">
        <f t="shared" si="34"/>
        <v/>
      </c>
      <c r="BQ26" s="3" t="str">
        <f t="shared" si="34"/>
        <v/>
      </c>
      <c r="BR26" s="3" t="str">
        <f t="shared" si="34"/>
        <v/>
      </c>
      <c r="BS26" s="3" t="str">
        <f t="shared" si="34"/>
        <v/>
      </c>
      <c r="BT26" s="3" t="str">
        <f t="shared" si="34"/>
        <v/>
      </c>
      <c r="BU26" s="3" t="str">
        <f t="shared" si="34"/>
        <v/>
      </c>
      <c r="BV26" s="3" t="str">
        <f t="shared" si="34"/>
        <v/>
      </c>
      <c r="BW26" s="3" t="str">
        <f t="shared" si="34"/>
        <v/>
      </c>
      <c r="BX26" s="3" t="str">
        <f t="shared" si="34"/>
        <v/>
      </c>
      <c r="BY26" s="3" t="str">
        <f t="shared" si="34"/>
        <v/>
      </c>
      <c r="BZ26" s="3" t="str">
        <f t="shared" si="34"/>
        <v/>
      </c>
      <c r="CA26" s="3" t="str">
        <f t="shared" si="34"/>
        <v/>
      </c>
      <c r="CB26" s="3" t="str">
        <f t="shared" ref="CB26" si="35">IF(AK26=0,"",ROUNDUP(AK23/AK26,0))</f>
        <v/>
      </c>
      <c r="CC26" s="3" t="str">
        <f t="shared" ref="CC26" si="36">IF(AL26=0,"",ROUNDUP(AL23/AL26,0))</f>
        <v/>
      </c>
    </row>
    <row r="27" spans="1:81" ht="17.100000000000001" customHeight="1">
      <c r="A27" s="159"/>
      <c r="B27" s="30" t="s">
        <v>22</v>
      </c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40" t="str">
        <f t="shared" ref="AN27:AN33" si="37">IF(AM27="","",SUM(C27:AL27)*AM27)</f>
        <v/>
      </c>
      <c r="AO27" s="39"/>
      <c r="AP27" s="39"/>
      <c r="AQ27" s="42">
        <f t="shared" ref="AQ27:AQ33" si="38">(AO27+AR27)*AM27</f>
        <v>0</v>
      </c>
      <c r="AR27" s="22">
        <f t="shared" ref="AR27:AR33" si="39">AP27/36</f>
        <v>0</v>
      </c>
      <c r="AT27" s="3" t="str">
        <f t="shared" ref="AT27:CA27" si="40">IF(C27=0,"",ROUNDUP(C23/C27,0))</f>
        <v/>
      </c>
      <c r="AU27" s="3" t="str">
        <f t="shared" si="40"/>
        <v/>
      </c>
      <c r="AV27" s="3" t="str">
        <f t="shared" si="40"/>
        <v/>
      </c>
      <c r="AW27" s="3" t="str">
        <f t="shared" si="40"/>
        <v/>
      </c>
      <c r="AX27" s="3" t="str">
        <f t="shared" si="40"/>
        <v/>
      </c>
      <c r="AY27" s="3" t="str">
        <f t="shared" si="40"/>
        <v/>
      </c>
      <c r="AZ27" s="3" t="str">
        <f t="shared" si="40"/>
        <v/>
      </c>
      <c r="BA27" s="3" t="str">
        <f t="shared" si="40"/>
        <v/>
      </c>
      <c r="BB27" s="3" t="str">
        <f t="shared" si="40"/>
        <v/>
      </c>
      <c r="BC27" s="3" t="str">
        <f t="shared" si="40"/>
        <v/>
      </c>
      <c r="BD27" s="3" t="str">
        <f t="shared" si="40"/>
        <v/>
      </c>
      <c r="BE27" s="3" t="str">
        <f t="shared" si="40"/>
        <v/>
      </c>
      <c r="BF27" s="3" t="str">
        <f t="shared" si="40"/>
        <v/>
      </c>
      <c r="BG27" s="3" t="str">
        <f t="shared" si="40"/>
        <v/>
      </c>
      <c r="BH27" s="3" t="str">
        <f t="shared" si="40"/>
        <v/>
      </c>
      <c r="BI27" s="3" t="str">
        <f t="shared" si="40"/>
        <v/>
      </c>
      <c r="BJ27" s="3" t="str">
        <f t="shared" si="40"/>
        <v/>
      </c>
      <c r="BK27" s="3" t="str">
        <f t="shared" si="40"/>
        <v/>
      </c>
      <c r="BL27" s="3" t="str">
        <f t="shared" si="40"/>
        <v/>
      </c>
      <c r="BM27" s="3" t="str">
        <f t="shared" si="40"/>
        <v/>
      </c>
      <c r="BN27" s="3" t="str">
        <f t="shared" si="40"/>
        <v/>
      </c>
      <c r="BO27" s="3" t="str">
        <f t="shared" si="40"/>
        <v/>
      </c>
      <c r="BP27" s="3" t="str">
        <f t="shared" si="40"/>
        <v/>
      </c>
      <c r="BQ27" s="3" t="str">
        <f t="shared" si="40"/>
        <v/>
      </c>
      <c r="BR27" s="3" t="str">
        <f t="shared" si="40"/>
        <v/>
      </c>
      <c r="BS27" s="3" t="str">
        <f t="shared" si="40"/>
        <v/>
      </c>
      <c r="BT27" s="3" t="str">
        <f t="shared" si="40"/>
        <v/>
      </c>
      <c r="BU27" s="3" t="str">
        <f t="shared" si="40"/>
        <v/>
      </c>
      <c r="BV27" s="3" t="str">
        <f t="shared" si="40"/>
        <v/>
      </c>
      <c r="BW27" s="3" t="str">
        <f t="shared" si="40"/>
        <v/>
      </c>
      <c r="BX27" s="3" t="str">
        <f t="shared" si="40"/>
        <v/>
      </c>
      <c r="BY27" s="3" t="str">
        <f t="shared" si="40"/>
        <v/>
      </c>
      <c r="BZ27" s="3" t="str">
        <f t="shared" si="40"/>
        <v/>
      </c>
      <c r="CA27" s="3" t="str">
        <f t="shared" si="40"/>
        <v/>
      </c>
      <c r="CB27" s="3" t="str">
        <f t="shared" ref="CB27" si="41">IF(AK27=0,"",ROUNDUP(AK23/AK27,0))</f>
        <v/>
      </c>
      <c r="CC27" s="3" t="str">
        <f t="shared" ref="CC27" si="42">IF(AL27=0,"",ROUNDUP(AL23/AL27,0))</f>
        <v/>
      </c>
    </row>
    <row r="28" spans="1:81" ht="17.100000000000001" customHeight="1">
      <c r="A28" s="159"/>
      <c r="B28" s="30" t="s">
        <v>23</v>
      </c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40" t="str">
        <f t="shared" si="37"/>
        <v/>
      </c>
      <c r="AO28" s="39"/>
      <c r="AP28" s="39"/>
      <c r="AQ28" s="42">
        <f t="shared" si="38"/>
        <v>0</v>
      </c>
      <c r="AR28" s="22">
        <f t="shared" si="39"/>
        <v>0</v>
      </c>
      <c r="AT28" s="3" t="str">
        <f t="shared" ref="AT28:CA28" si="43">IF(C28=0,"",ROUNDUP(C23/C28,0))</f>
        <v/>
      </c>
      <c r="AU28" s="3" t="str">
        <f t="shared" si="43"/>
        <v/>
      </c>
      <c r="AV28" s="3" t="str">
        <f t="shared" si="43"/>
        <v/>
      </c>
      <c r="AW28" s="3" t="str">
        <f t="shared" si="43"/>
        <v/>
      </c>
      <c r="AX28" s="3" t="str">
        <f t="shared" si="43"/>
        <v/>
      </c>
      <c r="AY28" s="3" t="str">
        <f t="shared" si="43"/>
        <v/>
      </c>
      <c r="AZ28" s="3" t="str">
        <f t="shared" si="43"/>
        <v/>
      </c>
      <c r="BA28" s="3" t="str">
        <f t="shared" si="43"/>
        <v/>
      </c>
      <c r="BB28" s="3" t="str">
        <f t="shared" si="43"/>
        <v/>
      </c>
      <c r="BC28" s="3" t="str">
        <f t="shared" si="43"/>
        <v/>
      </c>
      <c r="BD28" s="3" t="str">
        <f t="shared" si="43"/>
        <v/>
      </c>
      <c r="BE28" s="3" t="str">
        <f t="shared" si="43"/>
        <v/>
      </c>
      <c r="BF28" s="3" t="str">
        <f t="shared" si="43"/>
        <v/>
      </c>
      <c r="BG28" s="3" t="str">
        <f t="shared" si="43"/>
        <v/>
      </c>
      <c r="BH28" s="3" t="str">
        <f t="shared" si="43"/>
        <v/>
      </c>
      <c r="BI28" s="3" t="str">
        <f t="shared" si="43"/>
        <v/>
      </c>
      <c r="BJ28" s="3" t="str">
        <f t="shared" si="43"/>
        <v/>
      </c>
      <c r="BK28" s="3" t="str">
        <f t="shared" si="43"/>
        <v/>
      </c>
      <c r="BL28" s="3" t="str">
        <f t="shared" si="43"/>
        <v/>
      </c>
      <c r="BM28" s="3" t="str">
        <f t="shared" si="43"/>
        <v/>
      </c>
      <c r="BN28" s="3" t="str">
        <f t="shared" si="43"/>
        <v/>
      </c>
      <c r="BO28" s="3" t="str">
        <f t="shared" si="43"/>
        <v/>
      </c>
      <c r="BP28" s="3" t="str">
        <f t="shared" si="43"/>
        <v/>
      </c>
      <c r="BQ28" s="3" t="str">
        <f t="shared" si="43"/>
        <v/>
      </c>
      <c r="BR28" s="3" t="str">
        <f t="shared" si="43"/>
        <v/>
      </c>
      <c r="BS28" s="3" t="str">
        <f t="shared" si="43"/>
        <v/>
      </c>
      <c r="BT28" s="3" t="str">
        <f t="shared" si="43"/>
        <v/>
      </c>
      <c r="BU28" s="3" t="str">
        <f t="shared" si="43"/>
        <v/>
      </c>
      <c r="BV28" s="3" t="str">
        <f t="shared" si="43"/>
        <v/>
      </c>
      <c r="BW28" s="3" t="str">
        <f t="shared" si="43"/>
        <v/>
      </c>
      <c r="BX28" s="3" t="str">
        <f t="shared" si="43"/>
        <v/>
      </c>
      <c r="BY28" s="3" t="str">
        <f t="shared" si="43"/>
        <v/>
      </c>
      <c r="BZ28" s="3" t="str">
        <f t="shared" si="43"/>
        <v/>
      </c>
      <c r="CA28" s="3" t="str">
        <f t="shared" si="43"/>
        <v/>
      </c>
      <c r="CB28" s="3" t="str">
        <f t="shared" ref="CB28" si="44">IF(AK28=0,"",ROUNDUP(AK23/AK28,0))</f>
        <v/>
      </c>
      <c r="CC28" s="3" t="str">
        <f t="shared" ref="CC28" si="45">IF(AL28=0,"",ROUNDUP(AL23/AL28,0))</f>
        <v/>
      </c>
    </row>
    <row r="29" spans="1:81" ht="17.100000000000001" customHeight="1">
      <c r="A29" s="159"/>
      <c r="B29" s="30" t="s">
        <v>24</v>
      </c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40" t="str">
        <f t="shared" si="37"/>
        <v/>
      </c>
      <c r="AO29" s="39"/>
      <c r="AP29" s="39"/>
      <c r="AQ29" s="42">
        <f t="shared" si="38"/>
        <v>0</v>
      </c>
      <c r="AR29" s="22">
        <f t="shared" si="39"/>
        <v>0</v>
      </c>
      <c r="AT29" s="3" t="str">
        <f t="shared" ref="AT29:CA29" si="46">IF(C29=0,"",ROUNDUP(C23/C29,0))</f>
        <v/>
      </c>
      <c r="AU29" s="3" t="str">
        <f t="shared" si="46"/>
        <v/>
      </c>
      <c r="AV29" s="3" t="str">
        <f t="shared" si="46"/>
        <v/>
      </c>
      <c r="AW29" s="3" t="str">
        <f t="shared" si="46"/>
        <v/>
      </c>
      <c r="AX29" s="3" t="str">
        <f t="shared" si="46"/>
        <v/>
      </c>
      <c r="AY29" s="3" t="str">
        <f t="shared" si="46"/>
        <v/>
      </c>
      <c r="AZ29" s="3" t="str">
        <f t="shared" si="46"/>
        <v/>
      </c>
      <c r="BA29" s="3" t="str">
        <f t="shared" si="46"/>
        <v/>
      </c>
      <c r="BB29" s="3" t="str">
        <f t="shared" si="46"/>
        <v/>
      </c>
      <c r="BC29" s="3" t="str">
        <f t="shared" si="46"/>
        <v/>
      </c>
      <c r="BD29" s="3" t="str">
        <f t="shared" si="46"/>
        <v/>
      </c>
      <c r="BE29" s="3" t="str">
        <f t="shared" si="46"/>
        <v/>
      </c>
      <c r="BF29" s="3" t="str">
        <f t="shared" si="46"/>
        <v/>
      </c>
      <c r="BG29" s="3" t="str">
        <f t="shared" si="46"/>
        <v/>
      </c>
      <c r="BH29" s="3" t="str">
        <f t="shared" si="46"/>
        <v/>
      </c>
      <c r="BI29" s="3" t="str">
        <f t="shared" si="46"/>
        <v/>
      </c>
      <c r="BJ29" s="3" t="str">
        <f t="shared" si="46"/>
        <v/>
      </c>
      <c r="BK29" s="3" t="str">
        <f t="shared" si="46"/>
        <v/>
      </c>
      <c r="BL29" s="3" t="str">
        <f t="shared" si="46"/>
        <v/>
      </c>
      <c r="BM29" s="3" t="str">
        <f t="shared" si="46"/>
        <v/>
      </c>
      <c r="BN29" s="3" t="str">
        <f t="shared" si="46"/>
        <v/>
      </c>
      <c r="BO29" s="3" t="str">
        <f t="shared" si="46"/>
        <v/>
      </c>
      <c r="BP29" s="3" t="str">
        <f t="shared" si="46"/>
        <v/>
      </c>
      <c r="BQ29" s="3" t="str">
        <f t="shared" si="46"/>
        <v/>
      </c>
      <c r="BR29" s="3" t="str">
        <f t="shared" si="46"/>
        <v/>
      </c>
      <c r="BS29" s="3" t="str">
        <f t="shared" si="46"/>
        <v/>
      </c>
      <c r="BT29" s="3" t="str">
        <f t="shared" si="46"/>
        <v/>
      </c>
      <c r="BU29" s="3" t="str">
        <f t="shared" si="46"/>
        <v/>
      </c>
      <c r="BV29" s="3" t="str">
        <f t="shared" si="46"/>
        <v/>
      </c>
      <c r="BW29" s="3" t="str">
        <f t="shared" si="46"/>
        <v/>
      </c>
      <c r="BX29" s="3" t="str">
        <f t="shared" si="46"/>
        <v/>
      </c>
      <c r="BY29" s="3" t="str">
        <f t="shared" si="46"/>
        <v/>
      </c>
      <c r="BZ29" s="3" t="str">
        <f t="shared" si="46"/>
        <v/>
      </c>
      <c r="CA29" s="3" t="str">
        <f t="shared" si="46"/>
        <v/>
      </c>
      <c r="CB29" s="3" t="str">
        <f t="shared" ref="CB29" si="47">IF(AK29=0,"",ROUNDUP(AK23/AK29,0))</f>
        <v/>
      </c>
      <c r="CC29" s="3" t="str">
        <f t="shared" ref="CC29" si="48">IF(AL29=0,"",ROUNDUP(AL23/AL29,0))</f>
        <v/>
      </c>
    </row>
    <row r="30" spans="1:81" ht="17.100000000000001" customHeight="1">
      <c r="A30" s="159"/>
      <c r="B30" s="30" t="s">
        <v>25</v>
      </c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40" t="str">
        <f t="shared" si="37"/>
        <v/>
      </c>
      <c r="AO30" s="39"/>
      <c r="AP30" s="39"/>
      <c r="AQ30" s="42">
        <f t="shared" si="38"/>
        <v>0</v>
      </c>
      <c r="AR30" s="22">
        <f t="shared" si="39"/>
        <v>0</v>
      </c>
      <c r="AT30" s="3" t="str">
        <f t="shared" ref="AT30:CA30" si="49">IF(C30=0,"",ROUNDUP(C23/C30,0))</f>
        <v/>
      </c>
      <c r="AU30" s="3" t="str">
        <f t="shared" si="49"/>
        <v/>
      </c>
      <c r="AV30" s="3" t="str">
        <f t="shared" si="49"/>
        <v/>
      </c>
      <c r="AW30" s="3" t="str">
        <f t="shared" si="49"/>
        <v/>
      </c>
      <c r="AX30" s="3" t="str">
        <f t="shared" si="49"/>
        <v/>
      </c>
      <c r="AY30" s="3" t="str">
        <f t="shared" si="49"/>
        <v/>
      </c>
      <c r="AZ30" s="3" t="str">
        <f t="shared" si="49"/>
        <v/>
      </c>
      <c r="BA30" s="3" t="str">
        <f t="shared" si="49"/>
        <v/>
      </c>
      <c r="BB30" s="3" t="str">
        <f t="shared" si="49"/>
        <v/>
      </c>
      <c r="BC30" s="3" t="str">
        <f t="shared" si="49"/>
        <v/>
      </c>
      <c r="BD30" s="3" t="str">
        <f t="shared" si="49"/>
        <v/>
      </c>
      <c r="BE30" s="3" t="str">
        <f t="shared" si="49"/>
        <v/>
      </c>
      <c r="BF30" s="3" t="str">
        <f t="shared" si="49"/>
        <v/>
      </c>
      <c r="BG30" s="3" t="str">
        <f t="shared" si="49"/>
        <v/>
      </c>
      <c r="BH30" s="3" t="str">
        <f t="shared" si="49"/>
        <v/>
      </c>
      <c r="BI30" s="3" t="str">
        <f t="shared" si="49"/>
        <v/>
      </c>
      <c r="BJ30" s="3" t="str">
        <f t="shared" si="49"/>
        <v/>
      </c>
      <c r="BK30" s="3" t="str">
        <f t="shared" si="49"/>
        <v/>
      </c>
      <c r="BL30" s="3" t="str">
        <f t="shared" si="49"/>
        <v/>
      </c>
      <c r="BM30" s="3" t="str">
        <f t="shared" si="49"/>
        <v/>
      </c>
      <c r="BN30" s="3" t="str">
        <f t="shared" si="49"/>
        <v/>
      </c>
      <c r="BO30" s="3" t="str">
        <f t="shared" si="49"/>
        <v/>
      </c>
      <c r="BP30" s="3" t="str">
        <f t="shared" si="49"/>
        <v/>
      </c>
      <c r="BQ30" s="3" t="str">
        <f t="shared" si="49"/>
        <v/>
      </c>
      <c r="BR30" s="3" t="str">
        <f t="shared" si="49"/>
        <v/>
      </c>
      <c r="BS30" s="3" t="str">
        <f t="shared" si="49"/>
        <v/>
      </c>
      <c r="BT30" s="3" t="str">
        <f t="shared" si="49"/>
        <v/>
      </c>
      <c r="BU30" s="3" t="str">
        <f t="shared" si="49"/>
        <v/>
      </c>
      <c r="BV30" s="3" t="str">
        <f t="shared" si="49"/>
        <v/>
      </c>
      <c r="BW30" s="3" t="str">
        <f t="shared" si="49"/>
        <v/>
      </c>
      <c r="BX30" s="3" t="str">
        <f t="shared" si="49"/>
        <v/>
      </c>
      <c r="BY30" s="3" t="str">
        <f t="shared" si="49"/>
        <v/>
      </c>
      <c r="BZ30" s="3" t="str">
        <f t="shared" si="49"/>
        <v/>
      </c>
      <c r="CA30" s="3" t="str">
        <f t="shared" si="49"/>
        <v/>
      </c>
      <c r="CB30" s="3" t="str">
        <f t="shared" ref="CB30" si="50">IF(AK30=0,"",ROUNDUP(AK23/AK30,0))</f>
        <v/>
      </c>
      <c r="CC30" s="3" t="str">
        <f t="shared" ref="CC30" si="51">IF(AL30=0,"",ROUNDUP(AL23/AL30,0))</f>
        <v/>
      </c>
    </row>
    <row r="31" spans="1:81" ht="17.100000000000001" customHeight="1">
      <c r="A31" s="159"/>
      <c r="B31" s="30" t="s">
        <v>26</v>
      </c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40" t="str">
        <f>IF(AM31="","",SUM(C31:AL31)*AM31)</f>
        <v/>
      </c>
      <c r="AO31" s="39"/>
      <c r="AP31" s="39"/>
      <c r="AQ31" s="42">
        <f t="shared" si="38"/>
        <v>0</v>
      </c>
      <c r="AR31" s="22">
        <f t="shared" si="39"/>
        <v>0</v>
      </c>
      <c r="AT31" s="3" t="str">
        <f t="shared" ref="AT31:CA31" si="52">IF(C31=0,"",ROUNDUP(C23/C31,0))</f>
        <v/>
      </c>
      <c r="AU31" s="3" t="str">
        <f t="shared" si="52"/>
        <v/>
      </c>
      <c r="AV31" s="3" t="str">
        <f t="shared" si="52"/>
        <v/>
      </c>
      <c r="AW31" s="3" t="str">
        <f t="shared" si="52"/>
        <v/>
      </c>
      <c r="AX31" s="3" t="str">
        <f t="shared" si="52"/>
        <v/>
      </c>
      <c r="AY31" s="3" t="str">
        <f t="shared" si="52"/>
        <v/>
      </c>
      <c r="AZ31" s="3" t="str">
        <f t="shared" si="52"/>
        <v/>
      </c>
      <c r="BA31" s="3" t="str">
        <f t="shared" si="52"/>
        <v/>
      </c>
      <c r="BB31" s="3" t="str">
        <f t="shared" si="52"/>
        <v/>
      </c>
      <c r="BC31" s="3" t="str">
        <f t="shared" si="52"/>
        <v/>
      </c>
      <c r="BD31" s="3" t="str">
        <f t="shared" si="52"/>
        <v/>
      </c>
      <c r="BE31" s="3" t="str">
        <f t="shared" si="52"/>
        <v/>
      </c>
      <c r="BF31" s="3" t="str">
        <f t="shared" si="52"/>
        <v/>
      </c>
      <c r="BG31" s="3" t="str">
        <f t="shared" si="52"/>
        <v/>
      </c>
      <c r="BH31" s="3" t="str">
        <f t="shared" si="52"/>
        <v/>
      </c>
      <c r="BI31" s="3" t="str">
        <f t="shared" si="52"/>
        <v/>
      </c>
      <c r="BJ31" s="3" t="str">
        <f t="shared" si="52"/>
        <v/>
      </c>
      <c r="BK31" s="3" t="str">
        <f t="shared" si="52"/>
        <v/>
      </c>
      <c r="BL31" s="3" t="str">
        <f t="shared" si="52"/>
        <v/>
      </c>
      <c r="BM31" s="3" t="str">
        <f t="shared" si="52"/>
        <v/>
      </c>
      <c r="BN31" s="3" t="str">
        <f t="shared" si="52"/>
        <v/>
      </c>
      <c r="BO31" s="3" t="str">
        <f t="shared" si="52"/>
        <v/>
      </c>
      <c r="BP31" s="3" t="str">
        <f t="shared" si="52"/>
        <v/>
      </c>
      <c r="BQ31" s="3" t="str">
        <f t="shared" si="52"/>
        <v/>
      </c>
      <c r="BR31" s="3" t="str">
        <f t="shared" si="52"/>
        <v/>
      </c>
      <c r="BS31" s="3" t="str">
        <f t="shared" si="52"/>
        <v/>
      </c>
      <c r="BT31" s="3" t="str">
        <f t="shared" si="52"/>
        <v/>
      </c>
      <c r="BU31" s="3" t="str">
        <f t="shared" si="52"/>
        <v/>
      </c>
      <c r="BV31" s="3" t="str">
        <f t="shared" si="52"/>
        <v/>
      </c>
      <c r="BW31" s="3" t="str">
        <f t="shared" si="52"/>
        <v/>
      </c>
      <c r="BX31" s="3" t="str">
        <f t="shared" si="52"/>
        <v/>
      </c>
      <c r="BY31" s="3" t="str">
        <f t="shared" si="52"/>
        <v/>
      </c>
      <c r="BZ31" s="3" t="str">
        <f t="shared" si="52"/>
        <v/>
      </c>
      <c r="CA31" s="3" t="str">
        <f t="shared" si="52"/>
        <v/>
      </c>
      <c r="CB31" s="3" t="str">
        <f t="shared" ref="CB31" si="53">IF(AK31=0,"",ROUNDUP(AK23/AK31,0))</f>
        <v/>
      </c>
      <c r="CC31" s="3" t="str">
        <f t="shared" ref="CC31" si="54">IF(AL31=0,"",ROUNDUP(AL23/AL31,0))</f>
        <v/>
      </c>
    </row>
    <row r="32" spans="1:81" ht="17.100000000000001" customHeight="1">
      <c r="A32" s="159"/>
      <c r="B32" s="30" t="s">
        <v>27</v>
      </c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40" t="str">
        <f t="shared" si="37"/>
        <v/>
      </c>
      <c r="AO32" s="39"/>
      <c r="AP32" s="39"/>
      <c r="AQ32" s="42">
        <f t="shared" si="38"/>
        <v>0</v>
      </c>
      <c r="AR32" s="22">
        <f t="shared" si="39"/>
        <v>0</v>
      </c>
      <c r="AT32" s="3" t="str">
        <f t="shared" ref="AT32:CA32" si="55">IF(C32=0,"",ROUNDUP(C23/C32,0))</f>
        <v/>
      </c>
      <c r="AU32" s="3" t="str">
        <f t="shared" si="55"/>
        <v/>
      </c>
      <c r="AV32" s="3" t="str">
        <f t="shared" si="55"/>
        <v/>
      </c>
      <c r="AW32" s="3" t="str">
        <f t="shared" si="55"/>
        <v/>
      </c>
      <c r="AX32" s="3" t="str">
        <f t="shared" si="55"/>
        <v/>
      </c>
      <c r="AY32" s="3" t="str">
        <f t="shared" si="55"/>
        <v/>
      </c>
      <c r="AZ32" s="3" t="str">
        <f t="shared" si="55"/>
        <v/>
      </c>
      <c r="BA32" s="3" t="str">
        <f t="shared" si="55"/>
        <v/>
      </c>
      <c r="BB32" s="3" t="str">
        <f t="shared" si="55"/>
        <v/>
      </c>
      <c r="BC32" s="3" t="str">
        <f t="shared" si="55"/>
        <v/>
      </c>
      <c r="BD32" s="3" t="str">
        <f t="shared" si="55"/>
        <v/>
      </c>
      <c r="BE32" s="3" t="str">
        <f t="shared" si="55"/>
        <v/>
      </c>
      <c r="BF32" s="3" t="str">
        <f t="shared" si="55"/>
        <v/>
      </c>
      <c r="BG32" s="3" t="str">
        <f t="shared" si="55"/>
        <v/>
      </c>
      <c r="BH32" s="3" t="str">
        <f t="shared" si="55"/>
        <v/>
      </c>
      <c r="BI32" s="3" t="str">
        <f t="shared" si="55"/>
        <v/>
      </c>
      <c r="BJ32" s="3" t="str">
        <f t="shared" si="55"/>
        <v/>
      </c>
      <c r="BK32" s="3" t="str">
        <f t="shared" si="55"/>
        <v/>
      </c>
      <c r="BL32" s="3" t="str">
        <f t="shared" si="55"/>
        <v/>
      </c>
      <c r="BM32" s="3" t="str">
        <f t="shared" si="55"/>
        <v/>
      </c>
      <c r="BN32" s="3" t="str">
        <f t="shared" si="55"/>
        <v/>
      </c>
      <c r="BO32" s="3" t="str">
        <f t="shared" si="55"/>
        <v/>
      </c>
      <c r="BP32" s="3" t="str">
        <f t="shared" si="55"/>
        <v/>
      </c>
      <c r="BQ32" s="3" t="str">
        <f t="shared" si="55"/>
        <v/>
      </c>
      <c r="BR32" s="3" t="str">
        <f t="shared" si="55"/>
        <v/>
      </c>
      <c r="BS32" s="3" t="str">
        <f t="shared" si="55"/>
        <v/>
      </c>
      <c r="BT32" s="3" t="str">
        <f t="shared" si="55"/>
        <v/>
      </c>
      <c r="BU32" s="3" t="str">
        <f t="shared" si="55"/>
        <v/>
      </c>
      <c r="BV32" s="3" t="str">
        <f t="shared" si="55"/>
        <v/>
      </c>
      <c r="BW32" s="3" t="str">
        <f t="shared" si="55"/>
        <v/>
      </c>
      <c r="BX32" s="3" t="str">
        <f t="shared" si="55"/>
        <v/>
      </c>
      <c r="BY32" s="3" t="str">
        <f t="shared" si="55"/>
        <v/>
      </c>
      <c r="BZ32" s="3" t="str">
        <f t="shared" si="55"/>
        <v/>
      </c>
      <c r="CA32" s="3" t="str">
        <f t="shared" si="55"/>
        <v/>
      </c>
      <c r="CB32" s="3" t="str">
        <f t="shared" ref="CB32" si="56">IF(AK32=0,"",ROUNDUP(AK23/AK32,0))</f>
        <v/>
      </c>
      <c r="CC32" s="3" t="str">
        <f t="shared" ref="CC32" si="57">IF(AL32=0,"",ROUNDUP(AL23/AL32,0))</f>
        <v/>
      </c>
    </row>
    <row r="33" spans="1:81" ht="17.100000000000001" customHeight="1">
      <c r="A33" s="159"/>
      <c r="B33" s="30" t="s">
        <v>28</v>
      </c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41" t="str">
        <f t="shared" si="37"/>
        <v/>
      </c>
      <c r="AO33" s="39"/>
      <c r="AP33" s="39"/>
      <c r="AQ33" s="42">
        <f t="shared" si="38"/>
        <v>0</v>
      </c>
      <c r="AR33" s="22">
        <f t="shared" si="39"/>
        <v>0</v>
      </c>
      <c r="AT33" s="3" t="str">
        <f t="shared" ref="AT33:CA33" si="58">IF(C33=0,"",ROUNDUP(C23/C33,0))</f>
        <v/>
      </c>
      <c r="AU33" s="3" t="str">
        <f t="shared" si="58"/>
        <v/>
      </c>
      <c r="AV33" s="3" t="str">
        <f t="shared" si="58"/>
        <v/>
      </c>
      <c r="AW33" s="3" t="str">
        <f t="shared" si="58"/>
        <v/>
      </c>
      <c r="AX33" s="3" t="str">
        <f t="shared" si="58"/>
        <v/>
      </c>
      <c r="AY33" s="3" t="str">
        <f t="shared" si="58"/>
        <v/>
      </c>
      <c r="AZ33" s="3" t="str">
        <f t="shared" si="58"/>
        <v/>
      </c>
      <c r="BA33" s="3" t="str">
        <f t="shared" si="58"/>
        <v/>
      </c>
      <c r="BB33" s="3" t="str">
        <f t="shared" si="58"/>
        <v/>
      </c>
      <c r="BC33" s="3" t="str">
        <f t="shared" si="58"/>
        <v/>
      </c>
      <c r="BD33" s="3" t="str">
        <f t="shared" si="58"/>
        <v/>
      </c>
      <c r="BE33" s="3" t="str">
        <f t="shared" si="58"/>
        <v/>
      </c>
      <c r="BF33" s="3" t="str">
        <f t="shared" si="58"/>
        <v/>
      </c>
      <c r="BG33" s="3" t="str">
        <f t="shared" si="58"/>
        <v/>
      </c>
      <c r="BH33" s="3" t="str">
        <f t="shared" si="58"/>
        <v/>
      </c>
      <c r="BI33" s="3" t="str">
        <f t="shared" si="58"/>
        <v/>
      </c>
      <c r="BJ33" s="3" t="str">
        <f t="shared" si="58"/>
        <v/>
      </c>
      <c r="BK33" s="3" t="str">
        <f t="shared" si="58"/>
        <v/>
      </c>
      <c r="BL33" s="3" t="str">
        <f t="shared" si="58"/>
        <v/>
      </c>
      <c r="BM33" s="3" t="str">
        <f t="shared" si="58"/>
        <v/>
      </c>
      <c r="BN33" s="3" t="str">
        <f t="shared" si="58"/>
        <v/>
      </c>
      <c r="BO33" s="3" t="str">
        <f t="shared" si="58"/>
        <v/>
      </c>
      <c r="BP33" s="3" t="str">
        <f t="shared" si="58"/>
        <v/>
      </c>
      <c r="BQ33" s="3" t="str">
        <f t="shared" si="58"/>
        <v/>
      </c>
      <c r="BR33" s="3" t="str">
        <f t="shared" si="58"/>
        <v/>
      </c>
      <c r="BS33" s="3" t="str">
        <f t="shared" si="58"/>
        <v/>
      </c>
      <c r="BT33" s="3" t="str">
        <f t="shared" si="58"/>
        <v/>
      </c>
      <c r="BU33" s="3" t="str">
        <f t="shared" si="58"/>
        <v/>
      </c>
      <c r="BV33" s="3" t="str">
        <f t="shared" si="58"/>
        <v/>
      </c>
      <c r="BW33" s="3" t="str">
        <f t="shared" si="58"/>
        <v/>
      </c>
      <c r="BX33" s="3" t="str">
        <f t="shared" si="58"/>
        <v/>
      </c>
      <c r="BY33" s="3" t="str">
        <f t="shared" si="58"/>
        <v/>
      </c>
      <c r="BZ33" s="3" t="str">
        <f t="shared" si="58"/>
        <v/>
      </c>
      <c r="CA33" s="3" t="str">
        <f t="shared" si="58"/>
        <v/>
      </c>
      <c r="CB33" s="3" t="str">
        <f t="shared" ref="CB33" si="59">IF(AK33=0,"",ROUNDUP(AK23/AK33,0))</f>
        <v/>
      </c>
      <c r="CC33" s="3" t="str">
        <f t="shared" ref="CC33" si="60">IF(AL33=0,"",ROUNDUP(AL23/AL33,0))</f>
        <v/>
      </c>
    </row>
    <row r="34" spans="1:81" ht="17.100000000000001" customHeight="1" thickBot="1">
      <c r="AN34" s="7">
        <f>SUM(AN26:AN33)</f>
        <v>0</v>
      </c>
      <c r="AQ34" s="12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ht="21.95" customHeight="1" thickBot="1">
      <c r="A35" s="160">
        <v>3</v>
      </c>
      <c r="B35" s="161"/>
      <c r="C35" s="162"/>
      <c r="AQ35" s="12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ht="17.100000000000001" customHeight="1">
      <c r="A36" s="51" t="s">
        <v>29</v>
      </c>
      <c r="B36" s="50"/>
      <c r="C36" s="147" t="s">
        <v>10</v>
      </c>
      <c r="D36" s="148"/>
      <c r="E36" s="148"/>
      <c r="F36" s="148"/>
      <c r="G36" s="148"/>
      <c r="H36" s="148"/>
      <c r="I36" s="148"/>
      <c r="J36" s="148"/>
      <c r="K36" s="148"/>
      <c r="L36" s="148"/>
      <c r="M36" s="148"/>
      <c r="N36" s="148"/>
      <c r="O36" s="148"/>
      <c r="P36" s="148"/>
      <c r="Q36" s="148"/>
      <c r="R36" s="148"/>
      <c r="S36" s="148"/>
      <c r="T36" s="148"/>
      <c r="U36" s="148"/>
      <c r="V36" s="148"/>
      <c r="W36" s="148"/>
      <c r="X36" s="148"/>
      <c r="Y36" s="148"/>
      <c r="Z36" s="148"/>
      <c r="AA36" s="148"/>
      <c r="AB36" s="148"/>
      <c r="AC36" s="148"/>
      <c r="AD36" s="148"/>
      <c r="AE36" s="148"/>
      <c r="AF36" s="148"/>
      <c r="AG36" s="148"/>
      <c r="AH36" s="148"/>
      <c r="AI36" s="148"/>
      <c r="AJ36" s="148"/>
      <c r="AK36" s="148"/>
      <c r="AL36" s="148"/>
      <c r="AM36" s="37"/>
      <c r="AN36" s="31"/>
      <c r="AO36" s="35" t="s">
        <v>4</v>
      </c>
      <c r="AP36" s="149"/>
      <c r="AQ36" s="150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ht="27">
      <c r="A37" s="52" t="s">
        <v>36</v>
      </c>
      <c r="B37" s="50"/>
      <c r="C37" s="26" t="str">
        <f t="shared" ref="C37" si="61">IF(C21=0,"",IF(C21&gt;0,C21))</f>
        <v/>
      </c>
      <c r="D37" s="26" t="str">
        <f t="shared" ref="D37:AL37" si="62">IF(D21=0,"",IF(D21&gt;0,D21))</f>
        <v/>
      </c>
      <c r="E37" s="26" t="str">
        <f t="shared" si="62"/>
        <v/>
      </c>
      <c r="F37" s="26" t="str">
        <f t="shared" si="62"/>
        <v/>
      </c>
      <c r="G37" s="26" t="str">
        <f t="shared" si="62"/>
        <v/>
      </c>
      <c r="H37" s="26" t="str">
        <f t="shared" si="62"/>
        <v/>
      </c>
      <c r="I37" s="26" t="str">
        <f t="shared" si="62"/>
        <v/>
      </c>
      <c r="J37" s="26" t="str">
        <f t="shared" si="62"/>
        <v/>
      </c>
      <c r="K37" s="26" t="str">
        <f t="shared" si="62"/>
        <v/>
      </c>
      <c r="L37" s="26" t="str">
        <f t="shared" si="62"/>
        <v/>
      </c>
      <c r="M37" s="26" t="str">
        <f t="shared" si="62"/>
        <v/>
      </c>
      <c r="N37" s="26" t="str">
        <f t="shared" si="62"/>
        <v/>
      </c>
      <c r="O37" s="26" t="str">
        <f t="shared" si="62"/>
        <v/>
      </c>
      <c r="P37" s="26" t="str">
        <f t="shared" si="62"/>
        <v/>
      </c>
      <c r="Q37" s="26" t="str">
        <f t="shared" si="62"/>
        <v/>
      </c>
      <c r="R37" s="26" t="str">
        <f t="shared" si="62"/>
        <v/>
      </c>
      <c r="S37" s="26" t="str">
        <f t="shared" si="62"/>
        <v/>
      </c>
      <c r="T37" s="26" t="str">
        <f t="shared" si="62"/>
        <v/>
      </c>
      <c r="U37" s="26" t="str">
        <f t="shared" si="62"/>
        <v/>
      </c>
      <c r="V37" s="26" t="str">
        <f t="shared" si="62"/>
        <v/>
      </c>
      <c r="W37" s="26" t="str">
        <f t="shared" si="62"/>
        <v/>
      </c>
      <c r="X37" s="26" t="str">
        <f t="shared" si="62"/>
        <v/>
      </c>
      <c r="Y37" s="26" t="str">
        <f t="shared" si="62"/>
        <v/>
      </c>
      <c r="Z37" s="26" t="str">
        <f t="shared" si="62"/>
        <v/>
      </c>
      <c r="AA37" s="26" t="str">
        <f t="shared" si="62"/>
        <v/>
      </c>
      <c r="AB37" s="26" t="str">
        <f t="shared" si="62"/>
        <v/>
      </c>
      <c r="AC37" s="26" t="str">
        <f t="shared" si="62"/>
        <v/>
      </c>
      <c r="AD37" s="26" t="str">
        <f t="shared" si="62"/>
        <v/>
      </c>
      <c r="AE37" s="26" t="str">
        <f t="shared" si="62"/>
        <v/>
      </c>
      <c r="AF37" s="26" t="str">
        <f t="shared" si="62"/>
        <v/>
      </c>
      <c r="AG37" s="26" t="str">
        <f t="shared" si="62"/>
        <v/>
      </c>
      <c r="AH37" s="26" t="str">
        <f t="shared" si="62"/>
        <v/>
      </c>
      <c r="AI37" s="26" t="str">
        <f t="shared" si="62"/>
        <v/>
      </c>
      <c r="AJ37" s="26" t="str">
        <f t="shared" si="62"/>
        <v/>
      </c>
      <c r="AK37" s="26" t="str">
        <f t="shared" si="62"/>
        <v/>
      </c>
      <c r="AL37" s="26" t="str">
        <f t="shared" si="62"/>
        <v/>
      </c>
      <c r="AM37" s="5" t="s">
        <v>2</v>
      </c>
      <c r="AN37" s="31"/>
      <c r="AO37" s="32" t="s">
        <v>5</v>
      </c>
      <c r="AP37" s="151">
        <f>SUM(AQ42:AQ49)</f>
        <v>0</v>
      </c>
      <c r="AQ37" s="151"/>
      <c r="AT37" s="2" t="str">
        <f t="shared" ref="AT37:BY37" si="63">IF(C37=0,"",IF(C37&gt;0,C37))</f>
        <v/>
      </c>
      <c r="AU37" s="2" t="str">
        <f t="shared" si="63"/>
        <v/>
      </c>
      <c r="AV37" s="2" t="str">
        <f t="shared" si="63"/>
        <v/>
      </c>
      <c r="AW37" s="2" t="str">
        <f t="shared" si="63"/>
        <v/>
      </c>
      <c r="AX37" s="2" t="str">
        <f t="shared" si="63"/>
        <v/>
      </c>
      <c r="AY37" s="2" t="str">
        <f t="shared" si="63"/>
        <v/>
      </c>
      <c r="AZ37" s="2" t="str">
        <f t="shared" si="63"/>
        <v/>
      </c>
      <c r="BA37" s="2" t="str">
        <f t="shared" si="63"/>
        <v/>
      </c>
      <c r="BB37" s="2" t="str">
        <f t="shared" si="63"/>
        <v/>
      </c>
      <c r="BC37" s="2" t="str">
        <f t="shared" si="63"/>
        <v/>
      </c>
      <c r="BD37" s="2" t="str">
        <f t="shared" si="63"/>
        <v/>
      </c>
      <c r="BE37" s="2" t="str">
        <f t="shared" si="63"/>
        <v/>
      </c>
      <c r="BF37" s="2" t="str">
        <f t="shared" si="63"/>
        <v/>
      </c>
      <c r="BG37" s="2" t="str">
        <f t="shared" si="63"/>
        <v/>
      </c>
      <c r="BH37" s="2" t="str">
        <f t="shared" si="63"/>
        <v/>
      </c>
      <c r="BI37" s="2" t="str">
        <f t="shared" si="63"/>
        <v/>
      </c>
      <c r="BJ37" s="2" t="str">
        <f t="shared" si="63"/>
        <v/>
      </c>
      <c r="BK37" s="2" t="str">
        <f t="shared" si="63"/>
        <v/>
      </c>
      <c r="BL37" s="2" t="str">
        <f t="shared" si="63"/>
        <v/>
      </c>
      <c r="BM37" s="2" t="str">
        <f t="shared" si="63"/>
        <v/>
      </c>
      <c r="BN37" s="2" t="str">
        <f t="shared" si="63"/>
        <v/>
      </c>
      <c r="BO37" s="2" t="str">
        <f t="shared" si="63"/>
        <v/>
      </c>
      <c r="BP37" s="2" t="str">
        <f t="shared" si="63"/>
        <v/>
      </c>
      <c r="BQ37" s="2" t="str">
        <f t="shared" si="63"/>
        <v/>
      </c>
      <c r="BR37" s="2" t="str">
        <f t="shared" si="63"/>
        <v/>
      </c>
      <c r="BS37" s="2" t="str">
        <f t="shared" si="63"/>
        <v/>
      </c>
      <c r="BT37" s="2" t="str">
        <f t="shared" si="63"/>
        <v/>
      </c>
      <c r="BU37" s="2" t="str">
        <f t="shared" si="63"/>
        <v/>
      </c>
      <c r="BV37" s="2" t="str">
        <f t="shared" si="63"/>
        <v/>
      </c>
      <c r="BW37" s="2" t="str">
        <f t="shared" si="63"/>
        <v/>
      </c>
      <c r="BX37" s="2" t="str">
        <f t="shared" si="63"/>
        <v/>
      </c>
      <c r="BY37" s="2" t="str">
        <f t="shared" si="63"/>
        <v/>
      </c>
      <c r="BZ37" s="2" t="str">
        <f t="shared" ref="BZ37" si="64">IF(AI37=0,"",IF(AI37&gt;0,AI37))</f>
        <v/>
      </c>
      <c r="CA37" s="2" t="str">
        <f t="shared" ref="CA37" si="65">IF(AJ37=0,"",IF(AJ37&gt;0,AJ37))</f>
        <v/>
      </c>
      <c r="CB37" s="2" t="str">
        <f t="shared" ref="CB37" si="66">IF(AK37=0,"",IF(AK37&gt;0,AK37))</f>
        <v/>
      </c>
      <c r="CC37" s="2" t="str">
        <f t="shared" ref="CC37" si="67">IF(AL37=0,"",IF(AL37&gt;0,AL37))</f>
        <v/>
      </c>
    </row>
    <row r="38" spans="1:81" ht="17.100000000000001" customHeight="1">
      <c r="A38" s="152" t="s">
        <v>30</v>
      </c>
      <c r="B38" s="153"/>
      <c r="C38" s="46"/>
      <c r="D38" s="46"/>
      <c r="E38" s="46"/>
      <c r="F38" s="46"/>
      <c r="G38" s="46"/>
      <c r="H38" s="46"/>
      <c r="I38" s="46"/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5">
        <f>SUM(C38:AL38)</f>
        <v>0</v>
      </c>
      <c r="AN38" s="33"/>
      <c r="AO38" s="34" t="str">
        <f>IF(AP38&lt;5,"NO ",IF(AP38=5,"ok",IF(AP38&gt;5,"ok")))</f>
        <v xml:space="preserve">NO </v>
      </c>
      <c r="AP38" s="154">
        <f>AP36-AP37-AP39</f>
        <v>0</v>
      </c>
      <c r="AQ38" s="154"/>
      <c r="AR38" s="16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</row>
    <row r="39" spans="1:81" ht="17.100000000000001" customHeight="1">
      <c r="A39" s="152"/>
      <c r="B39" s="153"/>
      <c r="C39" s="47" t="str">
        <f>IF(C37="","",C38-C42*$AM42-C43*$AM43-C44*$AM44-C45*$AM45-C46*$AM46-C47*$AM47-C48*$AM48-C49*$AM49)</f>
        <v/>
      </c>
      <c r="D39" s="47" t="str">
        <f t="shared" ref="D39:AL39" si="68">IF(D37="","",D38-D42*$AM42-D43*$AM43-D44*$AM44-D45*$AM45-D46*$AM46-D47*$AM47-D48*$AM48-D49*$AM49)</f>
        <v/>
      </c>
      <c r="E39" s="47" t="str">
        <f t="shared" si="68"/>
        <v/>
      </c>
      <c r="F39" s="47" t="str">
        <f t="shared" si="68"/>
        <v/>
      </c>
      <c r="G39" s="47" t="str">
        <f t="shared" si="68"/>
        <v/>
      </c>
      <c r="H39" s="47" t="str">
        <f t="shared" si="68"/>
        <v/>
      </c>
      <c r="I39" s="47" t="str">
        <f t="shared" si="68"/>
        <v/>
      </c>
      <c r="J39" s="47" t="str">
        <f t="shared" si="68"/>
        <v/>
      </c>
      <c r="K39" s="47" t="str">
        <f t="shared" si="68"/>
        <v/>
      </c>
      <c r="L39" s="47" t="str">
        <f t="shared" si="68"/>
        <v/>
      </c>
      <c r="M39" s="47" t="str">
        <f t="shared" si="68"/>
        <v/>
      </c>
      <c r="N39" s="47" t="str">
        <f t="shared" si="68"/>
        <v/>
      </c>
      <c r="O39" s="47" t="str">
        <f t="shared" si="68"/>
        <v/>
      </c>
      <c r="P39" s="47" t="str">
        <f t="shared" si="68"/>
        <v/>
      </c>
      <c r="Q39" s="47" t="str">
        <f t="shared" si="68"/>
        <v/>
      </c>
      <c r="R39" s="47" t="str">
        <f t="shared" si="68"/>
        <v/>
      </c>
      <c r="S39" s="47" t="str">
        <f t="shared" si="68"/>
        <v/>
      </c>
      <c r="T39" s="47" t="str">
        <f t="shared" si="68"/>
        <v/>
      </c>
      <c r="U39" s="47" t="str">
        <f t="shared" si="68"/>
        <v/>
      </c>
      <c r="V39" s="47" t="str">
        <f t="shared" si="68"/>
        <v/>
      </c>
      <c r="W39" s="47" t="str">
        <f t="shared" si="68"/>
        <v/>
      </c>
      <c r="X39" s="47" t="str">
        <f t="shared" si="68"/>
        <v/>
      </c>
      <c r="Y39" s="47" t="str">
        <f t="shared" si="68"/>
        <v/>
      </c>
      <c r="Z39" s="47" t="str">
        <f t="shared" si="68"/>
        <v/>
      </c>
      <c r="AA39" s="47" t="str">
        <f t="shared" si="68"/>
        <v/>
      </c>
      <c r="AB39" s="47" t="str">
        <f t="shared" si="68"/>
        <v/>
      </c>
      <c r="AC39" s="47" t="str">
        <f t="shared" si="68"/>
        <v/>
      </c>
      <c r="AD39" s="47" t="str">
        <f t="shared" si="68"/>
        <v/>
      </c>
      <c r="AE39" s="47" t="str">
        <f t="shared" si="68"/>
        <v/>
      </c>
      <c r="AF39" s="47" t="str">
        <f t="shared" si="68"/>
        <v/>
      </c>
      <c r="AG39" s="47" t="str">
        <f t="shared" si="68"/>
        <v/>
      </c>
      <c r="AH39" s="47" t="str">
        <f t="shared" si="68"/>
        <v/>
      </c>
      <c r="AI39" s="47" t="str">
        <f t="shared" si="68"/>
        <v/>
      </c>
      <c r="AJ39" s="47" t="str">
        <f t="shared" si="68"/>
        <v/>
      </c>
      <c r="AK39" s="47" t="str">
        <f t="shared" si="68"/>
        <v/>
      </c>
      <c r="AL39" s="47" t="str">
        <f t="shared" si="68"/>
        <v/>
      </c>
      <c r="AM39" s="45">
        <f>SUM(C39:AL39)</f>
        <v>0</v>
      </c>
      <c r="AN39" s="155" t="s">
        <v>33</v>
      </c>
      <c r="AO39" s="156"/>
      <c r="AP39" s="157"/>
      <c r="AQ39" s="158"/>
      <c r="AR39" s="17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</row>
    <row r="40" spans="1:81" ht="17.100000000000001" customHeight="1">
      <c r="A40" s="177" t="s">
        <v>20</v>
      </c>
      <c r="B40" s="178"/>
      <c r="C40" s="181" t="s">
        <v>0</v>
      </c>
      <c r="D40" s="182"/>
      <c r="E40" s="182"/>
      <c r="F40" s="182"/>
      <c r="G40" s="182"/>
      <c r="H40" s="182"/>
      <c r="I40" s="182"/>
      <c r="J40" s="182"/>
      <c r="K40" s="182"/>
      <c r="L40" s="182"/>
      <c r="M40" s="182"/>
      <c r="N40" s="182"/>
      <c r="O40" s="182"/>
      <c r="P40" s="182"/>
      <c r="Q40" s="182"/>
      <c r="R40" s="182"/>
      <c r="S40" s="182"/>
      <c r="T40" s="182"/>
      <c r="U40" s="182"/>
      <c r="V40" s="182"/>
      <c r="W40" s="182"/>
      <c r="X40" s="182"/>
      <c r="Y40" s="182"/>
      <c r="Z40" s="182"/>
      <c r="AA40" s="182"/>
      <c r="AB40" s="182"/>
      <c r="AC40" s="182"/>
      <c r="AD40" s="182"/>
      <c r="AE40" s="182"/>
      <c r="AF40" s="182"/>
      <c r="AG40" s="182"/>
      <c r="AH40" s="182"/>
      <c r="AI40" s="182"/>
      <c r="AJ40" s="182"/>
      <c r="AK40" s="182"/>
      <c r="AL40" s="183"/>
      <c r="AM40" s="187" t="s">
        <v>1</v>
      </c>
      <c r="AN40" s="189" t="s">
        <v>11</v>
      </c>
      <c r="AO40" s="191" t="s">
        <v>12</v>
      </c>
      <c r="AP40" s="192"/>
      <c r="AQ40" s="171" t="s">
        <v>6</v>
      </c>
      <c r="AR40" s="24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</row>
    <row r="41" spans="1:81" ht="17.100000000000001" customHeight="1">
      <c r="A41" s="179"/>
      <c r="B41" s="180"/>
      <c r="C41" s="184"/>
      <c r="D41" s="185"/>
      <c r="E41" s="185"/>
      <c r="F41" s="185"/>
      <c r="G41" s="185"/>
      <c r="H41" s="185"/>
      <c r="I41" s="185"/>
      <c r="J41" s="185"/>
      <c r="K41" s="185"/>
      <c r="L41" s="185"/>
      <c r="M41" s="185"/>
      <c r="N41" s="185"/>
      <c r="O41" s="185"/>
      <c r="P41" s="185"/>
      <c r="Q41" s="185"/>
      <c r="R41" s="185"/>
      <c r="S41" s="185"/>
      <c r="T41" s="185"/>
      <c r="U41" s="185"/>
      <c r="V41" s="185"/>
      <c r="W41" s="185"/>
      <c r="X41" s="185"/>
      <c r="Y41" s="185"/>
      <c r="Z41" s="185"/>
      <c r="AA41" s="185"/>
      <c r="AB41" s="185"/>
      <c r="AC41" s="185"/>
      <c r="AD41" s="185"/>
      <c r="AE41" s="185"/>
      <c r="AF41" s="185"/>
      <c r="AG41" s="185"/>
      <c r="AH41" s="185"/>
      <c r="AI41" s="185"/>
      <c r="AJ41" s="185"/>
      <c r="AK41" s="185"/>
      <c r="AL41" s="186"/>
      <c r="AM41" s="188"/>
      <c r="AN41" s="190"/>
      <c r="AO41" s="18"/>
      <c r="AP41" s="19"/>
      <c r="AQ41" s="172"/>
      <c r="AR41" s="27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</row>
    <row r="42" spans="1:81" ht="17.100000000000001" customHeight="1">
      <c r="A42" s="173"/>
      <c r="B42" s="30" t="s">
        <v>21</v>
      </c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40" t="str">
        <f>IF(AM42="","",SUM(C42:AL42)*AM42)</f>
        <v/>
      </c>
      <c r="AO42" s="39"/>
      <c r="AP42" s="39"/>
      <c r="AQ42" s="42">
        <f>(AO42+AR42)*AM42</f>
        <v>0</v>
      </c>
      <c r="AR42" s="25">
        <f>AP42/36</f>
        <v>0</v>
      </c>
      <c r="AT42" s="3" t="str">
        <f t="shared" ref="AT42:CA42" si="69">IF(C42=0,"",ROUNDUP(C39/C42,0))</f>
        <v/>
      </c>
      <c r="AU42" s="3" t="str">
        <f t="shared" si="69"/>
        <v/>
      </c>
      <c r="AV42" s="3" t="str">
        <f t="shared" si="69"/>
        <v/>
      </c>
      <c r="AW42" s="3" t="str">
        <f t="shared" si="69"/>
        <v/>
      </c>
      <c r="AX42" s="3" t="str">
        <f t="shared" si="69"/>
        <v/>
      </c>
      <c r="AY42" s="3" t="str">
        <f t="shared" si="69"/>
        <v/>
      </c>
      <c r="AZ42" s="3" t="str">
        <f t="shared" si="69"/>
        <v/>
      </c>
      <c r="BA42" s="3" t="str">
        <f t="shared" si="69"/>
        <v/>
      </c>
      <c r="BB42" s="3" t="str">
        <f t="shared" si="69"/>
        <v/>
      </c>
      <c r="BC42" s="3" t="str">
        <f t="shared" si="69"/>
        <v/>
      </c>
      <c r="BD42" s="3" t="str">
        <f t="shared" si="69"/>
        <v/>
      </c>
      <c r="BE42" s="3" t="str">
        <f t="shared" si="69"/>
        <v/>
      </c>
      <c r="BF42" s="3" t="str">
        <f t="shared" si="69"/>
        <v/>
      </c>
      <c r="BG42" s="3" t="str">
        <f t="shared" si="69"/>
        <v/>
      </c>
      <c r="BH42" s="3" t="str">
        <f t="shared" si="69"/>
        <v/>
      </c>
      <c r="BI42" s="3" t="str">
        <f t="shared" si="69"/>
        <v/>
      </c>
      <c r="BJ42" s="3" t="str">
        <f t="shared" si="69"/>
        <v/>
      </c>
      <c r="BK42" s="3" t="str">
        <f t="shared" si="69"/>
        <v/>
      </c>
      <c r="BL42" s="3" t="str">
        <f t="shared" si="69"/>
        <v/>
      </c>
      <c r="BM42" s="3" t="str">
        <f t="shared" si="69"/>
        <v/>
      </c>
      <c r="BN42" s="3" t="str">
        <f t="shared" si="69"/>
        <v/>
      </c>
      <c r="BO42" s="3" t="str">
        <f t="shared" si="69"/>
        <v/>
      </c>
      <c r="BP42" s="3" t="str">
        <f t="shared" si="69"/>
        <v/>
      </c>
      <c r="BQ42" s="3" t="str">
        <f t="shared" si="69"/>
        <v/>
      </c>
      <c r="BR42" s="3" t="str">
        <f t="shared" si="69"/>
        <v/>
      </c>
      <c r="BS42" s="3" t="str">
        <f t="shared" si="69"/>
        <v/>
      </c>
      <c r="BT42" s="3" t="str">
        <f t="shared" si="69"/>
        <v/>
      </c>
      <c r="BU42" s="3" t="str">
        <f t="shared" si="69"/>
        <v/>
      </c>
      <c r="BV42" s="3" t="str">
        <f t="shared" si="69"/>
        <v/>
      </c>
      <c r="BW42" s="3" t="str">
        <f t="shared" si="69"/>
        <v/>
      </c>
      <c r="BX42" s="3" t="str">
        <f t="shared" si="69"/>
        <v/>
      </c>
      <c r="BY42" s="3" t="str">
        <f t="shared" si="69"/>
        <v/>
      </c>
      <c r="BZ42" s="3" t="str">
        <f t="shared" si="69"/>
        <v/>
      </c>
      <c r="CA42" s="3" t="str">
        <f t="shared" si="69"/>
        <v/>
      </c>
      <c r="CB42" s="3" t="str">
        <f t="shared" ref="CB42" si="70">IF(AK42=0,"",ROUNDUP(AK39/AK42,0))</f>
        <v/>
      </c>
      <c r="CC42" s="3" t="str">
        <f t="shared" ref="CC42" si="71">IF(AL42=0,"",ROUNDUP(AL39/AL42,0))</f>
        <v/>
      </c>
    </row>
    <row r="43" spans="1:81" ht="17.100000000000001" customHeight="1">
      <c r="A43" s="174"/>
      <c r="B43" s="30" t="s">
        <v>22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40" t="str">
        <f t="shared" ref="AN43:AN49" si="72">IF(AM43="","",SUM(C43:AL43)*AM43)</f>
        <v/>
      </c>
      <c r="AO43" s="39"/>
      <c r="AP43" s="39"/>
      <c r="AQ43" s="42">
        <f t="shared" ref="AQ43:AQ49" si="73">(AO43+AR43)*AM43</f>
        <v>0</v>
      </c>
      <c r="AR43" s="25">
        <f t="shared" ref="AR43:AR49" si="74">AP43/36</f>
        <v>0</v>
      </c>
      <c r="AT43" s="3" t="str">
        <f t="shared" ref="AT43:CA43" si="75">IF(C43=0,"",ROUNDUP(C39/C43,0))</f>
        <v/>
      </c>
      <c r="AU43" s="3" t="str">
        <f t="shared" si="75"/>
        <v/>
      </c>
      <c r="AV43" s="3" t="str">
        <f t="shared" si="75"/>
        <v/>
      </c>
      <c r="AW43" s="3" t="str">
        <f t="shared" si="75"/>
        <v/>
      </c>
      <c r="AX43" s="3" t="str">
        <f t="shared" si="75"/>
        <v/>
      </c>
      <c r="AY43" s="3" t="str">
        <f t="shared" si="75"/>
        <v/>
      </c>
      <c r="AZ43" s="3" t="str">
        <f t="shared" si="75"/>
        <v/>
      </c>
      <c r="BA43" s="3" t="str">
        <f t="shared" si="75"/>
        <v/>
      </c>
      <c r="BB43" s="3" t="str">
        <f t="shared" si="75"/>
        <v/>
      </c>
      <c r="BC43" s="3" t="str">
        <f t="shared" si="75"/>
        <v/>
      </c>
      <c r="BD43" s="3" t="str">
        <f t="shared" si="75"/>
        <v/>
      </c>
      <c r="BE43" s="3" t="str">
        <f t="shared" si="75"/>
        <v/>
      </c>
      <c r="BF43" s="3" t="str">
        <f t="shared" si="75"/>
        <v/>
      </c>
      <c r="BG43" s="3" t="str">
        <f t="shared" si="75"/>
        <v/>
      </c>
      <c r="BH43" s="3" t="str">
        <f t="shared" si="75"/>
        <v/>
      </c>
      <c r="BI43" s="3" t="str">
        <f t="shared" si="75"/>
        <v/>
      </c>
      <c r="BJ43" s="3" t="str">
        <f t="shared" si="75"/>
        <v/>
      </c>
      <c r="BK43" s="3" t="str">
        <f t="shared" si="75"/>
        <v/>
      </c>
      <c r="BL43" s="3" t="str">
        <f t="shared" si="75"/>
        <v/>
      </c>
      <c r="BM43" s="3" t="str">
        <f t="shared" si="75"/>
        <v/>
      </c>
      <c r="BN43" s="3" t="str">
        <f t="shared" si="75"/>
        <v/>
      </c>
      <c r="BO43" s="3" t="str">
        <f t="shared" si="75"/>
        <v/>
      </c>
      <c r="BP43" s="3" t="str">
        <f t="shared" si="75"/>
        <v/>
      </c>
      <c r="BQ43" s="3" t="str">
        <f t="shared" si="75"/>
        <v/>
      </c>
      <c r="BR43" s="3" t="str">
        <f t="shared" si="75"/>
        <v/>
      </c>
      <c r="BS43" s="3" t="str">
        <f t="shared" si="75"/>
        <v/>
      </c>
      <c r="BT43" s="3" t="str">
        <f t="shared" si="75"/>
        <v/>
      </c>
      <c r="BU43" s="3" t="str">
        <f t="shared" si="75"/>
        <v/>
      </c>
      <c r="BV43" s="3" t="str">
        <f t="shared" si="75"/>
        <v/>
      </c>
      <c r="BW43" s="3" t="str">
        <f t="shared" si="75"/>
        <v/>
      </c>
      <c r="BX43" s="3" t="str">
        <f t="shared" si="75"/>
        <v/>
      </c>
      <c r="BY43" s="3" t="str">
        <f t="shared" si="75"/>
        <v/>
      </c>
      <c r="BZ43" s="3" t="str">
        <f t="shared" si="75"/>
        <v/>
      </c>
      <c r="CA43" s="3" t="str">
        <f t="shared" si="75"/>
        <v/>
      </c>
      <c r="CB43" s="3" t="str">
        <f t="shared" ref="CB43" si="76">IF(AK43=0,"",ROUNDUP(AK39/AK43,0))</f>
        <v/>
      </c>
      <c r="CC43" s="3" t="str">
        <f t="shared" ref="CC43" si="77">IF(AL43=0,"",ROUNDUP(AL39/AL43,0))</f>
        <v/>
      </c>
    </row>
    <row r="44" spans="1:81" ht="17.100000000000001" customHeight="1">
      <c r="A44" s="174"/>
      <c r="B44" s="30" t="s">
        <v>23</v>
      </c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40" t="str">
        <f t="shared" si="72"/>
        <v/>
      </c>
      <c r="AO44" s="39"/>
      <c r="AP44" s="39"/>
      <c r="AQ44" s="42">
        <f t="shared" si="73"/>
        <v>0</v>
      </c>
      <c r="AR44" s="25">
        <f t="shared" si="74"/>
        <v>0</v>
      </c>
      <c r="AT44" s="3" t="str">
        <f t="shared" ref="AT44:CA44" si="78">IF(C44=0,"",ROUNDUP(C39/C44,0))</f>
        <v/>
      </c>
      <c r="AU44" s="3" t="str">
        <f t="shared" si="78"/>
        <v/>
      </c>
      <c r="AV44" s="3" t="str">
        <f t="shared" si="78"/>
        <v/>
      </c>
      <c r="AW44" s="3" t="str">
        <f t="shared" si="78"/>
        <v/>
      </c>
      <c r="AX44" s="3" t="str">
        <f t="shared" si="78"/>
        <v/>
      </c>
      <c r="AY44" s="3" t="str">
        <f t="shared" si="78"/>
        <v/>
      </c>
      <c r="AZ44" s="3" t="str">
        <f t="shared" si="78"/>
        <v/>
      </c>
      <c r="BA44" s="3" t="str">
        <f t="shared" si="78"/>
        <v/>
      </c>
      <c r="BB44" s="3" t="str">
        <f t="shared" si="78"/>
        <v/>
      </c>
      <c r="BC44" s="3" t="str">
        <f t="shared" si="78"/>
        <v/>
      </c>
      <c r="BD44" s="3" t="str">
        <f t="shared" si="78"/>
        <v/>
      </c>
      <c r="BE44" s="3" t="str">
        <f t="shared" si="78"/>
        <v/>
      </c>
      <c r="BF44" s="3" t="str">
        <f t="shared" si="78"/>
        <v/>
      </c>
      <c r="BG44" s="3" t="str">
        <f t="shared" si="78"/>
        <v/>
      </c>
      <c r="BH44" s="3" t="str">
        <f t="shared" si="78"/>
        <v/>
      </c>
      <c r="BI44" s="3" t="str">
        <f t="shared" si="78"/>
        <v/>
      </c>
      <c r="BJ44" s="3" t="str">
        <f t="shared" si="78"/>
        <v/>
      </c>
      <c r="BK44" s="3" t="str">
        <f t="shared" si="78"/>
        <v/>
      </c>
      <c r="BL44" s="3" t="str">
        <f t="shared" si="78"/>
        <v/>
      </c>
      <c r="BM44" s="3" t="str">
        <f t="shared" si="78"/>
        <v/>
      </c>
      <c r="BN44" s="3" t="str">
        <f t="shared" si="78"/>
        <v/>
      </c>
      <c r="BO44" s="3" t="str">
        <f t="shared" si="78"/>
        <v/>
      </c>
      <c r="BP44" s="3" t="str">
        <f t="shared" si="78"/>
        <v/>
      </c>
      <c r="BQ44" s="3" t="str">
        <f t="shared" si="78"/>
        <v/>
      </c>
      <c r="BR44" s="3" t="str">
        <f t="shared" si="78"/>
        <v/>
      </c>
      <c r="BS44" s="3" t="str">
        <f t="shared" si="78"/>
        <v/>
      </c>
      <c r="BT44" s="3" t="str">
        <f t="shared" si="78"/>
        <v/>
      </c>
      <c r="BU44" s="3" t="str">
        <f t="shared" si="78"/>
        <v/>
      </c>
      <c r="BV44" s="3" t="str">
        <f t="shared" si="78"/>
        <v/>
      </c>
      <c r="BW44" s="3" t="str">
        <f t="shared" si="78"/>
        <v/>
      </c>
      <c r="BX44" s="3" t="str">
        <f t="shared" si="78"/>
        <v/>
      </c>
      <c r="BY44" s="3" t="str">
        <f t="shared" si="78"/>
        <v/>
      </c>
      <c r="BZ44" s="3" t="str">
        <f t="shared" si="78"/>
        <v/>
      </c>
      <c r="CA44" s="3" t="str">
        <f t="shared" si="78"/>
        <v/>
      </c>
      <c r="CB44" s="3" t="str">
        <f t="shared" ref="CB44" si="79">IF(AK44=0,"",ROUNDUP(AK39/AK44,0))</f>
        <v/>
      </c>
      <c r="CC44" s="3" t="str">
        <f t="shared" ref="CC44" si="80">IF(AL44=0,"",ROUNDUP(AL39/AL44,0))</f>
        <v/>
      </c>
    </row>
    <row r="45" spans="1:81" ht="17.100000000000001" customHeight="1">
      <c r="A45" s="174"/>
      <c r="B45" s="30" t="s">
        <v>24</v>
      </c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40" t="str">
        <f t="shared" si="72"/>
        <v/>
      </c>
      <c r="AO45" s="39"/>
      <c r="AP45" s="39"/>
      <c r="AQ45" s="42">
        <f t="shared" si="73"/>
        <v>0</v>
      </c>
      <c r="AR45" s="25">
        <f t="shared" si="74"/>
        <v>0</v>
      </c>
      <c r="AT45" s="3" t="str">
        <f t="shared" ref="AT45:CA45" si="81">IF(C45=0,"",ROUNDUP(C39/C45,0))</f>
        <v/>
      </c>
      <c r="AU45" s="3" t="str">
        <f t="shared" si="81"/>
        <v/>
      </c>
      <c r="AV45" s="3" t="str">
        <f t="shared" si="81"/>
        <v/>
      </c>
      <c r="AW45" s="3" t="str">
        <f t="shared" si="81"/>
        <v/>
      </c>
      <c r="AX45" s="3" t="str">
        <f t="shared" si="81"/>
        <v/>
      </c>
      <c r="AY45" s="3" t="str">
        <f t="shared" si="81"/>
        <v/>
      </c>
      <c r="AZ45" s="3" t="str">
        <f t="shared" si="81"/>
        <v/>
      </c>
      <c r="BA45" s="3" t="str">
        <f t="shared" si="81"/>
        <v/>
      </c>
      <c r="BB45" s="3" t="str">
        <f t="shared" si="81"/>
        <v/>
      </c>
      <c r="BC45" s="3" t="str">
        <f t="shared" si="81"/>
        <v/>
      </c>
      <c r="BD45" s="3" t="str">
        <f t="shared" si="81"/>
        <v/>
      </c>
      <c r="BE45" s="3" t="str">
        <f t="shared" si="81"/>
        <v/>
      </c>
      <c r="BF45" s="3" t="str">
        <f t="shared" si="81"/>
        <v/>
      </c>
      <c r="BG45" s="3" t="str">
        <f t="shared" si="81"/>
        <v/>
      </c>
      <c r="BH45" s="3" t="str">
        <f t="shared" si="81"/>
        <v/>
      </c>
      <c r="BI45" s="3" t="str">
        <f t="shared" si="81"/>
        <v/>
      </c>
      <c r="BJ45" s="3" t="str">
        <f t="shared" si="81"/>
        <v/>
      </c>
      <c r="BK45" s="3" t="str">
        <f t="shared" si="81"/>
        <v/>
      </c>
      <c r="BL45" s="3" t="str">
        <f t="shared" si="81"/>
        <v/>
      </c>
      <c r="BM45" s="3" t="str">
        <f t="shared" si="81"/>
        <v/>
      </c>
      <c r="BN45" s="3" t="str">
        <f t="shared" si="81"/>
        <v/>
      </c>
      <c r="BO45" s="3" t="str">
        <f t="shared" si="81"/>
        <v/>
      </c>
      <c r="BP45" s="3" t="str">
        <f t="shared" si="81"/>
        <v/>
      </c>
      <c r="BQ45" s="3" t="str">
        <f t="shared" si="81"/>
        <v/>
      </c>
      <c r="BR45" s="3" t="str">
        <f t="shared" si="81"/>
        <v/>
      </c>
      <c r="BS45" s="3" t="str">
        <f t="shared" si="81"/>
        <v/>
      </c>
      <c r="BT45" s="3" t="str">
        <f t="shared" si="81"/>
        <v/>
      </c>
      <c r="BU45" s="3" t="str">
        <f t="shared" si="81"/>
        <v/>
      </c>
      <c r="BV45" s="3" t="str">
        <f t="shared" si="81"/>
        <v/>
      </c>
      <c r="BW45" s="3" t="str">
        <f t="shared" si="81"/>
        <v/>
      </c>
      <c r="BX45" s="3" t="str">
        <f t="shared" si="81"/>
        <v/>
      </c>
      <c r="BY45" s="3" t="str">
        <f t="shared" si="81"/>
        <v/>
      </c>
      <c r="BZ45" s="3" t="str">
        <f t="shared" si="81"/>
        <v/>
      </c>
      <c r="CA45" s="3" t="str">
        <f t="shared" si="81"/>
        <v/>
      </c>
      <c r="CB45" s="3" t="str">
        <f t="shared" ref="CB45" si="82">IF(AK45=0,"",ROUNDUP(AK39/AK45,0))</f>
        <v/>
      </c>
      <c r="CC45" s="3" t="str">
        <f t="shared" ref="CC45" si="83">IF(AL45=0,"",ROUNDUP(AL39/AL45,0))</f>
        <v/>
      </c>
    </row>
    <row r="46" spans="1:81" ht="17.100000000000001" customHeight="1">
      <c r="A46" s="174"/>
      <c r="B46" s="30" t="s">
        <v>25</v>
      </c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40" t="str">
        <f t="shared" si="72"/>
        <v/>
      </c>
      <c r="AO46" s="39"/>
      <c r="AP46" s="39"/>
      <c r="AQ46" s="42">
        <f t="shared" si="73"/>
        <v>0</v>
      </c>
      <c r="AR46" s="25">
        <f t="shared" si="74"/>
        <v>0</v>
      </c>
      <c r="AT46" s="3" t="str">
        <f t="shared" ref="AT46:CA46" si="84">IF(C46=0,"",ROUNDUP(C39/C46,0))</f>
        <v/>
      </c>
      <c r="AU46" s="3" t="str">
        <f t="shared" si="84"/>
        <v/>
      </c>
      <c r="AV46" s="3" t="str">
        <f t="shared" si="84"/>
        <v/>
      </c>
      <c r="AW46" s="3" t="str">
        <f t="shared" si="84"/>
        <v/>
      </c>
      <c r="AX46" s="3" t="str">
        <f t="shared" si="84"/>
        <v/>
      </c>
      <c r="AY46" s="3" t="str">
        <f t="shared" si="84"/>
        <v/>
      </c>
      <c r="AZ46" s="3" t="str">
        <f t="shared" si="84"/>
        <v/>
      </c>
      <c r="BA46" s="3" t="str">
        <f t="shared" si="84"/>
        <v/>
      </c>
      <c r="BB46" s="3" t="str">
        <f t="shared" si="84"/>
        <v/>
      </c>
      <c r="BC46" s="3" t="str">
        <f t="shared" si="84"/>
        <v/>
      </c>
      <c r="BD46" s="3" t="str">
        <f t="shared" si="84"/>
        <v/>
      </c>
      <c r="BE46" s="3" t="str">
        <f t="shared" si="84"/>
        <v/>
      </c>
      <c r="BF46" s="3" t="str">
        <f t="shared" si="84"/>
        <v/>
      </c>
      <c r="BG46" s="3" t="str">
        <f t="shared" si="84"/>
        <v/>
      </c>
      <c r="BH46" s="3" t="str">
        <f t="shared" si="84"/>
        <v/>
      </c>
      <c r="BI46" s="3" t="str">
        <f t="shared" si="84"/>
        <v/>
      </c>
      <c r="BJ46" s="3" t="str">
        <f t="shared" si="84"/>
        <v/>
      </c>
      <c r="BK46" s="3" t="str">
        <f t="shared" si="84"/>
        <v/>
      </c>
      <c r="BL46" s="3" t="str">
        <f t="shared" si="84"/>
        <v/>
      </c>
      <c r="BM46" s="3" t="str">
        <f t="shared" si="84"/>
        <v/>
      </c>
      <c r="BN46" s="3" t="str">
        <f t="shared" si="84"/>
        <v/>
      </c>
      <c r="BO46" s="3" t="str">
        <f t="shared" si="84"/>
        <v/>
      </c>
      <c r="BP46" s="3" t="str">
        <f t="shared" si="84"/>
        <v/>
      </c>
      <c r="BQ46" s="3" t="str">
        <f t="shared" si="84"/>
        <v/>
      </c>
      <c r="BR46" s="3" t="str">
        <f t="shared" si="84"/>
        <v/>
      </c>
      <c r="BS46" s="3" t="str">
        <f t="shared" si="84"/>
        <v/>
      </c>
      <c r="BT46" s="3" t="str">
        <f t="shared" si="84"/>
        <v/>
      </c>
      <c r="BU46" s="3" t="str">
        <f t="shared" si="84"/>
        <v/>
      </c>
      <c r="BV46" s="3" t="str">
        <f t="shared" si="84"/>
        <v/>
      </c>
      <c r="BW46" s="3" t="str">
        <f t="shared" si="84"/>
        <v/>
      </c>
      <c r="BX46" s="3" t="str">
        <f t="shared" si="84"/>
        <v/>
      </c>
      <c r="BY46" s="3" t="str">
        <f t="shared" si="84"/>
        <v/>
      </c>
      <c r="BZ46" s="3" t="str">
        <f t="shared" si="84"/>
        <v/>
      </c>
      <c r="CA46" s="3" t="str">
        <f t="shared" si="84"/>
        <v/>
      </c>
      <c r="CB46" s="3" t="str">
        <f t="shared" ref="CB46" si="85">IF(AK46=0,"",ROUNDUP(AK39/AK46,0))</f>
        <v/>
      </c>
      <c r="CC46" s="3" t="str">
        <f t="shared" ref="CC46" si="86">IF(AL46=0,"",ROUNDUP(AL39/AL46,0))</f>
        <v/>
      </c>
    </row>
    <row r="47" spans="1:81" ht="17.100000000000001" customHeight="1">
      <c r="A47" s="174"/>
      <c r="B47" s="30" t="s">
        <v>26</v>
      </c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40" t="str">
        <f>IF(AM47="","",SUM(C47:AL47)*AM47)</f>
        <v/>
      </c>
      <c r="AO47" s="39"/>
      <c r="AP47" s="39"/>
      <c r="AQ47" s="42">
        <f t="shared" si="73"/>
        <v>0</v>
      </c>
      <c r="AR47" s="25">
        <f t="shared" si="74"/>
        <v>0</v>
      </c>
      <c r="AT47" s="3" t="str">
        <f t="shared" ref="AT47:CA47" si="87">IF(C47=0,"",ROUNDUP(C39/C47,0))</f>
        <v/>
      </c>
      <c r="AU47" s="3" t="str">
        <f t="shared" si="87"/>
        <v/>
      </c>
      <c r="AV47" s="3" t="str">
        <f t="shared" si="87"/>
        <v/>
      </c>
      <c r="AW47" s="3" t="str">
        <f t="shared" si="87"/>
        <v/>
      </c>
      <c r="AX47" s="3" t="str">
        <f t="shared" si="87"/>
        <v/>
      </c>
      <c r="AY47" s="3" t="str">
        <f t="shared" si="87"/>
        <v/>
      </c>
      <c r="AZ47" s="3" t="str">
        <f t="shared" si="87"/>
        <v/>
      </c>
      <c r="BA47" s="3" t="str">
        <f t="shared" si="87"/>
        <v/>
      </c>
      <c r="BB47" s="3" t="str">
        <f t="shared" si="87"/>
        <v/>
      </c>
      <c r="BC47" s="3" t="str">
        <f t="shared" si="87"/>
        <v/>
      </c>
      <c r="BD47" s="3" t="str">
        <f t="shared" si="87"/>
        <v/>
      </c>
      <c r="BE47" s="3" t="str">
        <f t="shared" si="87"/>
        <v/>
      </c>
      <c r="BF47" s="3" t="str">
        <f t="shared" si="87"/>
        <v/>
      </c>
      <c r="BG47" s="3" t="str">
        <f t="shared" si="87"/>
        <v/>
      </c>
      <c r="BH47" s="3" t="str">
        <f t="shared" si="87"/>
        <v/>
      </c>
      <c r="BI47" s="3" t="str">
        <f t="shared" si="87"/>
        <v/>
      </c>
      <c r="BJ47" s="3" t="str">
        <f t="shared" si="87"/>
        <v/>
      </c>
      <c r="BK47" s="3" t="str">
        <f t="shared" si="87"/>
        <v/>
      </c>
      <c r="BL47" s="3" t="str">
        <f t="shared" si="87"/>
        <v/>
      </c>
      <c r="BM47" s="3" t="str">
        <f t="shared" si="87"/>
        <v/>
      </c>
      <c r="BN47" s="3" t="str">
        <f t="shared" si="87"/>
        <v/>
      </c>
      <c r="BO47" s="3" t="str">
        <f t="shared" si="87"/>
        <v/>
      </c>
      <c r="BP47" s="3" t="str">
        <f t="shared" si="87"/>
        <v/>
      </c>
      <c r="BQ47" s="3" t="str">
        <f t="shared" si="87"/>
        <v/>
      </c>
      <c r="BR47" s="3" t="str">
        <f t="shared" si="87"/>
        <v/>
      </c>
      <c r="BS47" s="3" t="str">
        <f t="shared" si="87"/>
        <v/>
      </c>
      <c r="BT47" s="3" t="str">
        <f t="shared" si="87"/>
        <v/>
      </c>
      <c r="BU47" s="3" t="str">
        <f t="shared" si="87"/>
        <v/>
      </c>
      <c r="BV47" s="3" t="str">
        <f t="shared" si="87"/>
        <v/>
      </c>
      <c r="BW47" s="3" t="str">
        <f t="shared" si="87"/>
        <v/>
      </c>
      <c r="BX47" s="3" t="str">
        <f t="shared" si="87"/>
        <v/>
      </c>
      <c r="BY47" s="3" t="str">
        <f t="shared" si="87"/>
        <v/>
      </c>
      <c r="BZ47" s="3" t="str">
        <f t="shared" si="87"/>
        <v/>
      </c>
      <c r="CA47" s="3" t="str">
        <f t="shared" si="87"/>
        <v/>
      </c>
      <c r="CB47" s="3" t="str">
        <f t="shared" ref="CB47" si="88">IF(AK47=0,"",ROUNDUP(AK39/AK47,0))</f>
        <v/>
      </c>
      <c r="CC47" s="3" t="str">
        <f t="shared" ref="CC47" si="89">IF(AL47=0,"",ROUNDUP(AL39/AL47,0))</f>
        <v/>
      </c>
    </row>
    <row r="48" spans="1:81" ht="17.100000000000001" customHeight="1">
      <c r="A48" s="174"/>
      <c r="B48" s="30" t="s">
        <v>27</v>
      </c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40" t="str">
        <f t="shared" si="72"/>
        <v/>
      </c>
      <c r="AO48" s="39"/>
      <c r="AP48" s="39"/>
      <c r="AQ48" s="42">
        <f t="shared" si="73"/>
        <v>0</v>
      </c>
      <c r="AR48" s="25">
        <f t="shared" si="74"/>
        <v>0</v>
      </c>
      <c r="AT48" s="3" t="str">
        <f t="shared" ref="AT48:CA48" si="90">IF(C48=0,"",ROUNDUP(C39/C48,0))</f>
        <v/>
      </c>
      <c r="AU48" s="3" t="str">
        <f t="shared" si="90"/>
        <v/>
      </c>
      <c r="AV48" s="3" t="str">
        <f t="shared" si="90"/>
        <v/>
      </c>
      <c r="AW48" s="3" t="str">
        <f t="shared" si="90"/>
        <v/>
      </c>
      <c r="AX48" s="3" t="str">
        <f t="shared" si="90"/>
        <v/>
      </c>
      <c r="AY48" s="3" t="str">
        <f t="shared" si="90"/>
        <v/>
      </c>
      <c r="AZ48" s="3" t="str">
        <f t="shared" si="90"/>
        <v/>
      </c>
      <c r="BA48" s="3" t="str">
        <f t="shared" si="90"/>
        <v/>
      </c>
      <c r="BB48" s="3" t="str">
        <f t="shared" si="90"/>
        <v/>
      </c>
      <c r="BC48" s="3" t="str">
        <f t="shared" si="90"/>
        <v/>
      </c>
      <c r="BD48" s="3" t="str">
        <f t="shared" si="90"/>
        <v/>
      </c>
      <c r="BE48" s="3" t="str">
        <f t="shared" si="90"/>
        <v/>
      </c>
      <c r="BF48" s="3" t="str">
        <f t="shared" si="90"/>
        <v/>
      </c>
      <c r="BG48" s="3" t="str">
        <f t="shared" si="90"/>
        <v/>
      </c>
      <c r="BH48" s="3" t="str">
        <f t="shared" si="90"/>
        <v/>
      </c>
      <c r="BI48" s="3" t="str">
        <f t="shared" si="90"/>
        <v/>
      </c>
      <c r="BJ48" s="3" t="str">
        <f t="shared" si="90"/>
        <v/>
      </c>
      <c r="BK48" s="3" t="str">
        <f t="shared" si="90"/>
        <v/>
      </c>
      <c r="BL48" s="3" t="str">
        <f t="shared" si="90"/>
        <v/>
      </c>
      <c r="BM48" s="3" t="str">
        <f t="shared" si="90"/>
        <v/>
      </c>
      <c r="BN48" s="3" t="str">
        <f t="shared" si="90"/>
        <v/>
      </c>
      <c r="BO48" s="3" t="str">
        <f t="shared" si="90"/>
        <v/>
      </c>
      <c r="BP48" s="3" t="str">
        <f t="shared" si="90"/>
        <v/>
      </c>
      <c r="BQ48" s="3" t="str">
        <f t="shared" si="90"/>
        <v/>
      </c>
      <c r="BR48" s="3" t="str">
        <f t="shared" si="90"/>
        <v/>
      </c>
      <c r="BS48" s="3" t="str">
        <f t="shared" si="90"/>
        <v/>
      </c>
      <c r="BT48" s="3" t="str">
        <f t="shared" si="90"/>
        <v/>
      </c>
      <c r="BU48" s="3" t="str">
        <f t="shared" si="90"/>
        <v/>
      </c>
      <c r="BV48" s="3" t="str">
        <f t="shared" si="90"/>
        <v/>
      </c>
      <c r="BW48" s="3" t="str">
        <f t="shared" si="90"/>
        <v/>
      </c>
      <c r="BX48" s="3" t="str">
        <f t="shared" si="90"/>
        <v/>
      </c>
      <c r="BY48" s="3" t="str">
        <f t="shared" si="90"/>
        <v/>
      </c>
      <c r="BZ48" s="3" t="str">
        <f t="shared" si="90"/>
        <v/>
      </c>
      <c r="CA48" s="3" t="str">
        <f t="shared" si="90"/>
        <v/>
      </c>
      <c r="CB48" s="3" t="str">
        <f t="shared" ref="CB48" si="91">IF(AK48=0,"",ROUNDUP(AK39/AK48,0))</f>
        <v/>
      </c>
      <c r="CC48" s="3" t="str">
        <f t="shared" ref="CC48" si="92">IF(AL48=0,"",ROUNDUP(AL39/AL48,0))</f>
        <v/>
      </c>
    </row>
    <row r="49" spans="1:81" ht="17.100000000000001" customHeight="1">
      <c r="A49" s="175"/>
      <c r="B49" s="30" t="s">
        <v>28</v>
      </c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41" t="str">
        <f t="shared" si="72"/>
        <v/>
      </c>
      <c r="AO49" s="39"/>
      <c r="AP49" s="39"/>
      <c r="AQ49" s="42">
        <f t="shared" si="73"/>
        <v>0</v>
      </c>
      <c r="AR49" s="25">
        <f t="shared" si="74"/>
        <v>0</v>
      </c>
      <c r="AT49" s="3" t="str">
        <f t="shared" ref="AT49:CA49" si="93">IF(C49=0,"",ROUNDUP(C39/C49,0))</f>
        <v/>
      </c>
      <c r="AU49" s="3" t="str">
        <f t="shared" si="93"/>
        <v/>
      </c>
      <c r="AV49" s="3" t="str">
        <f t="shared" si="93"/>
        <v/>
      </c>
      <c r="AW49" s="3" t="str">
        <f t="shared" si="93"/>
        <v/>
      </c>
      <c r="AX49" s="3" t="str">
        <f t="shared" si="93"/>
        <v/>
      </c>
      <c r="AY49" s="3" t="str">
        <f t="shared" si="93"/>
        <v/>
      </c>
      <c r="AZ49" s="3" t="str">
        <f t="shared" si="93"/>
        <v/>
      </c>
      <c r="BA49" s="3" t="str">
        <f t="shared" si="93"/>
        <v/>
      </c>
      <c r="BB49" s="3" t="str">
        <f t="shared" si="93"/>
        <v/>
      </c>
      <c r="BC49" s="3" t="str">
        <f t="shared" si="93"/>
        <v/>
      </c>
      <c r="BD49" s="3" t="str">
        <f t="shared" si="93"/>
        <v/>
      </c>
      <c r="BE49" s="3" t="str">
        <f t="shared" si="93"/>
        <v/>
      </c>
      <c r="BF49" s="3" t="str">
        <f t="shared" si="93"/>
        <v/>
      </c>
      <c r="BG49" s="3" t="str">
        <f t="shared" si="93"/>
        <v/>
      </c>
      <c r="BH49" s="3" t="str">
        <f t="shared" si="93"/>
        <v/>
      </c>
      <c r="BI49" s="3" t="str">
        <f t="shared" si="93"/>
        <v/>
      </c>
      <c r="BJ49" s="3" t="str">
        <f t="shared" si="93"/>
        <v/>
      </c>
      <c r="BK49" s="3" t="str">
        <f t="shared" si="93"/>
        <v/>
      </c>
      <c r="BL49" s="3" t="str">
        <f t="shared" si="93"/>
        <v/>
      </c>
      <c r="BM49" s="3" t="str">
        <f t="shared" si="93"/>
        <v/>
      </c>
      <c r="BN49" s="3" t="str">
        <f t="shared" si="93"/>
        <v/>
      </c>
      <c r="BO49" s="3" t="str">
        <f t="shared" si="93"/>
        <v/>
      </c>
      <c r="BP49" s="3" t="str">
        <f t="shared" si="93"/>
        <v/>
      </c>
      <c r="BQ49" s="3" t="str">
        <f t="shared" si="93"/>
        <v/>
      </c>
      <c r="BR49" s="3" t="str">
        <f t="shared" si="93"/>
        <v/>
      </c>
      <c r="BS49" s="3" t="str">
        <f t="shared" si="93"/>
        <v/>
      </c>
      <c r="BT49" s="3" t="str">
        <f t="shared" si="93"/>
        <v/>
      </c>
      <c r="BU49" s="3" t="str">
        <f t="shared" si="93"/>
        <v/>
      </c>
      <c r="BV49" s="3" t="str">
        <f t="shared" si="93"/>
        <v/>
      </c>
      <c r="BW49" s="3" t="str">
        <f t="shared" si="93"/>
        <v/>
      </c>
      <c r="BX49" s="3" t="str">
        <f t="shared" si="93"/>
        <v/>
      </c>
      <c r="BY49" s="3" t="str">
        <f t="shared" si="93"/>
        <v/>
      </c>
      <c r="BZ49" s="3" t="str">
        <f t="shared" si="93"/>
        <v/>
      </c>
      <c r="CA49" s="3" t="str">
        <f t="shared" si="93"/>
        <v/>
      </c>
      <c r="CB49" s="3" t="str">
        <f t="shared" ref="CB49" si="94">IF(AK49=0,"",ROUNDUP(AK39/AK49,0))</f>
        <v/>
      </c>
      <c r="CC49" s="3" t="str">
        <f t="shared" ref="CC49" si="95">IF(AL49=0,"",ROUNDUP(AL39/AL49,0))</f>
        <v/>
      </c>
    </row>
    <row r="50" spans="1:81" ht="17.100000000000001" customHeight="1" thickBot="1">
      <c r="AN50" s="7">
        <f>SUM(AN42:AN49)</f>
        <v>0</v>
      </c>
      <c r="AQ50" s="12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ht="21.95" customHeight="1" thickBot="1">
      <c r="A51" s="160">
        <v>4</v>
      </c>
      <c r="B51" s="161"/>
      <c r="C51" s="176"/>
      <c r="AQ51" s="12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ht="17.100000000000001" customHeight="1">
      <c r="A52" s="51" t="s">
        <v>29</v>
      </c>
      <c r="B52" s="50"/>
      <c r="C52" s="148" t="s">
        <v>10</v>
      </c>
      <c r="D52" s="148"/>
      <c r="E52" s="148"/>
      <c r="F52" s="148"/>
      <c r="G52" s="148"/>
      <c r="H52" s="148"/>
      <c r="I52" s="148"/>
      <c r="J52" s="148"/>
      <c r="K52" s="148"/>
      <c r="L52" s="148"/>
      <c r="M52" s="148"/>
      <c r="N52" s="148"/>
      <c r="O52" s="148"/>
      <c r="P52" s="148"/>
      <c r="Q52" s="148"/>
      <c r="R52" s="148"/>
      <c r="S52" s="148"/>
      <c r="T52" s="148"/>
      <c r="U52" s="148"/>
      <c r="V52" s="148"/>
      <c r="W52" s="148"/>
      <c r="X52" s="148"/>
      <c r="Y52" s="148"/>
      <c r="Z52" s="148"/>
      <c r="AA52" s="148"/>
      <c r="AB52" s="148"/>
      <c r="AC52" s="148"/>
      <c r="AD52" s="148"/>
      <c r="AE52" s="148"/>
      <c r="AF52" s="148"/>
      <c r="AG52" s="148"/>
      <c r="AH52" s="148"/>
      <c r="AI52" s="148"/>
      <c r="AJ52" s="148"/>
      <c r="AK52" s="148"/>
      <c r="AL52" s="148"/>
      <c r="AM52" s="10"/>
      <c r="AN52" s="31"/>
      <c r="AO52" s="35" t="s">
        <v>4</v>
      </c>
      <c r="AP52" s="149"/>
      <c r="AQ52" s="150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ht="27">
      <c r="A53" s="52" t="s">
        <v>36</v>
      </c>
      <c r="B53" s="50"/>
      <c r="C53" s="26" t="str">
        <f>IF(C37=0,"",IF(C37&gt;0,C37))</f>
        <v/>
      </c>
      <c r="D53" s="26" t="str">
        <f t="shared" ref="D53:AL53" si="96">IF(D37=0,"",IF(D37&gt;0,D37))</f>
        <v/>
      </c>
      <c r="E53" s="26" t="str">
        <f t="shared" si="96"/>
        <v/>
      </c>
      <c r="F53" s="26" t="str">
        <f t="shared" si="96"/>
        <v/>
      </c>
      <c r="G53" s="26" t="str">
        <f t="shared" si="96"/>
        <v/>
      </c>
      <c r="H53" s="26" t="str">
        <f t="shared" si="96"/>
        <v/>
      </c>
      <c r="I53" s="26" t="str">
        <f t="shared" si="96"/>
        <v/>
      </c>
      <c r="J53" s="26" t="str">
        <f t="shared" si="96"/>
        <v/>
      </c>
      <c r="K53" s="26" t="str">
        <f t="shared" si="96"/>
        <v/>
      </c>
      <c r="L53" s="26" t="str">
        <f t="shared" si="96"/>
        <v/>
      </c>
      <c r="M53" s="26" t="str">
        <f t="shared" si="96"/>
        <v/>
      </c>
      <c r="N53" s="26" t="str">
        <f t="shared" si="96"/>
        <v/>
      </c>
      <c r="O53" s="26" t="str">
        <f t="shared" si="96"/>
        <v/>
      </c>
      <c r="P53" s="26" t="str">
        <f t="shared" si="96"/>
        <v/>
      </c>
      <c r="Q53" s="26" t="str">
        <f t="shared" si="96"/>
        <v/>
      </c>
      <c r="R53" s="26" t="str">
        <f t="shared" si="96"/>
        <v/>
      </c>
      <c r="S53" s="26" t="str">
        <f t="shared" si="96"/>
        <v/>
      </c>
      <c r="T53" s="26" t="str">
        <f t="shared" si="96"/>
        <v/>
      </c>
      <c r="U53" s="26" t="str">
        <f t="shared" si="96"/>
        <v/>
      </c>
      <c r="V53" s="26" t="str">
        <f t="shared" si="96"/>
        <v/>
      </c>
      <c r="W53" s="26" t="str">
        <f t="shared" si="96"/>
        <v/>
      </c>
      <c r="X53" s="26" t="str">
        <f t="shared" si="96"/>
        <v/>
      </c>
      <c r="Y53" s="26" t="str">
        <f t="shared" si="96"/>
        <v/>
      </c>
      <c r="Z53" s="26" t="str">
        <f t="shared" si="96"/>
        <v/>
      </c>
      <c r="AA53" s="26" t="str">
        <f t="shared" si="96"/>
        <v/>
      </c>
      <c r="AB53" s="26" t="str">
        <f t="shared" si="96"/>
        <v/>
      </c>
      <c r="AC53" s="26" t="str">
        <f t="shared" si="96"/>
        <v/>
      </c>
      <c r="AD53" s="26" t="str">
        <f t="shared" si="96"/>
        <v/>
      </c>
      <c r="AE53" s="26" t="str">
        <f t="shared" si="96"/>
        <v/>
      </c>
      <c r="AF53" s="26" t="str">
        <f t="shared" si="96"/>
        <v/>
      </c>
      <c r="AG53" s="26" t="str">
        <f t="shared" si="96"/>
        <v/>
      </c>
      <c r="AH53" s="26" t="str">
        <f t="shared" si="96"/>
        <v/>
      </c>
      <c r="AI53" s="26" t="str">
        <f t="shared" si="96"/>
        <v/>
      </c>
      <c r="AJ53" s="26" t="str">
        <f t="shared" si="96"/>
        <v/>
      </c>
      <c r="AK53" s="26" t="str">
        <f t="shared" si="96"/>
        <v/>
      </c>
      <c r="AL53" s="26" t="str">
        <f t="shared" si="96"/>
        <v/>
      </c>
      <c r="AM53" s="5" t="s">
        <v>2</v>
      </c>
      <c r="AN53" s="31"/>
      <c r="AO53" s="32" t="s">
        <v>5</v>
      </c>
      <c r="AP53" s="151">
        <f>SUM(AQ58:AQ65)</f>
        <v>0</v>
      </c>
      <c r="AQ53" s="151"/>
      <c r="AT53" s="2" t="str">
        <f t="shared" ref="AT53:BY53" si="97">IF(C53=0,"",IF(C53&gt;0,C53))</f>
        <v/>
      </c>
      <c r="AU53" s="2" t="str">
        <f t="shared" si="97"/>
        <v/>
      </c>
      <c r="AV53" s="2" t="str">
        <f t="shared" si="97"/>
        <v/>
      </c>
      <c r="AW53" s="2" t="str">
        <f t="shared" si="97"/>
        <v/>
      </c>
      <c r="AX53" s="2" t="str">
        <f t="shared" si="97"/>
        <v/>
      </c>
      <c r="AY53" s="2" t="str">
        <f t="shared" si="97"/>
        <v/>
      </c>
      <c r="AZ53" s="2" t="str">
        <f t="shared" si="97"/>
        <v/>
      </c>
      <c r="BA53" s="2" t="str">
        <f t="shared" si="97"/>
        <v/>
      </c>
      <c r="BB53" s="2" t="str">
        <f t="shared" si="97"/>
        <v/>
      </c>
      <c r="BC53" s="2" t="str">
        <f t="shared" si="97"/>
        <v/>
      </c>
      <c r="BD53" s="2" t="str">
        <f t="shared" si="97"/>
        <v/>
      </c>
      <c r="BE53" s="2" t="str">
        <f t="shared" si="97"/>
        <v/>
      </c>
      <c r="BF53" s="2" t="str">
        <f t="shared" si="97"/>
        <v/>
      </c>
      <c r="BG53" s="2" t="str">
        <f t="shared" si="97"/>
        <v/>
      </c>
      <c r="BH53" s="2" t="str">
        <f t="shared" si="97"/>
        <v/>
      </c>
      <c r="BI53" s="2" t="str">
        <f t="shared" si="97"/>
        <v/>
      </c>
      <c r="BJ53" s="2" t="str">
        <f t="shared" si="97"/>
        <v/>
      </c>
      <c r="BK53" s="2" t="str">
        <f t="shared" si="97"/>
        <v/>
      </c>
      <c r="BL53" s="2" t="str">
        <f t="shared" si="97"/>
        <v/>
      </c>
      <c r="BM53" s="2" t="str">
        <f t="shared" si="97"/>
        <v/>
      </c>
      <c r="BN53" s="2" t="str">
        <f t="shared" si="97"/>
        <v/>
      </c>
      <c r="BO53" s="2" t="str">
        <f t="shared" si="97"/>
        <v/>
      </c>
      <c r="BP53" s="2" t="str">
        <f t="shared" si="97"/>
        <v/>
      </c>
      <c r="BQ53" s="2" t="str">
        <f t="shared" si="97"/>
        <v/>
      </c>
      <c r="BR53" s="2" t="str">
        <f t="shared" si="97"/>
        <v/>
      </c>
      <c r="BS53" s="2" t="str">
        <f t="shared" si="97"/>
        <v/>
      </c>
      <c r="BT53" s="2" t="str">
        <f t="shared" si="97"/>
        <v/>
      </c>
      <c r="BU53" s="2" t="str">
        <f t="shared" si="97"/>
        <v/>
      </c>
      <c r="BV53" s="2" t="str">
        <f t="shared" si="97"/>
        <v/>
      </c>
      <c r="BW53" s="2" t="str">
        <f t="shared" si="97"/>
        <v/>
      </c>
      <c r="BX53" s="2" t="str">
        <f t="shared" si="97"/>
        <v/>
      </c>
      <c r="BY53" s="2" t="str">
        <f t="shared" si="97"/>
        <v/>
      </c>
      <c r="BZ53" s="2" t="str">
        <f t="shared" ref="BZ53" si="98">IF(AI53=0,"",IF(AI53&gt;0,AI53))</f>
        <v/>
      </c>
      <c r="CA53" s="2" t="str">
        <f t="shared" ref="CA53" si="99">IF(AJ53=0,"",IF(AJ53&gt;0,AJ53))</f>
        <v/>
      </c>
      <c r="CB53" s="2" t="str">
        <f t="shared" ref="CB53" si="100">IF(AK53=0,"",IF(AK53&gt;0,AK53))</f>
        <v/>
      </c>
      <c r="CC53" s="2" t="str">
        <f t="shared" ref="CC53" si="101">IF(AL53=0,"",IF(AL53&gt;0,AL53))</f>
        <v/>
      </c>
    </row>
    <row r="54" spans="1:81" ht="17.100000000000001" customHeight="1">
      <c r="A54" s="152" t="s">
        <v>30</v>
      </c>
      <c r="B54" s="153"/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5">
        <f>SUM(C54:AL54)</f>
        <v>0</v>
      </c>
      <c r="AN54" s="33"/>
      <c r="AO54" s="34" t="str">
        <f>IF(AP54&lt;5,"NO ",IF(AP54=5,"ok",IF(AP54&gt;5,"ok")))</f>
        <v xml:space="preserve">NO </v>
      </c>
      <c r="AP54" s="154">
        <f>AP52-AP53-AP55</f>
        <v>0</v>
      </c>
      <c r="AQ54" s="154"/>
      <c r="AR54" s="16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</row>
    <row r="55" spans="1:81" ht="17.100000000000001" customHeight="1">
      <c r="A55" s="152"/>
      <c r="B55" s="153"/>
      <c r="C55" s="47" t="str">
        <f>IF(C53="","",C54-C58*$AM58-C59*$AM59-C60*$AM60-C61*$AM61-C62*$AM62-C63*$AM63-C64*$AM64-C65*$AM65)</f>
        <v/>
      </c>
      <c r="D55" s="47" t="str">
        <f t="shared" ref="D55:AL55" si="102">IF(D53="","",D54-D58*$AM58-D59*$AM59-D60*$AM60-D61*$AM61-D62*$AM62-D63*$AM63-D64*$AM64-D65*$AM65)</f>
        <v/>
      </c>
      <c r="E55" s="47" t="str">
        <f t="shared" si="102"/>
        <v/>
      </c>
      <c r="F55" s="47" t="str">
        <f t="shared" si="102"/>
        <v/>
      </c>
      <c r="G55" s="47" t="str">
        <f t="shared" si="102"/>
        <v/>
      </c>
      <c r="H55" s="47" t="str">
        <f t="shared" si="102"/>
        <v/>
      </c>
      <c r="I55" s="47" t="str">
        <f t="shared" si="102"/>
        <v/>
      </c>
      <c r="J55" s="47" t="str">
        <f t="shared" si="102"/>
        <v/>
      </c>
      <c r="K55" s="47" t="str">
        <f t="shared" si="102"/>
        <v/>
      </c>
      <c r="L55" s="47" t="str">
        <f t="shared" si="102"/>
        <v/>
      </c>
      <c r="M55" s="47" t="str">
        <f t="shared" si="102"/>
        <v/>
      </c>
      <c r="N55" s="47" t="str">
        <f t="shared" si="102"/>
        <v/>
      </c>
      <c r="O55" s="47" t="str">
        <f t="shared" si="102"/>
        <v/>
      </c>
      <c r="P55" s="47" t="str">
        <f t="shared" si="102"/>
        <v/>
      </c>
      <c r="Q55" s="47" t="str">
        <f t="shared" si="102"/>
        <v/>
      </c>
      <c r="R55" s="47" t="str">
        <f t="shared" si="102"/>
        <v/>
      </c>
      <c r="S55" s="47" t="str">
        <f t="shared" si="102"/>
        <v/>
      </c>
      <c r="T55" s="47" t="str">
        <f t="shared" si="102"/>
        <v/>
      </c>
      <c r="U55" s="47" t="str">
        <f t="shared" si="102"/>
        <v/>
      </c>
      <c r="V55" s="47" t="str">
        <f t="shared" si="102"/>
        <v/>
      </c>
      <c r="W55" s="47" t="str">
        <f t="shared" si="102"/>
        <v/>
      </c>
      <c r="X55" s="47" t="str">
        <f t="shared" si="102"/>
        <v/>
      </c>
      <c r="Y55" s="47" t="str">
        <f t="shared" si="102"/>
        <v/>
      </c>
      <c r="Z55" s="47" t="str">
        <f t="shared" si="102"/>
        <v/>
      </c>
      <c r="AA55" s="47" t="str">
        <f t="shared" si="102"/>
        <v/>
      </c>
      <c r="AB55" s="47" t="str">
        <f t="shared" si="102"/>
        <v/>
      </c>
      <c r="AC55" s="47" t="str">
        <f t="shared" si="102"/>
        <v/>
      </c>
      <c r="AD55" s="47" t="str">
        <f t="shared" si="102"/>
        <v/>
      </c>
      <c r="AE55" s="47" t="str">
        <f t="shared" si="102"/>
        <v/>
      </c>
      <c r="AF55" s="47" t="str">
        <f t="shared" si="102"/>
        <v/>
      </c>
      <c r="AG55" s="47" t="str">
        <f t="shared" si="102"/>
        <v/>
      </c>
      <c r="AH55" s="47" t="str">
        <f t="shared" si="102"/>
        <v/>
      </c>
      <c r="AI55" s="47" t="str">
        <f t="shared" si="102"/>
        <v/>
      </c>
      <c r="AJ55" s="47" t="str">
        <f t="shared" si="102"/>
        <v/>
      </c>
      <c r="AK55" s="47" t="str">
        <f>IF(AK53="","",AK54-AK58*$AM58-AK59*$AM59-AK60*$AM60-AK61*$AM61-AK62*$AM62-AK63*$AM63-AK64*$AM64-AK65*$AM65)</f>
        <v/>
      </c>
      <c r="AL55" s="47" t="str">
        <f t="shared" si="102"/>
        <v/>
      </c>
      <c r="AM55" s="45">
        <f>SUM(C55:AL55)</f>
        <v>0</v>
      </c>
      <c r="AN55" s="155" t="s">
        <v>33</v>
      </c>
      <c r="AO55" s="156"/>
      <c r="AP55" s="157"/>
      <c r="AQ55" s="158"/>
      <c r="AR55" s="17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</row>
    <row r="56" spans="1:81" ht="17.100000000000001" customHeight="1">
      <c r="A56" s="177" t="s">
        <v>20</v>
      </c>
      <c r="B56" s="178"/>
      <c r="C56" s="181" t="s">
        <v>0</v>
      </c>
      <c r="D56" s="182"/>
      <c r="E56" s="182"/>
      <c r="F56" s="182"/>
      <c r="G56" s="182"/>
      <c r="H56" s="182"/>
      <c r="I56" s="182"/>
      <c r="J56" s="182"/>
      <c r="K56" s="182"/>
      <c r="L56" s="182"/>
      <c r="M56" s="182"/>
      <c r="N56" s="182"/>
      <c r="O56" s="182"/>
      <c r="P56" s="182"/>
      <c r="Q56" s="182"/>
      <c r="R56" s="182"/>
      <c r="S56" s="182"/>
      <c r="T56" s="182"/>
      <c r="U56" s="182"/>
      <c r="V56" s="182"/>
      <c r="W56" s="182"/>
      <c r="X56" s="182"/>
      <c r="Y56" s="182"/>
      <c r="Z56" s="182"/>
      <c r="AA56" s="182"/>
      <c r="AB56" s="182"/>
      <c r="AC56" s="182"/>
      <c r="AD56" s="182"/>
      <c r="AE56" s="182"/>
      <c r="AF56" s="182"/>
      <c r="AG56" s="182"/>
      <c r="AH56" s="182"/>
      <c r="AI56" s="182"/>
      <c r="AJ56" s="182"/>
      <c r="AK56" s="182"/>
      <c r="AL56" s="183"/>
      <c r="AM56" s="187" t="s">
        <v>1</v>
      </c>
      <c r="AN56" s="194" t="s">
        <v>11</v>
      </c>
      <c r="AO56" s="196" t="s">
        <v>12</v>
      </c>
      <c r="AP56" s="197"/>
      <c r="AQ56" s="193" t="s">
        <v>6</v>
      </c>
      <c r="AR56" s="24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</row>
    <row r="57" spans="1:81" ht="17.100000000000001" customHeight="1">
      <c r="A57" s="179"/>
      <c r="B57" s="180"/>
      <c r="C57" s="184"/>
      <c r="D57" s="185"/>
      <c r="E57" s="185"/>
      <c r="F57" s="185"/>
      <c r="G57" s="185"/>
      <c r="H57" s="185"/>
      <c r="I57" s="185"/>
      <c r="J57" s="185"/>
      <c r="K57" s="185"/>
      <c r="L57" s="185"/>
      <c r="M57" s="185"/>
      <c r="N57" s="185"/>
      <c r="O57" s="185"/>
      <c r="P57" s="185"/>
      <c r="Q57" s="185"/>
      <c r="R57" s="185"/>
      <c r="S57" s="185"/>
      <c r="T57" s="185"/>
      <c r="U57" s="185"/>
      <c r="V57" s="185"/>
      <c r="W57" s="185"/>
      <c r="X57" s="185"/>
      <c r="Y57" s="185"/>
      <c r="Z57" s="185"/>
      <c r="AA57" s="185"/>
      <c r="AB57" s="185"/>
      <c r="AC57" s="185"/>
      <c r="AD57" s="185"/>
      <c r="AE57" s="185"/>
      <c r="AF57" s="185"/>
      <c r="AG57" s="185"/>
      <c r="AH57" s="185"/>
      <c r="AI57" s="185"/>
      <c r="AJ57" s="185"/>
      <c r="AK57" s="185"/>
      <c r="AL57" s="186"/>
      <c r="AM57" s="188"/>
      <c r="AN57" s="195"/>
      <c r="AO57" s="18" t="s">
        <v>3</v>
      </c>
      <c r="AP57" s="19" t="s">
        <v>13</v>
      </c>
      <c r="AQ57" s="172"/>
      <c r="AR57" s="27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</row>
    <row r="58" spans="1:81" ht="17.100000000000001" customHeight="1">
      <c r="A58" s="173"/>
      <c r="B58" s="30" t="s">
        <v>21</v>
      </c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40" t="str">
        <f>IF(AM58="","",SUM(C58:AL58)*AM58)</f>
        <v/>
      </c>
      <c r="AO58" s="39"/>
      <c r="AP58" s="39"/>
      <c r="AQ58" s="42">
        <f>(AO58+AR58)*AM58</f>
        <v>0</v>
      </c>
      <c r="AR58" s="25">
        <f>AP58/36</f>
        <v>0</v>
      </c>
      <c r="AT58" s="3" t="str">
        <f t="shared" ref="AT58:CA58" si="103">IF(C58=0,"",ROUNDUP(C55/C58,0))</f>
        <v/>
      </c>
      <c r="AU58" s="3" t="str">
        <f t="shared" si="103"/>
        <v/>
      </c>
      <c r="AV58" s="3" t="str">
        <f t="shared" si="103"/>
        <v/>
      </c>
      <c r="AW58" s="3" t="str">
        <f t="shared" si="103"/>
        <v/>
      </c>
      <c r="AX58" s="3" t="str">
        <f t="shared" si="103"/>
        <v/>
      </c>
      <c r="AY58" s="3" t="str">
        <f t="shared" si="103"/>
        <v/>
      </c>
      <c r="AZ58" s="3" t="str">
        <f t="shared" si="103"/>
        <v/>
      </c>
      <c r="BA58" s="3" t="str">
        <f t="shared" si="103"/>
        <v/>
      </c>
      <c r="BB58" s="3" t="str">
        <f t="shared" si="103"/>
        <v/>
      </c>
      <c r="BC58" s="3" t="str">
        <f t="shared" si="103"/>
        <v/>
      </c>
      <c r="BD58" s="3" t="str">
        <f t="shared" si="103"/>
        <v/>
      </c>
      <c r="BE58" s="3" t="str">
        <f t="shared" si="103"/>
        <v/>
      </c>
      <c r="BF58" s="3" t="str">
        <f t="shared" si="103"/>
        <v/>
      </c>
      <c r="BG58" s="3" t="str">
        <f t="shared" si="103"/>
        <v/>
      </c>
      <c r="BH58" s="3" t="str">
        <f t="shared" si="103"/>
        <v/>
      </c>
      <c r="BI58" s="3" t="str">
        <f t="shared" si="103"/>
        <v/>
      </c>
      <c r="BJ58" s="3" t="str">
        <f t="shared" si="103"/>
        <v/>
      </c>
      <c r="BK58" s="3" t="str">
        <f t="shared" si="103"/>
        <v/>
      </c>
      <c r="BL58" s="3" t="str">
        <f t="shared" si="103"/>
        <v/>
      </c>
      <c r="BM58" s="3" t="str">
        <f t="shared" si="103"/>
        <v/>
      </c>
      <c r="BN58" s="3" t="str">
        <f t="shared" si="103"/>
        <v/>
      </c>
      <c r="BO58" s="3" t="str">
        <f t="shared" si="103"/>
        <v/>
      </c>
      <c r="BP58" s="3" t="str">
        <f t="shared" si="103"/>
        <v/>
      </c>
      <c r="BQ58" s="3" t="str">
        <f t="shared" si="103"/>
        <v/>
      </c>
      <c r="BR58" s="3" t="str">
        <f t="shared" si="103"/>
        <v/>
      </c>
      <c r="BS58" s="3" t="str">
        <f t="shared" si="103"/>
        <v/>
      </c>
      <c r="BT58" s="3" t="str">
        <f t="shared" si="103"/>
        <v/>
      </c>
      <c r="BU58" s="3" t="str">
        <f t="shared" si="103"/>
        <v/>
      </c>
      <c r="BV58" s="3" t="str">
        <f t="shared" si="103"/>
        <v/>
      </c>
      <c r="BW58" s="3" t="str">
        <f t="shared" si="103"/>
        <v/>
      </c>
      <c r="BX58" s="3" t="str">
        <f t="shared" si="103"/>
        <v/>
      </c>
      <c r="BY58" s="3" t="str">
        <f t="shared" si="103"/>
        <v/>
      </c>
      <c r="BZ58" s="3" t="str">
        <f t="shared" si="103"/>
        <v/>
      </c>
      <c r="CA58" s="3" t="str">
        <f t="shared" si="103"/>
        <v/>
      </c>
      <c r="CB58" s="3" t="str">
        <f t="shared" ref="CB58" si="104">IF(AK58=0,"",ROUNDUP(AK55/AK58,0))</f>
        <v/>
      </c>
      <c r="CC58" s="3" t="str">
        <f t="shared" ref="CC58" si="105">IF(AL58=0,"",ROUNDUP(AL55/AL58,0))</f>
        <v/>
      </c>
    </row>
    <row r="59" spans="1:81" ht="17.100000000000001" customHeight="1">
      <c r="A59" s="174"/>
      <c r="B59" s="30" t="s">
        <v>22</v>
      </c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40" t="str">
        <f t="shared" ref="AN59:AN65" si="106">IF(AM59="","",SUM(C59:AL59)*AM59)</f>
        <v/>
      </c>
      <c r="AO59" s="39"/>
      <c r="AP59" s="39"/>
      <c r="AQ59" s="42">
        <f t="shared" ref="AQ59:AQ65" si="107">(AO59+AR59)*AM59</f>
        <v>0</v>
      </c>
      <c r="AR59" s="25">
        <f t="shared" ref="AR59:AR65" si="108">AP59/36</f>
        <v>0</v>
      </c>
      <c r="AT59" s="3" t="str">
        <f t="shared" ref="AT59:CA59" si="109">IF(C59=0,"",ROUNDUP(C55/C59,0))</f>
        <v/>
      </c>
      <c r="AU59" s="3" t="str">
        <f t="shared" si="109"/>
        <v/>
      </c>
      <c r="AV59" s="3" t="str">
        <f t="shared" si="109"/>
        <v/>
      </c>
      <c r="AW59" s="3" t="str">
        <f t="shared" si="109"/>
        <v/>
      </c>
      <c r="AX59" s="3" t="str">
        <f t="shared" si="109"/>
        <v/>
      </c>
      <c r="AY59" s="3" t="str">
        <f t="shared" si="109"/>
        <v/>
      </c>
      <c r="AZ59" s="3" t="str">
        <f t="shared" si="109"/>
        <v/>
      </c>
      <c r="BA59" s="3" t="str">
        <f t="shared" si="109"/>
        <v/>
      </c>
      <c r="BB59" s="3" t="str">
        <f t="shared" si="109"/>
        <v/>
      </c>
      <c r="BC59" s="3" t="str">
        <f t="shared" si="109"/>
        <v/>
      </c>
      <c r="BD59" s="3" t="str">
        <f t="shared" si="109"/>
        <v/>
      </c>
      <c r="BE59" s="3" t="str">
        <f t="shared" si="109"/>
        <v/>
      </c>
      <c r="BF59" s="3" t="str">
        <f t="shared" si="109"/>
        <v/>
      </c>
      <c r="BG59" s="3" t="str">
        <f t="shared" si="109"/>
        <v/>
      </c>
      <c r="BH59" s="3" t="str">
        <f t="shared" si="109"/>
        <v/>
      </c>
      <c r="BI59" s="3" t="str">
        <f t="shared" si="109"/>
        <v/>
      </c>
      <c r="BJ59" s="3" t="str">
        <f t="shared" si="109"/>
        <v/>
      </c>
      <c r="BK59" s="3" t="str">
        <f t="shared" si="109"/>
        <v/>
      </c>
      <c r="BL59" s="3" t="str">
        <f t="shared" si="109"/>
        <v/>
      </c>
      <c r="BM59" s="3" t="str">
        <f t="shared" si="109"/>
        <v/>
      </c>
      <c r="BN59" s="3" t="str">
        <f t="shared" si="109"/>
        <v/>
      </c>
      <c r="BO59" s="3" t="str">
        <f t="shared" si="109"/>
        <v/>
      </c>
      <c r="BP59" s="3" t="str">
        <f t="shared" si="109"/>
        <v/>
      </c>
      <c r="BQ59" s="3" t="str">
        <f t="shared" si="109"/>
        <v/>
      </c>
      <c r="BR59" s="3" t="str">
        <f t="shared" si="109"/>
        <v/>
      </c>
      <c r="BS59" s="3" t="str">
        <f t="shared" si="109"/>
        <v/>
      </c>
      <c r="BT59" s="3" t="str">
        <f t="shared" si="109"/>
        <v/>
      </c>
      <c r="BU59" s="3" t="str">
        <f t="shared" si="109"/>
        <v/>
      </c>
      <c r="BV59" s="3" t="str">
        <f t="shared" si="109"/>
        <v/>
      </c>
      <c r="BW59" s="3" t="str">
        <f t="shared" si="109"/>
        <v/>
      </c>
      <c r="BX59" s="3" t="str">
        <f t="shared" si="109"/>
        <v/>
      </c>
      <c r="BY59" s="3" t="str">
        <f t="shared" si="109"/>
        <v/>
      </c>
      <c r="BZ59" s="3" t="str">
        <f t="shared" si="109"/>
        <v/>
      </c>
      <c r="CA59" s="3" t="str">
        <f t="shared" si="109"/>
        <v/>
      </c>
      <c r="CB59" s="3" t="str">
        <f t="shared" ref="CB59" si="110">IF(AK59=0,"",ROUNDUP(AK55/AK59,0))</f>
        <v/>
      </c>
      <c r="CC59" s="3" t="str">
        <f t="shared" ref="CC59" si="111">IF(AL59=0,"",ROUNDUP(AL55/AL59,0))</f>
        <v/>
      </c>
    </row>
    <row r="60" spans="1:81" ht="17.100000000000001" customHeight="1">
      <c r="A60" s="174"/>
      <c r="B60" s="30" t="s">
        <v>23</v>
      </c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40" t="str">
        <f t="shared" si="106"/>
        <v/>
      </c>
      <c r="AO60" s="39"/>
      <c r="AP60" s="39"/>
      <c r="AQ60" s="42">
        <f t="shared" si="107"/>
        <v>0</v>
      </c>
      <c r="AR60" s="25">
        <f t="shared" si="108"/>
        <v>0</v>
      </c>
      <c r="AT60" s="3" t="str">
        <f t="shared" ref="AT60:CA60" si="112">IF(C60=0,"",ROUNDUP(C55/C60,0))</f>
        <v/>
      </c>
      <c r="AU60" s="3" t="str">
        <f t="shared" si="112"/>
        <v/>
      </c>
      <c r="AV60" s="3" t="str">
        <f t="shared" si="112"/>
        <v/>
      </c>
      <c r="AW60" s="3" t="str">
        <f t="shared" si="112"/>
        <v/>
      </c>
      <c r="AX60" s="3" t="str">
        <f t="shared" si="112"/>
        <v/>
      </c>
      <c r="AY60" s="3" t="str">
        <f t="shared" si="112"/>
        <v/>
      </c>
      <c r="AZ60" s="3" t="str">
        <f t="shared" si="112"/>
        <v/>
      </c>
      <c r="BA60" s="3" t="str">
        <f t="shared" si="112"/>
        <v/>
      </c>
      <c r="BB60" s="3" t="str">
        <f t="shared" si="112"/>
        <v/>
      </c>
      <c r="BC60" s="3" t="str">
        <f t="shared" si="112"/>
        <v/>
      </c>
      <c r="BD60" s="3" t="str">
        <f t="shared" si="112"/>
        <v/>
      </c>
      <c r="BE60" s="3" t="str">
        <f t="shared" si="112"/>
        <v/>
      </c>
      <c r="BF60" s="3" t="str">
        <f t="shared" si="112"/>
        <v/>
      </c>
      <c r="BG60" s="3" t="str">
        <f t="shared" si="112"/>
        <v/>
      </c>
      <c r="BH60" s="3" t="str">
        <f t="shared" si="112"/>
        <v/>
      </c>
      <c r="BI60" s="3" t="str">
        <f t="shared" si="112"/>
        <v/>
      </c>
      <c r="BJ60" s="3" t="str">
        <f t="shared" si="112"/>
        <v/>
      </c>
      <c r="BK60" s="3" t="str">
        <f t="shared" si="112"/>
        <v/>
      </c>
      <c r="BL60" s="3" t="str">
        <f t="shared" si="112"/>
        <v/>
      </c>
      <c r="BM60" s="3" t="str">
        <f t="shared" si="112"/>
        <v/>
      </c>
      <c r="BN60" s="3" t="str">
        <f t="shared" si="112"/>
        <v/>
      </c>
      <c r="BO60" s="3" t="str">
        <f t="shared" si="112"/>
        <v/>
      </c>
      <c r="BP60" s="3" t="str">
        <f t="shared" si="112"/>
        <v/>
      </c>
      <c r="BQ60" s="3" t="str">
        <f t="shared" si="112"/>
        <v/>
      </c>
      <c r="BR60" s="3" t="str">
        <f t="shared" si="112"/>
        <v/>
      </c>
      <c r="BS60" s="3" t="str">
        <f t="shared" si="112"/>
        <v/>
      </c>
      <c r="BT60" s="3" t="str">
        <f t="shared" si="112"/>
        <v/>
      </c>
      <c r="BU60" s="3" t="str">
        <f t="shared" si="112"/>
        <v/>
      </c>
      <c r="BV60" s="3" t="str">
        <f t="shared" si="112"/>
        <v/>
      </c>
      <c r="BW60" s="3" t="str">
        <f t="shared" si="112"/>
        <v/>
      </c>
      <c r="BX60" s="3" t="str">
        <f t="shared" si="112"/>
        <v/>
      </c>
      <c r="BY60" s="3" t="str">
        <f t="shared" si="112"/>
        <v/>
      </c>
      <c r="BZ60" s="3" t="str">
        <f t="shared" si="112"/>
        <v/>
      </c>
      <c r="CA60" s="3" t="str">
        <f t="shared" si="112"/>
        <v/>
      </c>
      <c r="CB60" s="3" t="str">
        <f t="shared" ref="CB60" si="113">IF(AK60=0,"",ROUNDUP(AK55/AK60,0))</f>
        <v/>
      </c>
      <c r="CC60" s="3" t="str">
        <f t="shared" ref="CC60" si="114">IF(AL60=0,"",ROUNDUP(AL55/AL60,0))</f>
        <v/>
      </c>
    </row>
    <row r="61" spans="1:81" ht="17.100000000000001" customHeight="1">
      <c r="A61" s="174"/>
      <c r="B61" s="30" t="s">
        <v>24</v>
      </c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40" t="str">
        <f t="shared" si="106"/>
        <v/>
      </c>
      <c r="AO61" s="39"/>
      <c r="AP61" s="39"/>
      <c r="AQ61" s="42">
        <f t="shared" si="107"/>
        <v>0</v>
      </c>
      <c r="AR61" s="25">
        <f t="shared" si="108"/>
        <v>0</v>
      </c>
      <c r="AT61" s="3" t="str">
        <f t="shared" ref="AT61:CA61" si="115">IF(C61=0,"",ROUNDUP(C55/C61,0))</f>
        <v/>
      </c>
      <c r="AU61" s="3" t="str">
        <f t="shared" si="115"/>
        <v/>
      </c>
      <c r="AV61" s="3" t="str">
        <f t="shared" si="115"/>
        <v/>
      </c>
      <c r="AW61" s="3" t="str">
        <f t="shared" si="115"/>
        <v/>
      </c>
      <c r="AX61" s="3" t="str">
        <f t="shared" si="115"/>
        <v/>
      </c>
      <c r="AY61" s="3" t="str">
        <f t="shared" si="115"/>
        <v/>
      </c>
      <c r="AZ61" s="3" t="str">
        <f t="shared" si="115"/>
        <v/>
      </c>
      <c r="BA61" s="3" t="str">
        <f t="shared" si="115"/>
        <v/>
      </c>
      <c r="BB61" s="3" t="str">
        <f t="shared" si="115"/>
        <v/>
      </c>
      <c r="BC61" s="3" t="str">
        <f t="shared" si="115"/>
        <v/>
      </c>
      <c r="BD61" s="3" t="str">
        <f t="shared" si="115"/>
        <v/>
      </c>
      <c r="BE61" s="3" t="str">
        <f t="shared" si="115"/>
        <v/>
      </c>
      <c r="BF61" s="3" t="str">
        <f t="shared" si="115"/>
        <v/>
      </c>
      <c r="BG61" s="3" t="str">
        <f t="shared" si="115"/>
        <v/>
      </c>
      <c r="BH61" s="3" t="str">
        <f t="shared" si="115"/>
        <v/>
      </c>
      <c r="BI61" s="3" t="str">
        <f t="shared" si="115"/>
        <v/>
      </c>
      <c r="BJ61" s="3" t="str">
        <f t="shared" si="115"/>
        <v/>
      </c>
      <c r="BK61" s="3" t="str">
        <f t="shared" si="115"/>
        <v/>
      </c>
      <c r="BL61" s="3" t="str">
        <f t="shared" si="115"/>
        <v/>
      </c>
      <c r="BM61" s="3" t="str">
        <f t="shared" si="115"/>
        <v/>
      </c>
      <c r="BN61" s="3" t="str">
        <f t="shared" si="115"/>
        <v/>
      </c>
      <c r="BO61" s="3" t="str">
        <f t="shared" si="115"/>
        <v/>
      </c>
      <c r="BP61" s="3" t="str">
        <f t="shared" si="115"/>
        <v/>
      </c>
      <c r="BQ61" s="3" t="str">
        <f t="shared" si="115"/>
        <v/>
      </c>
      <c r="BR61" s="3" t="str">
        <f t="shared" si="115"/>
        <v/>
      </c>
      <c r="BS61" s="3" t="str">
        <f t="shared" si="115"/>
        <v/>
      </c>
      <c r="BT61" s="3" t="str">
        <f t="shared" si="115"/>
        <v/>
      </c>
      <c r="BU61" s="3" t="str">
        <f t="shared" si="115"/>
        <v/>
      </c>
      <c r="BV61" s="3" t="str">
        <f t="shared" si="115"/>
        <v/>
      </c>
      <c r="BW61" s="3" t="str">
        <f t="shared" si="115"/>
        <v/>
      </c>
      <c r="BX61" s="3" t="str">
        <f t="shared" si="115"/>
        <v/>
      </c>
      <c r="BY61" s="3" t="str">
        <f t="shared" si="115"/>
        <v/>
      </c>
      <c r="BZ61" s="3" t="str">
        <f t="shared" si="115"/>
        <v/>
      </c>
      <c r="CA61" s="3" t="str">
        <f t="shared" si="115"/>
        <v/>
      </c>
      <c r="CB61" s="3" t="str">
        <f t="shared" ref="CB61" si="116">IF(AK61=0,"",ROUNDUP(AK55/AK61,0))</f>
        <v/>
      </c>
      <c r="CC61" s="3" t="str">
        <f t="shared" ref="CC61" si="117">IF(AL61=0,"",ROUNDUP(AL55/AL61,0))</f>
        <v/>
      </c>
    </row>
    <row r="62" spans="1:81" ht="17.100000000000001" customHeight="1">
      <c r="A62" s="174"/>
      <c r="B62" s="30" t="s">
        <v>25</v>
      </c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40" t="str">
        <f t="shared" si="106"/>
        <v/>
      </c>
      <c r="AO62" s="39"/>
      <c r="AP62" s="39"/>
      <c r="AQ62" s="42">
        <f t="shared" si="107"/>
        <v>0</v>
      </c>
      <c r="AR62" s="25">
        <f t="shared" si="108"/>
        <v>0</v>
      </c>
      <c r="AT62" s="3" t="str">
        <f t="shared" ref="AT62:CA62" si="118">IF(C62=0,"",ROUNDUP(C55/C62,0))</f>
        <v/>
      </c>
      <c r="AU62" s="3" t="str">
        <f t="shared" si="118"/>
        <v/>
      </c>
      <c r="AV62" s="3" t="str">
        <f t="shared" si="118"/>
        <v/>
      </c>
      <c r="AW62" s="3" t="str">
        <f t="shared" si="118"/>
        <v/>
      </c>
      <c r="AX62" s="3" t="str">
        <f t="shared" si="118"/>
        <v/>
      </c>
      <c r="AY62" s="3" t="str">
        <f t="shared" si="118"/>
        <v/>
      </c>
      <c r="AZ62" s="3" t="str">
        <f t="shared" si="118"/>
        <v/>
      </c>
      <c r="BA62" s="3" t="str">
        <f t="shared" si="118"/>
        <v/>
      </c>
      <c r="BB62" s="3" t="str">
        <f t="shared" si="118"/>
        <v/>
      </c>
      <c r="BC62" s="3" t="str">
        <f t="shared" si="118"/>
        <v/>
      </c>
      <c r="BD62" s="3" t="str">
        <f t="shared" si="118"/>
        <v/>
      </c>
      <c r="BE62" s="3" t="str">
        <f t="shared" si="118"/>
        <v/>
      </c>
      <c r="BF62" s="3" t="str">
        <f t="shared" si="118"/>
        <v/>
      </c>
      <c r="BG62" s="3" t="str">
        <f t="shared" si="118"/>
        <v/>
      </c>
      <c r="BH62" s="3" t="str">
        <f t="shared" si="118"/>
        <v/>
      </c>
      <c r="BI62" s="3" t="str">
        <f t="shared" si="118"/>
        <v/>
      </c>
      <c r="BJ62" s="3" t="str">
        <f t="shared" si="118"/>
        <v/>
      </c>
      <c r="BK62" s="3" t="str">
        <f t="shared" si="118"/>
        <v/>
      </c>
      <c r="BL62" s="3" t="str">
        <f t="shared" si="118"/>
        <v/>
      </c>
      <c r="BM62" s="3" t="str">
        <f t="shared" si="118"/>
        <v/>
      </c>
      <c r="BN62" s="3" t="str">
        <f t="shared" si="118"/>
        <v/>
      </c>
      <c r="BO62" s="3" t="str">
        <f t="shared" si="118"/>
        <v/>
      </c>
      <c r="BP62" s="3" t="str">
        <f t="shared" si="118"/>
        <v/>
      </c>
      <c r="BQ62" s="3" t="str">
        <f t="shared" si="118"/>
        <v/>
      </c>
      <c r="BR62" s="3" t="str">
        <f t="shared" si="118"/>
        <v/>
      </c>
      <c r="BS62" s="3" t="str">
        <f t="shared" si="118"/>
        <v/>
      </c>
      <c r="BT62" s="3" t="str">
        <f t="shared" si="118"/>
        <v/>
      </c>
      <c r="BU62" s="3" t="str">
        <f t="shared" si="118"/>
        <v/>
      </c>
      <c r="BV62" s="3" t="str">
        <f t="shared" si="118"/>
        <v/>
      </c>
      <c r="BW62" s="3" t="str">
        <f t="shared" si="118"/>
        <v/>
      </c>
      <c r="BX62" s="3" t="str">
        <f t="shared" si="118"/>
        <v/>
      </c>
      <c r="BY62" s="3" t="str">
        <f t="shared" si="118"/>
        <v/>
      </c>
      <c r="BZ62" s="3" t="str">
        <f t="shared" si="118"/>
        <v/>
      </c>
      <c r="CA62" s="3" t="str">
        <f t="shared" si="118"/>
        <v/>
      </c>
      <c r="CB62" s="3" t="str">
        <f t="shared" ref="CB62" si="119">IF(AK62=0,"",ROUNDUP(AK55/AK62,0))</f>
        <v/>
      </c>
      <c r="CC62" s="3" t="str">
        <f t="shared" ref="CC62" si="120">IF(AL62=0,"",ROUNDUP(AL55/AL62,0))</f>
        <v/>
      </c>
    </row>
    <row r="63" spans="1:81" ht="17.100000000000001" customHeight="1">
      <c r="A63" s="174"/>
      <c r="B63" s="30" t="s">
        <v>26</v>
      </c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40" t="str">
        <f>IF(AM63="","",SUM(C63:AL63)*AM63)</f>
        <v/>
      </c>
      <c r="AO63" s="39"/>
      <c r="AP63" s="39"/>
      <c r="AQ63" s="42">
        <f t="shared" si="107"/>
        <v>0</v>
      </c>
      <c r="AR63" s="25">
        <f t="shared" si="108"/>
        <v>0</v>
      </c>
      <c r="AT63" s="3" t="str">
        <f t="shared" ref="AT63:CA63" si="121">IF(C63=0,"",ROUNDUP(C55/C63,0))</f>
        <v/>
      </c>
      <c r="AU63" s="3" t="str">
        <f t="shared" si="121"/>
        <v/>
      </c>
      <c r="AV63" s="3" t="str">
        <f t="shared" si="121"/>
        <v/>
      </c>
      <c r="AW63" s="3" t="str">
        <f t="shared" si="121"/>
        <v/>
      </c>
      <c r="AX63" s="3" t="str">
        <f t="shared" si="121"/>
        <v/>
      </c>
      <c r="AY63" s="3" t="str">
        <f t="shared" si="121"/>
        <v/>
      </c>
      <c r="AZ63" s="3" t="str">
        <f t="shared" si="121"/>
        <v/>
      </c>
      <c r="BA63" s="3" t="str">
        <f t="shared" si="121"/>
        <v/>
      </c>
      <c r="BB63" s="3" t="str">
        <f t="shared" si="121"/>
        <v/>
      </c>
      <c r="BC63" s="3" t="str">
        <f t="shared" si="121"/>
        <v/>
      </c>
      <c r="BD63" s="3" t="str">
        <f t="shared" si="121"/>
        <v/>
      </c>
      <c r="BE63" s="3" t="str">
        <f t="shared" si="121"/>
        <v/>
      </c>
      <c r="BF63" s="3" t="str">
        <f t="shared" si="121"/>
        <v/>
      </c>
      <c r="BG63" s="3" t="str">
        <f t="shared" si="121"/>
        <v/>
      </c>
      <c r="BH63" s="3" t="str">
        <f t="shared" si="121"/>
        <v/>
      </c>
      <c r="BI63" s="3" t="str">
        <f t="shared" si="121"/>
        <v/>
      </c>
      <c r="BJ63" s="3" t="str">
        <f t="shared" si="121"/>
        <v/>
      </c>
      <c r="BK63" s="3" t="str">
        <f t="shared" si="121"/>
        <v/>
      </c>
      <c r="BL63" s="3" t="str">
        <f t="shared" si="121"/>
        <v/>
      </c>
      <c r="BM63" s="3" t="str">
        <f t="shared" si="121"/>
        <v/>
      </c>
      <c r="BN63" s="3" t="str">
        <f t="shared" si="121"/>
        <v/>
      </c>
      <c r="BO63" s="3" t="str">
        <f t="shared" si="121"/>
        <v/>
      </c>
      <c r="BP63" s="3" t="str">
        <f t="shared" si="121"/>
        <v/>
      </c>
      <c r="BQ63" s="3" t="str">
        <f t="shared" si="121"/>
        <v/>
      </c>
      <c r="BR63" s="3" t="str">
        <f t="shared" si="121"/>
        <v/>
      </c>
      <c r="BS63" s="3" t="str">
        <f t="shared" si="121"/>
        <v/>
      </c>
      <c r="BT63" s="3" t="str">
        <f t="shared" si="121"/>
        <v/>
      </c>
      <c r="BU63" s="3" t="str">
        <f t="shared" si="121"/>
        <v/>
      </c>
      <c r="BV63" s="3" t="str">
        <f t="shared" si="121"/>
        <v/>
      </c>
      <c r="BW63" s="3" t="str">
        <f t="shared" si="121"/>
        <v/>
      </c>
      <c r="BX63" s="3" t="str">
        <f t="shared" si="121"/>
        <v/>
      </c>
      <c r="BY63" s="3" t="str">
        <f t="shared" si="121"/>
        <v/>
      </c>
      <c r="BZ63" s="3" t="str">
        <f t="shared" si="121"/>
        <v/>
      </c>
      <c r="CA63" s="3" t="str">
        <f t="shared" si="121"/>
        <v/>
      </c>
      <c r="CB63" s="3" t="str">
        <f t="shared" ref="CB63" si="122">IF(AK63=0,"",ROUNDUP(AK55/AK63,0))</f>
        <v/>
      </c>
      <c r="CC63" s="3" t="str">
        <f t="shared" ref="CC63" si="123">IF(AL63=0,"",ROUNDUP(AL55/AL63,0))</f>
        <v/>
      </c>
    </row>
    <row r="64" spans="1:81" ht="17.100000000000001" customHeight="1">
      <c r="A64" s="174"/>
      <c r="B64" s="30" t="s">
        <v>27</v>
      </c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40" t="str">
        <f t="shared" si="106"/>
        <v/>
      </c>
      <c r="AO64" s="39"/>
      <c r="AP64" s="39"/>
      <c r="AQ64" s="42">
        <f t="shared" si="107"/>
        <v>0</v>
      </c>
      <c r="AR64" s="25">
        <f t="shared" si="108"/>
        <v>0</v>
      </c>
      <c r="AT64" s="3" t="str">
        <f t="shared" ref="AT64:CA64" si="124">IF(C64=0,"",ROUNDUP(C55/C64,0))</f>
        <v/>
      </c>
      <c r="AU64" s="3" t="str">
        <f t="shared" si="124"/>
        <v/>
      </c>
      <c r="AV64" s="3" t="str">
        <f t="shared" si="124"/>
        <v/>
      </c>
      <c r="AW64" s="3" t="str">
        <f t="shared" si="124"/>
        <v/>
      </c>
      <c r="AX64" s="3" t="str">
        <f t="shared" si="124"/>
        <v/>
      </c>
      <c r="AY64" s="3" t="str">
        <f t="shared" si="124"/>
        <v/>
      </c>
      <c r="AZ64" s="3" t="str">
        <f t="shared" si="124"/>
        <v/>
      </c>
      <c r="BA64" s="3" t="str">
        <f t="shared" si="124"/>
        <v/>
      </c>
      <c r="BB64" s="3" t="str">
        <f t="shared" si="124"/>
        <v/>
      </c>
      <c r="BC64" s="3" t="str">
        <f t="shared" si="124"/>
        <v/>
      </c>
      <c r="BD64" s="3" t="str">
        <f t="shared" si="124"/>
        <v/>
      </c>
      <c r="BE64" s="3" t="str">
        <f t="shared" si="124"/>
        <v/>
      </c>
      <c r="BF64" s="3" t="str">
        <f t="shared" si="124"/>
        <v/>
      </c>
      <c r="BG64" s="3" t="str">
        <f t="shared" si="124"/>
        <v/>
      </c>
      <c r="BH64" s="3" t="str">
        <f t="shared" si="124"/>
        <v/>
      </c>
      <c r="BI64" s="3" t="str">
        <f t="shared" si="124"/>
        <v/>
      </c>
      <c r="BJ64" s="3" t="str">
        <f t="shared" si="124"/>
        <v/>
      </c>
      <c r="BK64" s="3" t="str">
        <f t="shared" si="124"/>
        <v/>
      </c>
      <c r="BL64" s="3" t="str">
        <f t="shared" si="124"/>
        <v/>
      </c>
      <c r="BM64" s="3" t="str">
        <f t="shared" si="124"/>
        <v/>
      </c>
      <c r="BN64" s="3" t="str">
        <f t="shared" si="124"/>
        <v/>
      </c>
      <c r="BO64" s="3" t="str">
        <f t="shared" si="124"/>
        <v/>
      </c>
      <c r="BP64" s="3" t="str">
        <f t="shared" si="124"/>
        <v/>
      </c>
      <c r="BQ64" s="3" t="str">
        <f t="shared" si="124"/>
        <v/>
      </c>
      <c r="BR64" s="3" t="str">
        <f t="shared" si="124"/>
        <v/>
      </c>
      <c r="BS64" s="3" t="str">
        <f t="shared" si="124"/>
        <v/>
      </c>
      <c r="BT64" s="3" t="str">
        <f t="shared" si="124"/>
        <v/>
      </c>
      <c r="BU64" s="3" t="str">
        <f t="shared" si="124"/>
        <v/>
      </c>
      <c r="BV64" s="3" t="str">
        <f t="shared" si="124"/>
        <v/>
      </c>
      <c r="BW64" s="3" t="str">
        <f t="shared" si="124"/>
        <v/>
      </c>
      <c r="BX64" s="3" t="str">
        <f t="shared" si="124"/>
        <v/>
      </c>
      <c r="BY64" s="3" t="str">
        <f t="shared" si="124"/>
        <v/>
      </c>
      <c r="BZ64" s="3" t="str">
        <f t="shared" si="124"/>
        <v/>
      </c>
      <c r="CA64" s="3" t="str">
        <f t="shared" si="124"/>
        <v/>
      </c>
      <c r="CB64" s="3" t="str">
        <f t="shared" ref="CB64" si="125">IF(AK64=0,"",ROUNDUP(AK55/AK64,0))</f>
        <v/>
      </c>
      <c r="CC64" s="3" t="str">
        <f t="shared" ref="CC64" si="126">IF(AL64=0,"",ROUNDUP(AL55/AL64,0))</f>
        <v/>
      </c>
    </row>
    <row r="65" spans="1:81" ht="17.100000000000001" customHeight="1">
      <c r="A65" s="175"/>
      <c r="B65" s="30" t="s">
        <v>28</v>
      </c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41" t="str">
        <f t="shared" si="106"/>
        <v/>
      </c>
      <c r="AO65" s="39"/>
      <c r="AP65" s="39"/>
      <c r="AQ65" s="42">
        <f t="shared" si="107"/>
        <v>0</v>
      </c>
      <c r="AR65" s="25">
        <f t="shared" si="108"/>
        <v>0</v>
      </c>
      <c r="AT65" s="3" t="str">
        <f t="shared" ref="AT65:CA65" si="127">IF(C65=0,"",ROUNDUP(C55/C65,0))</f>
        <v/>
      </c>
      <c r="AU65" s="3" t="str">
        <f t="shared" si="127"/>
        <v/>
      </c>
      <c r="AV65" s="3" t="str">
        <f t="shared" si="127"/>
        <v/>
      </c>
      <c r="AW65" s="3" t="str">
        <f t="shared" si="127"/>
        <v/>
      </c>
      <c r="AX65" s="3" t="str">
        <f t="shared" si="127"/>
        <v/>
      </c>
      <c r="AY65" s="3" t="str">
        <f t="shared" si="127"/>
        <v/>
      </c>
      <c r="AZ65" s="3" t="str">
        <f t="shared" si="127"/>
        <v/>
      </c>
      <c r="BA65" s="3" t="str">
        <f t="shared" si="127"/>
        <v/>
      </c>
      <c r="BB65" s="3" t="str">
        <f t="shared" si="127"/>
        <v/>
      </c>
      <c r="BC65" s="3" t="str">
        <f t="shared" si="127"/>
        <v/>
      </c>
      <c r="BD65" s="3" t="str">
        <f t="shared" si="127"/>
        <v/>
      </c>
      <c r="BE65" s="3" t="str">
        <f t="shared" si="127"/>
        <v/>
      </c>
      <c r="BF65" s="3" t="str">
        <f t="shared" si="127"/>
        <v/>
      </c>
      <c r="BG65" s="3" t="str">
        <f t="shared" si="127"/>
        <v/>
      </c>
      <c r="BH65" s="3" t="str">
        <f t="shared" si="127"/>
        <v/>
      </c>
      <c r="BI65" s="3" t="str">
        <f t="shared" si="127"/>
        <v/>
      </c>
      <c r="BJ65" s="3" t="str">
        <f t="shared" si="127"/>
        <v/>
      </c>
      <c r="BK65" s="3" t="str">
        <f t="shared" si="127"/>
        <v/>
      </c>
      <c r="BL65" s="3" t="str">
        <f t="shared" si="127"/>
        <v/>
      </c>
      <c r="BM65" s="3" t="str">
        <f t="shared" si="127"/>
        <v/>
      </c>
      <c r="BN65" s="3" t="str">
        <f t="shared" si="127"/>
        <v/>
      </c>
      <c r="BO65" s="3" t="str">
        <f t="shared" si="127"/>
        <v/>
      </c>
      <c r="BP65" s="3" t="str">
        <f t="shared" si="127"/>
        <v/>
      </c>
      <c r="BQ65" s="3" t="str">
        <f t="shared" si="127"/>
        <v/>
      </c>
      <c r="BR65" s="3" t="str">
        <f t="shared" si="127"/>
        <v/>
      </c>
      <c r="BS65" s="3" t="str">
        <f t="shared" si="127"/>
        <v/>
      </c>
      <c r="BT65" s="3" t="str">
        <f t="shared" si="127"/>
        <v/>
      </c>
      <c r="BU65" s="3" t="str">
        <f t="shared" si="127"/>
        <v/>
      </c>
      <c r="BV65" s="3" t="str">
        <f t="shared" si="127"/>
        <v/>
      </c>
      <c r="BW65" s="3" t="str">
        <f t="shared" si="127"/>
        <v/>
      </c>
      <c r="BX65" s="3" t="str">
        <f t="shared" si="127"/>
        <v/>
      </c>
      <c r="BY65" s="3" t="str">
        <f t="shared" si="127"/>
        <v/>
      </c>
      <c r="BZ65" s="3" t="str">
        <f t="shared" si="127"/>
        <v/>
      </c>
      <c r="CA65" s="3" t="str">
        <f t="shared" si="127"/>
        <v/>
      </c>
      <c r="CB65" s="3" t="str">
        <f t="shared" ref="CB65" si="128">IF(AK65=0,"",ROUNDUP(AK55/AK65,0))</f>
        <v/>
      </c>
      <c r="CC65" s="3" t="str">
        <f t="shared" ref="CC65" si="129">IF(AL65=0,"",ROUNDUP(AL55/AL65,0))</f>
        <v/>
      </c>
    </row>
    <row r="66" spans="1:81" ht="17.100000000000001" customHeight="1" thickBot="1">
      <c r="AN66" s="7">
        <f>SUM(AN58:AN65)</f>
        <v>0</v>
      </c>
      <c r="AQ66" s="12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ht="21.95" customHeight="1" thickBot="1">
      <c r="A67" s="160">
        <v>5</v>
      </c>
      <c r="B67" s="161"/>
      <c r="C67" s="176"/>
      <c r="AQ67" s="12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7.100000000000001" customHeight="1">
      <c r="A68" s="51" t="s">
        <v>29</v>
      </c>
      <c r="B68" s="50"/>
      <c r="C68" s="148" t="s">
        <v>10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148"/>
      <c r="AC68" s="148"/>
      <c r="AD68" s="148"/>
      <c r="AE68" s="148"/>
      <c r="AF68" s="148"/>
      <c r="AG68" s="148"/>
      <c r="AH68" s="148"/>
      <c r="AI68" s="148"/>
      <c r="AJ68" s="148"/>
      <c r="AK68" s="148"/>
      <c r="AL68" s="148"/>
      <c r="AM68" s="10"/>
      <c r="AN68" s="31"/>
      <c r="AO68" s="35" t="s">
        <v>4</v>
      </c>
      <c r="AP68" s="149"/>
      <c r="AQ68" s="150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ht="27">
      <c r="A69" s="52" t="s">
        <v>36</v>
      </c>
      <c r="B69" s="50"/>
      <c r="C69" s="26" t="str">
        <f>IF(C53=0,"",IF(C53&gt;0,C53))</f>
        <v/>
      </c>
      <c r="D69" s="26" t="str">
        <f t="shared" ref="D69:AL69" si="130">IF(D53=0,"",IF(D53&gt;0,D53))</f>
        <v/>
      </c>
      <c r="E69" s="26" t="str">
        <f t="shared" si="130"/>
        <v/>
      </c>
      <c r="F69" s="26" t="str">
        <f t="shared" si="130"/>
        <v/>
      </c>
      <c r="G69" s="26" t="str">
        <f t="shared" si="130"/>
        <v/>
      </c>
      <c r="H69" s="26" t="str">
        <f t="shared" si="130"/>
        <v/>
      </c>
      <c r="I69" s="26" t="str">
        <f t="shared" si="130"/>
        <v/>
      </c>
      <c r="J69" s="26" t="str">
        <f t="shared" si="130"/>
        <v/>
      </c>
      <c r="K69" s="26" t="str">
        <f t="shared" si="130"/>
        <v/>
      </c>
      <c r="L69" s="26" t="str">
        <f t="shared" si="130"/>
        <v/>
      </c>
      <c r="M69" s="26" t="str">
        <f t="shared" si="130"/>
        <v/>
      </c>
      <c r="N69" s="26" t="str">
        <f t="shared" si="130"/>
        <v/>
      </c>
      <c r="O69" s="26" t="str">
        <f t="shared" si="130"/>
        <v/>
      </c>
      <c r="P69" s="26" t="str">
        <f t="shared" si="130"/>
        <v/>
      </c>
      <c r="Q69" s="26" t="str">
        <f t="shared" si="130"/>
        <v/>
      </c>
      <c r="R69" s="26" t="str">
        <f t="shared" si="130"/>
        <v/>
      </c>
      <c r="S69" s="26" t="str">
        <f t="shared" si="130"/>
        <v/>
      </c>
      <c r="T69" s="26" t="str">
        <f t="shared" si="130"/>
        <v/>
      </c>
      <c r="U69" s="26" t="str">
        <f t="shared" si="130"/>
        <v/>
      </c>
      <c r="V69" s="26" t="str">
        <f t="shared" si="130"/>
        <v/>
      </c>
      <c r="W69" s="26" t="str">
        <f t="shared" si="130"/>
        <v/>
      </c>
      <c r="X69" s="26" t="str">
        <f t="shared" si="130"/>
        <v/>
      </c>
      <c r="Y69" s="26" t="str">
        <f t="shared" si="130"/>
        <v/>
      </c>
      <c r="Z69" s="26" t="str">
        <f t="shared" si="130"/>
        <v/>
      </c>
      <c r="AA69" s="26" t="str">
        <f t="shared" si="130"/>
        <v/>
      </c>
      <c r="AB69" s="26" t="str">
        <f t="shared" si="130"/>
        <v/>
      </c>
      <c r="AC69" s="26" t="str">
        <f t="shared" si="130"/>
        <v/>
      </c>
      <c r="AD69" s="26" t="str">
        <f t="shared" si="130"/>
        <v/>
      </c>
      <c r="AE69" s="26" t="str">
        <f t="shared" si="130"/>
        <v/>
      </c>
      <c r="AF69" s="26" t="str">
        <f t="shared" si="130"/>
        <v/>
      </c>
      <c r="AG69" s="26" t="str">
        <f t="shared" si="130"/>
        <v/>
      </c>
      <c r="AH69" s="26" t="str">
        <f t="shared" si="130"/>
        <v/>
      </c>
      <c r="AI69" s="26" t="str">
        <f t="shared" si="130"/>
        <v/>
      </c>
      <c r="AJ69" s="26" t="str">
        <f t="shared" si="130"/>
        <v/>
      </c>
      <c r="AK69" s="26" t="str">
        <f t="shared" si="130"/>
        <v/>
      </c>
      <c r="AL69" s="26" t="str">
        <f t="shared" si="130"/>
        <v/>
      </c>
      <c r="AM69" s="5" t="s">
        <v>2</v>
      </c>
      <c r="AN69" s="31"/>
      <c r="AO69" s="32" t="s">
        <v>5</v>
      </c>
      <c r="AP69" s="151">
        <f>SUM(AQ74:AQ81)</f>
        <v>0</v>
      </c>
      <c r="AQ69" s="151"/>
      <c r="AT69" s="2" t="str">
        <f t="shared" ref="AT69:BY69" si="131">IF(C69=0,"",IF(C69&gt;0,C69))</f>
        <v/>
      </c>
      <c r="AU69" s="2" t="str">
        <f t="shared" si="131"/>
        <v/>
      </c>
      <c r="AV69" s="2" t="str">
        <f t="shared" si="131"/>
        <v/>
      </c>
      <c r="AW69" s="2" t="str">
        <f t="shared" si="131"/>
        <v/>
      </c>
      <c r="AX69" s="2" t="str">
        <f t="shared" si="131"/>
        <v/>
      </c>
      <c r="AY69" s="2" t="str">
        <f t="shared" si="131"/>
        <v/>
      </c>
      <c r="AZ69" s="2" t="str">
        <f t="shared" si="131"/>
        <v/>
      </c>
      <c r="BA69" s="2" t="str">
        <f t="shared" si="131"/>
        <v/>
      </c>
      <c r="BB69" s="2" t="str">
        <f t="shared" si="131"/>
        <v/>
      </c>
      <c r="BC69" s="2" t="str">
        <f t="shared" si="131"/>
        <v/>
      </c>
      <c r="BD69" s="2" t="str">
        <f t="shared" si="131"/>
        <v/>
      </c>
      <c r="BE69" s="2" t="str">
        <f t="shared" si="131"/>
        <v/>
      </c>
      <c r="BF69" s="2" t="str">
        <f t="shared" si="131"/>
        <v/>
      </c>
      <c r="BG69" s="2" t="str">
        <f t="shared" si="131"/>
        <v/>
      </c>
      <c r="BH69" s="2" t="str">
        <f t="shared" si="131"/>
        <v/>
      </c>
      <c r="BI69" s="2" t="str">
        <f t="shared" si="131"/>
        <v/>
      </c>
      <c r="BJ69" s="2" t="str">
        <f t="shared" si="131"/>
        <v/>
      </c>
      <c r="BK69" s="2" t="str">
        <f t="shared" si="131"/>
        <v/>
      </c>
      <c r="BL69" s="2" t="str">
        <f t="shared" si="131"/>
        <v/>
      </c>
      <c r="BM69" s="2" t="str">
        <f t="shared" si="131"/>
        <v/>
      </c>
      <c r="BN69" s="2" t="str">
        <f t="shared" si="131"/>
        <v/>
      </c>
      <c r="BO69" s="2" t="str">
        <f t="shared" si="131"/>
        <v/>
      </c>
      <c r="BP69" s="2" t="str">
        <f t="shared" si="131"/>
        <v/>
      </c>
      <c r="BQ69" s="2" t="str">
        <f t="shared" si="131"/>
        <v/>
      </c>
      <c r="BR69" s="2" t="str">
        <f t="shared" si="131"/>
        <v/>
      </c>
      <c r="BS69" s="2" t="str">
        <f t="shared" si="131"/>
        <v/>
      </c>
      <c r="BT69" s="2" t="str">
        <f t="shared" si="131"/>
        <v/>
      </c>
      <c r="BU69" s="2" t="str">
        <f t="shared" si="131"/>
        <v/>
      </c>
      <c r="BV69" s="2" t="str">
        <f t="shared" si="131"/>
        <v/>
      </c>
      <c r="BW69" s="2" t="str">
        <f t="shared" si="131"/>
        <v/>
      </c>
      <c r="BX69" s="2" t="str">
        <f t="shared" si="131"/>
        <v/>
      </c>
      <c r="BY69" s="2" t="str">
        <f t="shared" si="131"/>
        <v/>
      </c>
      <c r="BZ69" s="2" t="str">
        <f t="shared" ref="BZ69" si="132">IF(AI69=0,"",IF(AI69&gt;0,AI69))</f>
        <v/>
      </c>
      <c r="CA69" s="2" t="str">
        <f t="shared" ref="CA69" si="133">IF(AJ69=0,"",IF(AJ69&gt;0,AJ69))</f>
        <v/>
      </c>
      <c r="CB69" s="2" t="str">
        <f t="shared" ref="CB69" si="134">IF(AK69=0,"",IF(AK69&gt;0,AK69))</f>
        <v/>
      </c>
      <c r="CC69" s="2" t="str">
        <f t="shared" ref="CC69" si="135">IF(AL69=0,"",IF(AL69&gt;0,AL69))</f>
        <v/>
      </c>
    </row>
    <row r="70" spans="1:81" ht="17.100000000000001" customHeight="1">
      <c r="A70" s="152" t="s">
        <v>30</v>
      </c>
      <c r="B70" s="198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6"/>
      <c r="AI70" s="46"/>
      <c r="AJ70" s="46"/>
      <c r="AK70" s="46"/>
      <c r="AL70" s="46"/>
      <c r="AM70" s="45">
        <f>SUM(C70:AL70)</f>
        <v>0</v>
      </c>
      <c r="AN70" s="33"/>
      <c r="AO70" s="34" t="str">
        <f>IF(AP70&lt;5,"NO ",IF(AP70=5,"ok",IF(AP70&gt;5,"ok")))</f>
        <v xml:space="preserve">NO </v>
      </c>
      <c r="AP70" s="154">
        <f>AP68-AP69-AP71</f>
        <v>0</v>
      </c>
      <c r="AQ70" s="154"/>
      <c r="AR70" s="16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</row>
    <row r="71" spans="1:81" ht="17.100000000000001" customHeight="1">
      <c r="A71" s="152"/>
      <c r="B71" s="199"/>
      <c r="C71" s="47" t="str">
        <f>IF(C69="","",C70-C74*$AM74-C75*$AM75-C76*$AM76-C77*$AM77-C78*$AM78-C79*$AM79-C80*$AM80-C81*$AM81)</f>
        <v/>
      </c>
      <c r="D71" s="47" t="str">
        <f t="shared" ref="D71" si="136">IF(D69="","",D70-D74*$AM74-D75*$AM75-D76*$AM76-D77*$AM77-D78*$AM78-D79*$AM79-D80*$AM80-D81*$AM81)</f>
        <v/>
      </c>
      <c r="E71" s="47" t="str">
        <f t="shared" ref="E71" si="137">IF(E69="","",E70-E74*$AM74-E75*$AM75-E76*$AM76-E77*$AM77-E78*$AM78-E79*$AM79-E80*$AM80-E81*$AM81)</f>
        <v/>
      </c>
      <c r="F71" s="47" t="str">
        <f t="shared" ref="F71" si="138">IF(F69="","",F70-F74*$AM74-F75*$AM75-F76*$AM76-F77*$AM77-F78*$AM78-F79*$AM79-F80*$AM80-F81*$AM81)</f>
        <v/>
      </c>
      <c r="G71" s="47" t="str">
        <f t="shared" ref="G71" si="139">IF(G69="","",G70-G74*$AM74-G75*$AM75-G76*$AM76-G77*$AM77-G78*$AM78-G79*$AM79-G80*$AM80-G81*$AM81)</f>
        <v/>
      </c>
      <c r="H71" s="47" t="str">
        <f t="shared" ref="H71" si="140">IF(H69="","",H70-H74*$AM74-H75*$AM75-H76*$AM76-H77*$AM77-H78*$AM78-H79*$AM79-H80*$AM80-H81*$AM81)</f>
        <v/>
      </c>
      <c r="I71" s="47" t="str">
        <f t="shared" ref="I71" si="141">IF(I69="","",I70-I74*$AM74-I75*$AM75-I76*$AM76-I77*$AM77-I78*$AM78-I79*$AM79-I80*$AM80-I81*$AM81)</f>
        <v/>
      </c>
      <c r="J71" s="47" t="str">
        <f t="shared" ref="J71" si="142">IF(J69="","",J70-J74*$AM74-J75*$AM75-J76*$AM76-J77*$AM77-J78*$AM78-J79*$AM79-J80*$AM80-J81*$AM81)</f>
        <v/>
      </c>
      <c r="K71" s="47" t="str">
        <f t="shared" ref="K71" si="143">IF(K69="","",K70-K74*$AM74-K75*$AM75-K76*$AM76-K77*$AM77-K78*$AM78-K79*$AM79-K80*$AM80-K81*$AM81)</f>
        <v/>
      </c>
      <c r="L71" s="47" t="str">
        <f t="shared" ref="L71" si="144">IF(L69="","",L70-L74*$AM74-L75*$AM75-L76*$AM76-L77*$AM77-L78*$AM78-L79*$AM79-L80*$AM80-L81*$AM81)</f>
        <v/>
      </c>
      <c r="M71" s="47" t="str">
        <f t="shared" ref="M71" si="145">IF(M69="","",M70-M74*$AM74-M75*$AM75-M76*$AM76-M77*$AM77-M78*$AM78-M79*$AM79-M80*$AM80-M81*$AM81)</f>
        <v/>
      </c>
      <c r="N71" s="47" t="str">
        <f t="shared" ref="N71" si="146">IF(N69="","",N70-N74*$AM74-N75*$AM75-N76*$AM76-N77*$AM77-N78*$AM78-N79*$AM79-N80*$AM80-N81*$AM81)</f>
        <v/>
      </c>
      <c r="O71" s="47" t="str">
        <f t="shared" ref="O71" si="147">IF(O69="","",O70-O74*$AM74-O75*$AM75-O76*$AM76-O77*$AM77-O78*$AM78-O79*$AM79-O80*$AM80-O81*$AM81)</f>
        <v/>
      </c>
      <c r="P71" s="47" t="str">
        <f t="shared" ref="P71" si="148">IF(P69="","",P70-P74*$AM74-P75*$AM75-P76*$AM76-P77*$AM77-P78*$AM78-P79*$AM79-P80*$AM80-P81*$AM81)</f>
        <v/>
      </c>
      <c r="Q71" s="47" t="str">
        <f t="shared" ref="Q71" si="149">IF(Q69="","",Q70-Q74*$AM74-Q75*$AM75-Q76*$AM76-Q77*$AM77-Q78*$AM78-Q79*$AM79-Q80*$AM80-Q81*$AM81)</f>
        <v/>
      </c>
      <c r="R71" s="47" t="str">
        <f t="shared" ref="R71" si="150">IF(R69="","",R70-R74*$AM74-R75*$AM75-R76*$AM76-R77*$AM77-R78*$AM78-R79*$AM79-R80*$AM80-R81*$AM81)</f>
        <v/>
      </c>
      <c r="S71" s="47" t="str">
        <f t="shared" ref="S71" si="151">IF(S69="","",S70-S74*$AM74-S75*$AM75-S76*$AM76-S77*$AM77-S78*$AM78-S79*$AM79-S80*$AM80-S81*$AM81)</f>
        <v/>
      </c>
      <c r="T71" s="47" t="str">
        <f t="shared" ref="T71" si="152">IF(T69="","",T70-T74*$AM74-T75*$AM75-T76*$AM76-T77*$AM77-T78*$AM78-T79*$AM79-T80*$AM80-T81*$AM81)</f>
        <v/>
      </c>
      <c r="U71" s="47" t="str">
        <f t="shared" ref="U71" si="153">IF(U69="","",U70-U74*$AM74-U75*$AM75-U76*$AM76-U77*$AM77-U78*$AM78-U79*$AM79-U80*$AM80-U81*$AM81)</f>
        <v/>
      </c>
      <c r="V71" s="47" t="str">
        <f t="shared" ref="V71" si="154">IF(V69="","",V70-V74*$AM74-V75*$AM75-V76*$AM76-V77*$AM77-V78*$AM78-V79*$AM79-V80*$AM80-V81*$AM81)</f>
        <v/>
      </c>
      <c r="W71" s="47" t="str">
        <f t="shared" ref="W71" si="155">IF(W69="","",W70-W74*$AM74-W75*$AM75-W76*$AM76-W77*$AM77-W78*$AM78-W79*$AM79-W80*$AM80-W81*$AM81)</f>
        <v/>
      </c>
      <c r="X71" s="47" t="str">
        <f t="shared" ref="X71" si="156">IF(X69="","",X70-X74*$AM74-X75*$AM75-X76*$AM76-X77*$AM77-X78*$AM78-X79*$AM79-X80*$AM80-X81*$AM81)</f>
        <v/>
      </c>
      <c r="Y71" s="47" t="str">
        <f t="shared" ref="Y71" si="157">IF(Y69="","",Y70-Y74*$AM74-Y75*$AM75-Y76*$AM76-Y77*$AM77-Y78*$AM78-Y79*$AM79-Y80*$AM80-Y81*$AM81)</f>
        <v/>
      </c>
      <c r="Z71" s="47" t="str">
        <f t="shared" ref="Z71" si="158">IF(Z69="","",Z70-Z74*$AM74-Z75*$AM75-Z76*$AM76-Z77*$AM77-Z78*$AM78-Z79*$AM79-Z80*$AM80-Z81*$AM81)</f>
        <v/>
      </c>
      <c r="AA71" s="47" t="str">
        <f t="shared" ref="AA71" si="159">IF(AA69="","",AA70-AA74*$AM74-AA75*$AM75-AA76*$AM76-AA77*$AM77-AA78*$AM78-AA79*$AM79-AA80*$AM80-AA81*$AM81)</f>
        <v/>
      </c>
      <c r="AB71" s="47" t="str">
        <f t="shared" ref="AB71" si="160">IF(AB69="","",AB70-AB74*$AM74-AB75*$AM75-AB76*$AM76-AB77*$AM77-AB78*$AM78-AB79*$AM79-AB80*$AM80-AB81*$AM81)</f>
        <v/>
      </c>
      <c r="AC71" s="47" t="str">
        <f t="shared" ref="AC71" si="161">IF(AC69="","",AC70-AC74*$AM74-AC75*$AM75-AC76*$AM76-AC77*$AM77-AC78*$AM78-AC79*$AM79-AC80*$AM80-AC81*$AM81)</f>
        <v/>
      </c>
      <c r="AD71" s="47" t="str">
        <f t="shared" ref="AD71" si="162">IF(AD69="","",AD70-AD74*$AM74-AD75*$AM75-AD76*$AM76-AD77*$AM77-AD78*$AM78-AD79*$AM79-AD80*$AM80-AD81*$AM81)</f>
        <v/>
      </c>
      <c r="AE71" s="47" t="str">
        <f t="shared" ref="AE71" si="163">IF(AE69="","",AE70-AE74*$AM74-AE75*$AM75-AE76*$AM76-AE77*$AM77-AE78*$AM78-AE79*$AM79-AE80*$AM80-AE81*$AM81)</f>
        <v/>
      </c>
      <c r="AF71" s="47" t="str">
        <f t="shared" ref="AF71" si="164">IF(AF69="","",AF70-AF74*$AM74-AF75*$AM75-AF76*$AM76-AF77*$AM77-AF78*$AM78-AF79*$AM79-AF80*$AM80-AF81*$AM81)</f>
        <v/>
      </c>
      <c r="AG71" s="47" t="str">
        <f t="shared" ref="AG71" si="165">IF(AG69="","",AG70-AG74*$AM74-AG75*$AM75-AG76*$AM76-AG77*$AM77-AG78*$AM78-AG79*$AM79-AG80*$AM80-AG81*$AM81)</f>
        <v/>
      </c>
      <c r="AH71" s="47" t="str">
        <f t="shared" ref="AH71" si="166">IF(AH69="","",AH70-AH74*$AM74-AH75*$AM75-AH76*$AM76-AH77*$AM77-AH78*$AM78-AH79*$AM79-AH80*$AM80-AH81*$AM81)</f>
        <v/>
      </c>
      <c r="AI71" s="47" t="str">
        <f t="shared" ref="AI71" si="167">IF(AI69="","",AI70-AI74*$AM74-AI75*$AM75-AI76*$AM76-AI77*$AM77-AI78*$AM78-AI79*$AM79-AI80*$AM80-AI81*$AM81)</f>
        <v/>
      </c>
      <c r="AJ71" s="47" t="str">
        <f t="shared" ref="AJ71" si="168">IF(AJ69="","",AJ70-AJ74*$AM74-AJ75*$AM75-AJ76*$AM76-AJ77*$AM77-AJ78*$AM78-AJ79*$AM79-AJ80*$AM80-AJ81*$AM81)</f>
        <v/>
      </c>
      <c r="AK71" s="47" t="str">
        <f>IF(AK69="","",AK70-AK74*$AM74-AK75*$AM75-AK76*$AM76-AK77*$AM77-AK78*$AM78-AK79*$AM79-AK80*$AM80-AK81*$AM81)</f>
        <v/>
      </c>
      <c r="AL71" s="47" t="str">
        <f t="shared" ref="AL71" si="169">IF(AL69="","",AL70-AL74*$AM74-AL75*$AM75-AL76*$AM76-AL77*$AM77-AL78*$AM78-AL79*$AM79-AL80*$AM80-AL81*$AM81)</f>
        <v/>
      </c>
      <c r="AM71" s="45">
        <f>SUM(C71:AL71)</f>
        <v>0</v>
      </c>
      <c r="AN71" s="155" t="s">
        <v>33</v>
      </c>
      <c r="AO71" s="156"/>
      <c r="AP71" s="157"/>
      <c r="AQ71" s="158"/>
      <c r="AR71" s="17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</row>
    <row r="72" spans="1:81" ht="17.100000000000001" customHeight="1">
      <c r="A72" s="177" t="s">
        <v>20</v>
      </c>
      <c r="B72" s="178"/>
      <c r="C72" s="181" t="s">
        <v>0</v>
      </c>
      <c r="D72" s="182"/>
      <c r="E72" s="182"/>
      <c r="F72" s="182"/>
      <c r="G72" s="182"/>
      <c r="H72" s="182"/>
      <c r="I72" s="182"/>
      <c r="J72" s="182"/>
      <c r="K72" s="182"/>
      <c r="L72" s="182"/>
      <c r="M72" s="182"/>
      <c r="N72" s="182"/>
      <c r="O72" s="182"/>
      <c r="P72" s="182"/>
      <c r="Q72" s="182"/>
      <c r="R72" s="182"/>
      <c r="S72" s="182"/>
      <c r="T72" s="182"/>
      <c r="U72" s="182"/>
      <c r="V72" s="182"/>
      <c r="W72" s="182"/>
      <c r="X72" s="182"/>
      <c r="Y72" s="182"/>
      <c r="Z72" s="182"/>
      <c r="AA72" s="182"/>
      <c r="AB72" s="182"/>
      <c r="AC72" s="182"/>
      <c r="AD72" s="182"/>
      <c r="AE72" s="182"/>
      <c r="AF72" s="182"/>
      <c r="AG72" s="182"/>
      <c r="AH72" s="182"/>
      <c r="AI72" s="182"/>
      <c r="AJ72" s="182"/>
      <c r="AK72" s="182"/>
      <c r="AL72" s="183"/>
      <c r="AM72" s="187" t="s">
        <v>1</v>
      </c>
      <c r="AN72" s="194" t="s">
        <v>11</v>
      </c>
      <c r="AO72" s="196" t="s">
        <v>12</v>
      </c>
      <c r="AP72" s="197"/>
      <c r="AQ72" s="193" t="s">
        <v>6</v>
      </c>
      <c r="AR72" s="24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</row>
    <row r="73" spans="1:81" ht="17.100000000000001" customHeight="1">
      <c r="A73" s="179"/>
      <c r="B73" s="180"/>
      <c r="C73" s="184"/>
      <c r="D73" s="185"/>
      <c r="E73" s="185"/>
      <c r="F73" s="185"/>
      <c r="G73" s="185"/>
      <c r="H73" s="185"/>
      <c r="I73" s="185"/>
      <c r="J73" s="185"/>
      <c r="K73" s="185"/>
      <c r="L73" s="185"/>
      <c r="M73" s="185"/>
      <c r="N73" s="185"/>
      <c r="O73" s="185"/>
      <c r="P73" s="185"/>
      <c r="Q73" s="185"/>
      <c r="R73" s="185"/>
      <c r="S73" s="185"/>
      <c r="T73" s="185"/>
      <c r="U73" s="185"/>
      <c r="V73" s="185"/>
      <c r="W73" s="185"/>
      <c r="X73" s="185"/>
      <c r="Y73" s="185"/>
      <c r="Z73" s="185"/>
      <c r="AA73" s="185"/>
      <c r="AB73" s="185"/>
      <c r="AC73" s="185"/>
      <c r="AD73" s="185"/>
      <c r="AE73" s="185"/>
      <c r="AF73" s="185"/>
      <c r="AG73" s="185"/>
      <c r="AH73" s="185"/>
      <c r="AI73" s="185"/>
      <c r="AJ73" s="185"/>
      <c r="AK73" s="185"/>
      <c r="AL73" s="186"/>
      <c r="AM73" s="188"/>
      <c r="AN73" s="195"/>
      <c r="AO73" s="18" t="s">
        <v>3</v>
      </c>
      <c r="AP73" s="19" t="s">
        <v>13</v>
      </c>
      <c r="AQ73" s="172"/>
      <c r="AR73" s="27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</row>
    <row r="74" spans="1:81" ht="17.100000000000001" customHeight="1">
      <c r="A74" s="173"/>
      <c r="B74" s="30" t="s">
        <v>21</v>
      </c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40" t="str">
        <f>IF(AM74="","",SUM(C74:AL74)*AM74)</f>
        <v/>
      </c>
      <c r="AO74" s="39"/>
      <c r="AP74" s="39"/>
      <c r="AQ74" s="42">
        <f>(AO74+AR74)*AM74</f>
        <v>0</v>
      </c>
      <c r="AR74" s="25">
        <f>AP74/36</f>
        <v>0</v>
      </c>
      <c r="AT74" s="3" t="str">
        <f t="shared" ref="AT74:CA74" si="170">IF(C74=0,"",ROUNDUP(C71/C74,0))</f>
        <v/>
      </c>
      <c r="AU74" s="3" t="str">
        <f t="shared" si="170"/>
        <v/>
      </c>
      <c r="AV74" s="3" t="str">
        <f t="shared" si="170"/>
        <v/>
      </c>
      <c r="AW74" s="3" t="str">
        <f t="shared" si="170"/>
        <v/>
      </c>
      <c r="AX74" s="3" t="str">
        <f t="shared" si="170"/>
        <v/>
      </c>
      <c r="AY74" s="3" t="str">
        <f t="shared" si="170"/>
        <v/>
      </c>
      <c r="AZ74" s="3" t="str">
        <f t="shared" si="170"/>
        <v/>
      </c>
      <c r="BA74" s="3" t="str">
        <f t="shared" si="170"/>
        <v/>
      </c>
      <c r="BB74" s="3" t="str">
        <f t="shared" si="170"/>
        <v/>
      </c>
      <c r="BC74" s="3" t="str">
        <f t="shared" si="170"/>
        <v/>
      </c>
      <c r="BD74" s="3" t="str">
        <f t="shared" si="170"/>
        <v/>
      </c>
      <c r="BE74" s="3" t="str">
        <f t="shared" si="170"/>
        <v/>
      </c>
      <c r="BF74" s="3" t="str">
        <f t="shared" si="170"/>
        <v/>
      </c>
      <c r="BG74" s="3" t="str">
        <f t="shared" si="170"/>
        <v/>
      </c>
      <c r="BH74" s="3" t="str">
        <f t="shared" si="170"/>
        <v/>
      </c>
      <c r="BI74" s="3" t="str">
        <f t="shared" si="170"/>
        <v/>
      </c>
      <c r="BJ74" s="3" t="str">
        <f t="shared" si="170"/>
        <v/>
      </c>
      <c r="BK74" s="3" t="str">
        <f t="shared" si="170"/>
        <v/>
      </c>
      <c r="BL74" s="3" t="str">
        <f t="shared" si="170"/>
        <v/>
      </c>
      <c r="BM74" s="3" t="str">
        <f t="shared" si="170"/>
        <v/>
      </c>
      <c r="BN74" s="3" t="str">
        <f t="shared" si="170"/>
        <v/>
      </c>
      <c r="BO74" s="3" t="str">
        <f t="shared" si="170"/>
        <v/>
      </c>
      <c r="BP74" s="3" t="str">
        <f t="shared" si="170"/>
        <v/>
      </c>
      <c r="BQ74" s="3" t="str">
        <f t="shared" si="170"/>
        <v/>
      </c>
      <c r="BR74" s="3" t="str">
        <f t="shared" si="170"/>
        <v/>
      </c>
      <c r="BS74" s="3" t="str">
        <f t="shared" si="170"/>
        <v/>
      </c>
      <c r="BT74" s="3" t="str">
        <f t="shared" si="170"/>
        <v/>
      </c>
      <c r="BU74" s="3" t="str">
        <f t="shared" si="170"/>
        <v/>
      </c>
      <c r="BV74" s="3" t="str">
        <f t="shared" si="170"/>
        <v/>
      </c>
      <c r="BW74" s="3" t="str">
        <f t="shared" si="170"/>
        <v/>
      </c>
      <c r="BX74" s="3" t="str">
        <f t="shared" si="170"/>
        <v/>
      </c>
      <c r="BY74" s="3" t="str">
        <f t="shared" si="170"/>
        <v/>
      </c>
      <c r="BZ74" s="3" t="str">
        <f t="shared" si="170"/>
        <v/>
      </c>
      <c r="CA74" s="3" t="str">
        <f t="shared" si="170"/>
        <v/>
      </c>
      <c r="CB74" s="3" t="str">
        <f t="shared" ref="CB74" si="171">IF(AK74=0,"",ROUNDUP(AK71/AK74,0))</f>
        <v/>
      </c>
      <c r="CC74" s="3" t="str">
        <f t="shared" ref="CC74" si="172">IF(AL74=0,"",ROUNDUP(AL71/AL74,0))</f>
        <v/>
      </c>
    </row>
    <row r="75" spans="1:81" ht="17.100000000000001" customHeight="1">
      <c r="A75" s="174"/>
      <c r="B75" s="30" t="s">
        <v>22</v>
      </c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40" t="str">
        <f t="shared" ref="AN75:AN81" si="173">IF(AM75="","",SUM(C75:AL75)*AM75)</f>
        <v/>
      </c>
      <c r="AO75" s="39"/>
      <c r="AP75" s="39"/>
      <c r="AQ75" s="42">
        <f t="shared" ref="AQ75:AQ81" si="174">(AO75+AR75)*AM75</f>
        <v>0</v>
      </c>
      <c r="AR75" s="25">
        <f t="shared" ref="AR75:AR81" si="175">AP75/36</f>
        <v>0</v>
      </c>
      <c r="AT75" s="3" t="str">
        <f t="shared" ref="AT75:CA75" si="176">IF(C75=0,"",ROUNDUP(C71/C75,0))</f>
        <v/>
      </c>
      <c r="AU75" s="3" t="str">
        <f t="shared" si="176"/>
        <v/>
      </c>
      <c r="AV75" s="3" t="str">
        <f t="shared" si="176"/>
        <v/>
      </c>
      <c r="AW75" s="3" t="str">
        <f t="shared" si="176"/>
        <v/>
      </c>
      <c r="AX75" s="3" t="str">
        <f t="shared" si="176"/>
        <v/>
      </c>
      <c r="AY75" s="3" t="str">
        <f t="shared" si="176"/>
        <v/>
      </c>
      <c r="AZ75" s="3" t="str">
        <f t="shared" si="176"/>
        <v/>
      </c>
      <c r="BA75" s="3" t="str">
        <f t="shared" si="176"/>
        <v/>
      </c>
      <c r="BB75" s="3" t="str">
        <f t="shared" si="176"/>
        <v/>
      </c>
      <c r="BC75" s="3" t="str">
        <f t="shared" si="176"/>
        <v/>
      </c>
      <c r="BD75" s="3" t="str">
        <f t="shared" si="176"/>
        <v/>
      </c>
      <c r="BE75" s="3" t="str">
        <f t="shared" si="176"/>
        <v/>
      </c>
      <c r="BF75" s="3" t="str">
        <f t="shared" si="176"/>
        <v/>
      </c>
      <c r="BG75" s="3" t="str">
        <f t="shared" si="176"/>
        <v/>
      </c>
      <c r="BH75" s="3" t="str">
        <f t="shared" si="176"/>
        <v/>
      </c>
      <c r="BI75" s="3" t="str">
        <f t="shared" si="176"/>
        <v/>
      </c>
      <c r="BJ75" s="3" t="str">
        <f t="shared" si="176"/>
        <v/>
      </c>
      <c r="BK75" s="3" t="str">
        <f t="shared" si="176"/>
        <v/>
      </c>
      <c r="BL75" s="3" t="str">
        <f t="shared" si="176"/>
        <v/>
      </c>
      <c r="BM75" s="3" t="str">
        <f t="shared" si="176"/>
        <v/>
      </c>
      <c r="BN75" s="3" t="str">
        <f t="shared" si="176"/>
        <v/>
      </c>
      <c r="BO75" s="3" t="str">
        <f t="shared" si="176"/>
        <v/>
      </c>
      <c r="BP75" s="3" t="str">
        <f t="shared" si="176"/>
        <v/>
      </c>
      <c r="BQ75" s="3" t="str">
        <f t="shared" si="176"/>
        <v/>
      </c>
      <c r="BR75" s="3" t="str">
        <f t="shared" si="176"/>
        <v/>
      </c>
      <c r="BS75" s="3" t="str">
        <f t="shared" si="176"/>
        <v/>
      </c>
      <c r="BT75" s="3" t="str">
        <f t="shared" si="176"/>
        <v/>
      </c>
      <c r="BU75" s="3" t="str">
        <f t="shared" si="176"/>
        <v/>
      </c>
      <c r="BV75" s="3" t="str">
        <f t="shared" si="176"/>
        <v/>
      </c>
      <c r="BW75" s="3" t="str">
        <f t="shared" si="176"/>
        <v/>
      </c>
      <c r="BX75" s="3" t="str">
        <f t="shared" si="176"/>
        <v/>
      </c>
      <c r="BY75" s="3" t="str">
        <f t="shared" si="176"/>
        <v/>
      </c>
      <c r="BZ75" s="3" t="str">
        <f t="shared" si="176"/>
        <v/>
      </c>
      <c r="CA75" s="3" t="str">
        <f t="shared" si="176"/>
        <v/>
      </c>
      <c r="CB75" s="3" t="str">
        <f t="shared" ref="CB75" si="177">IF(AK75=0,"",ROUNDUP(AK71/AK75,0))</f>
        <v/>
      </c>
      <c r="CC75" s="3" t="str">
        <f t="shared" ref="CC75" si="178">IF(AL75=0,"",ROUNDUP(AL71/AL75,0))</f>
        <v/>
      </c>
    </row>
    <row r="76" spans="1:81" ht="17.100000000000001" customHeight="1">
      <c r="A76" s="174"/>
      <c r="B76" s="30" t="s">
        <v>23</v>
      </c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40" t="str">
        <f t="shared" si="173"/>
        <v/>
      </c>
      <c r="AO76" s="39"/>
      <c r="AP76" s="39"/>
      <c r="AQ76" s="42">
        <f t="shared" si="174"/>
        <v>0</v>
      </c>
      <c r="AR76" s="25">
        <f t="shared" si="175"/>
        <v>0</v>
      </c>
      <c r="AT76" s="3" t="str">
        <f t="shared" ref="AT76:CA76" si="179">IF(C76=0,"",ROUNDUP(C71/C76,0))</f>
        <v/>
      </c>
      <c r="AU76" s="3" t="str">
        <f t="shared" si="179"/>
        <v/>
      </c>
      <c r="AV76" s="3" t="str">
        <f t="shared" si="179"/>
        <v/>
      </c>
      <c r="AW76" s="3" t="str">
        <f t="shared" si="179"/>
        <v/>
      </c>
      <c r="AX76" s="3" t="str">
        <f t="shared" si="179"/>
        <v/>
      </c>
      <c r="AY76" s="3" t="str">
        <f t="shared" si="179"/>
        <v/>
      </c>
      <c r="AZ76" s="3" t="str">
        <f t="shared" si="179"/>
        <v/>
      </c>
      <c r="BA76" s="3" t="str">
        <f t="shared" si="179"/>
        <v/>
      </c>
      <c r="BB76" s="3" t="str">
        <f t="shared" si="179"/>
        <v/>
      </c>
      <c r="BC76" s="3" t="str">
        <f t="shared" si="179"/>
        <v/>
      </c>
      <c r="BD76" s="3" t="str">
        <f t="shared" si="179"/>
        <v/>
      </c>
      <c r="BE76" s="3" t="str">
        <f t="shared" si="179"/>
        <v/>
      </c>
      <c r="BF76" s="3" t="str">
        <f t="shared" si="179"/>
        <v/>
      </c>
      <c r="BG76" s="3" t="str">
        <f t="shared" si="179"/>
        <v/>
      </c>
      <c r="BH76" s="3" t="str">
        <f t="shared" si="179"/>
        <v/>
      </c>
      <c r="BI76" s="3" t="str">
        <f t="shared" si="179"/>
        <v/>
      </c>
      <c r="BJ76" s="3" t="str">
        <f t="shared" si="179"/>
        <v/>
      </c>
      <c r="BK76" s="3" t="str">
        <f t="shared" si="179"/>
        <v/>
      </c>
      <c r="BL76" s="3" t="str">
        <f t="shared" si="179"/>
        <v/>
      </c>
      <c r="BM76" s="3" t="str">
        <f t="shared" si="179"/>
        <v/>
      </c>
      <c r="BN76" s="3" t="str">
        <f t="shared" si="179"/>
        <v/>
      </c>
      <c r="BO76" s="3" t="str">
        <f t="shared" si="179"/>
        <v/>
      </c>
      <c r="BP76" s="3" t="str">
        <f t="shared" si="179"/>
        <v/>
      </c>
      <c r="BQ76" s="3" t="str">
        <f t="shared" si="179"/>
        <v/>
      </c>
      <c r="BR76" s="3" t="str">
        <f t="shared" si="179"/>
        <v/>
      </c>
      <c r="BS76" s="3" t="str">
        <f t="shared" si="179"/>
        <v/>
      </c>
      <c r="BT76" s="3" t="str">
        <f t="shared" si="179"/>
        <v/>
      </c>
      <c r="BU76" s="3" t="str">
        <f t="shared" si="179"/>
        <v/>
      </c>
      <c r="BV76" s="3" t="str">
        <f t="shared" si="179"/>
        <v/>
      </c>
      <c r="BW76" s="3" t="str">
        <f t="shared" si="179"/>
        <v/>
      </c>
      <c r="BX76" s="3" t="str">
        <f t="shared" si="179"/>
        <v/>
      </c>
      <c r="BY76" s="3" t="str">
        <f t="shared" si="179"/>
        <v/>
      </c>
      <c r="BZ76" s="3" t="str">
        <f t="shared" si="179"/>
        <v/>
      </c>
      <c r="CA76" s="3" t="str">
        <f t="shared" si="179"/>
        <v/>
      </c>
      <c r="CB76" s="3" t="str">
        <f t="shared" ref="CB76" si="180">IF(AK76=0,"",ROUNDUP(AK71/AK76,0))</f>
        <v/>
      </c>
      <c r="CC76" s="3" t="str">
        <f t="shared" ref="CC76" si="181">IF(AL76=0,"",ROUNDUP(AL71/AL76,0))</f>
        <v/>
      </c>
    </row>
    <row r="77" spans="1:81" ht="17.100000000000001" customHeight="1">
      <c r="A77" s="174"/>
      <c r="B77" s="30" t="s">
        <v>24</v>
      </c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40" t="str">
        <f t="shared" si="173"/>
        <v/>
      </c>
      <c r="AO77" s="39"/>
      <c r="AP77" s="39"/>
      <c r="AQ77" s="42">
        <f t="shared" si="174"/>
        <v>0</v>
      </c>
      <c r="AR77" s="25">
        <f t="shared" si="175"/>
        <v>0</v>
      </c>
      <c r="AT77" s="3" t="str">
        <f t="shared" ref="AT77:CA77" si="182">IF(C77=0,"",ROUNDUP(C71/C77,0))</f>
        <v/>
      </c>
      <c r="AU77" s="3" t="str">
        <f t="shared" si="182"/>
        <v/>
      </c>
      <c r="AV77" s="3" t="str">
        <f t="shared" si="182"/>
        <v/>
      </c>
      <c r="AW77" s="3" t="str">
        <f t="shared" si="182"/>
        <v/>
      </c>
      <c r="AX77" s="3" t="str">
        <f t="shared" si="182"/>
        <v/>
      </c>
      <c r="AY77" s="3" t="str">
        <f t="shared" si="182"/>
        <v/>
      </c>
      <c r="AZ77" s="3" t="str">
        <f t="shared" si="182"/>
        <v/>
      </c>
      <c r="BA77" s="3" t="str">
        <f t="shared" si="182"/>
        <v/>
      </c>
      <c r="BB77" s="3" t="str">
        <f t="shared" si="182"/>
        <v/>
      </c>
      <c r="BC77" s="3" t="str">
        <f t="shared" si="182"/>
        <v/>
      </c>
      <c r="BD77" s="3" t="str">
        <f t="shared" si="182"/>
        <v/>
      </c>
      <c r="BE77" s="3" t="str">
        <f t="shared" si="182"/>
        <v/>
      </c>
      <c r="BF77" s="3" t="str">
        <f t="shared" si="182"/>
        <v/>
      </c>
      <c r="BG77" s="3" t="str">
        <f t="shared" si="182"/>
        <v/>
      </c>
      <c r="BH77" s="3" t="str">
        <f t="shared" si="182"/>
        <v/>
      </c>
      <c r="BI77" s="3" t="str">
        <f t="shared" si="182"/>
        <v/>
      </c>
      <c r="BJ77" s="3" t="str">
        <f t="shared" si="182"/>
        <v/>
      </c>
      <c r="BK77" s="3" t="str">
        <f t="shared" si="182"/>
        <v/>
      </c>
      <c r="BL77" s="3" t="str">
        <f t="shared" si="182"/>
        <v/>
      </c>
      <c r="BM77" s="3" t="str">
        <f t="shared" si="182"/>
        <v/>
      </c>
      <c r="BN77" s="3" t="str">
        <f t="shared" si="182"/>
        <v/>
      </c>
      <c r="BO77" s="3" t="str">
        <f t="shared" si="182"/>
        <v/>
      </c>
      <c r="BP77" s="3" t="str">
        <f t="shared" si="182"/>
        <v/>
      </c>
      <c r="BQ77" s="3" t="str">
        <f t="shared" si="182"/>
        <v/>
      </c>
      <c r="BR77" s="3" t="str">
        <f t="shared" si="182"/>
        <v/>
      </c>
      <c r="BS77" s="3" t="str">
        <f t="shared" si="182"/>
        <v/>
      </c>
      <c r="BT77" s="3" t="str">
        <f t="shared" si="182"/>
        <v/>
      </c>
      <c r="BU77" s="3" t="str">
        <f t="shared" si="182"/>
        <v/>
      </c>
      <c r="BV77" s="3" t="str">
        <f t="shared" si="182"/>
        <v/>
      </c>
      <c r="BW77" s="3" t="str">
        <f t="shared" si="182"/>
        <v/>
      </c>
      <c r="BX77" s="3" t="str">
        <f t="shared" si="182"/>
        <v/>
      </c>
      <c r="BY77" s="3" t="str">
        <f t="shared" si="182"/>
        <v/>
      </c>
      <c r="BZ77" s="3" t="str">
        <f t="shared" si="182"/>
        <v/>
      </c>
      <c r="CA77" s="3" t="str">
        <f t="shared" si="182"/>
        <v/>
      </c>
      <c r="CB77" s="3" t="str">
        <f t="shared" ref="CB77" si="183">IF(AK77=0,"",ROUNDUP(AK71/AK77,0))</f>
        <v/>
      </c>
      <c r="CC77" s="3" t="str">
        <f t="shared" ref="CC77" si="184">IF(AL77=0,"",ROUNDUP(AL71/AL77,0))</f>
        <v/>
      </c>
    </row>
    <row r="78" spans="1:81" ht="17.100000000000001" customHeight="1">
      <c r="A78" s="174"/>
      <c r="B78" s="30" t="s">
        <v>25</v>
      </c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40" t="str">
        <f t="shared" si="173"/>
        <v/>
      </c>
      <c r="AO78" s="39"/>
      <c r="AP78" s="39"/>
      <c r="AQ78" s="42">
        <f t="shared" si="174"/>
        <v>0</v>
      </c>
      <c r="AR78" s="25">
        <f t="shared" si="175"/>
        <v>0</v>
      </c>
      <c r="AT78" s="3" t="str">
        <f t="shared" ref="AT78:CA78" si="185">IF(C78=0,"",ROUNDUP(C71/C78,0))</f>
        <v/>
      </c>
      <c r="AU78" s="3" t="str">
        <f t="shared" si="185"/>
        <v/>
      </c>
      <c r="AV78" s="3" t="str">
        <f t="shared" si="185"/>
        <v/>
      </c>
      <c r="AW78" s="3" t="str">
        <f t="shared" si="185"/>
        <v/>
      </c>
      <c r="AX78" s="3" t="str">
        <f t="shared" si="185"/>
        <v/>
      </c>
      <c r="AY78" s="3" t="str">
        <f t="shared" si="185"/>
        <v/>
      </c>
      <c r="AZ78" s="3" t="str">
        <f t="shared" si="185"/>
        <v/>
      </c>
      <c r="BA78" s="3" t="str">
        <f t="shared" si="185"/>
        <v/>
      </c>
      <c r="BB78" s="3" t="str">
        <f t="shared" si="185"/>
        <v/>
      </c>
      <c r="BC78" s="3" t="str">
        <f t="shared" si="185"/>
        <v/>
      </c>
      <c r="BD78" s="3" t="str">
        <f t="shared" si="185"/>
        <v/>
      </c>
      <c r="BE78" s="3" t="str">
        <f t="shared" si="185"/>
        <v/>
      </c>
      <c r="BF78" s="3" t="str">
        <f t="shared" si="185"/>
        <v/>
      </c>
      <c r="BG78" s="3" t="str">
        <f t="shared" si="185"/>
        <v/>
      </c>
      <c r="BH78" s="3" t="str">
        <f t="shared" si="185"/>
        <v/>
      </c>
      <c r="BI78" s="3" t="str">
        <f t="shared" si="185"/>
        <v/>
      </c>
      <c r="BJ78" s="3" t="str">
        <f t="shared" si="185"/>
        <v/>
      </c>
      <c r="BK78" s="3" t="str">
        <f t="shared" si="185"/>
        <v/>
      </c>
      <c r="BL78" s="3" t="str">
        <f t="shared" si="185"/>
        <v/>
      </c>
      <c r="BM78" s="3" t="str">
        <f t="shared" si="185"/>
        <v/>
      </c>
      <c r="BN78" s="3" t="str">
        <f t="shared" si="185"/>
        <v/>
      </c>
      <c r="BO78" s="3" t="str">
        <f t="shared" si="185"/>
        <v/>
      </c>
      <c r="BP78" s="3" t="str">
        <f t="shared" si="185"/>
        <v/>
      </c>
      <c r="BQ78" s="3" t="str">
        <f t="shared" si="185"/>
        <v/>
      </c>
      <c r="BR78" s="3" t="str">
        <f t="shared" si="185"/>
        <v/>
      </c>
      <c r="BS78" s="3" t="str">
        <f t="shared" si="185"/>
        <v/>
      </c>
      <c r="BT78" s="3" t="str">
        <f t="shared" si="185"/>
        <v/>
      </c>
      <c r="BU78" s="3" t="str">
        <f t="shared" si="185"/>
        <v/>
      </c>
      <c r="BV78" s="3" t="str">
        <f t="shared" si="185"/>
        <v/>
      </c>
      <c r="BW78" s="3" t="str">
        <f t="shared" si="185"/>
        <v/>
      </c>
      <c r="BX78" s="3" t="str">
        <f t="shared" si="185"/>
        <v/>
      </c>
      <c r="BY78" s="3" t="str">
        <f t="shared" si="185"/>
        <v/>
      </c>
      <c r="BZ78" s="3" t="str">
        <f t="shared" si="185"/>
        <v/>
      </c>
      <c r="CA78" s="3" t="str">
        <f t="shared" si="185"/>
        <v/>
      </c>
      <c r="CB78" s="3" t="str">
        <f t="shared" ref="CB78" si="186">IF(AK78=0,"",ROUNDUP(AK71/AK78,0))</f>
        <v/>
      </c>
      <c r="CC78" s="3" t="str">
        <f t="shared" ref="CC78" si="187">IF(AL78=0,"",ROUNDUP(AL71/AL78,0))</f>
        <v/>
      </c>
    </row>
    <row r="79" spans="1:81" ht="17.100000000000001" customHeight="1">
      <c r="A79" s="174"/>
      <c r="B79" s="30" t="s">
        <v>26</v>
      </c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40" t="str">
        <f>IF(AM79="","",SUM(C79:AL79)*AM79)</f>
        <v/>
      </c>
      <c r="AO79" s="39"/>
      <c r="AP79" s="39"/>
      <c r="AQ79" s="42">
        <f t="shared" si="174"/>
        <v>0</v>
      </c>
      <c r="AR79" s="25">
        <f t="shared" si="175"/>
        <v>0</v>
      </c>
      <c r="AT79" s="3" t="str">
        <f t="shared" ref="AT79:CA79" si="188">IF(C79=0,"",ROUNDUP(C71/C79,0))</f>
        <v/>
      </c>
      <c r="AU79" s="3" t="str">
        <f t="shared" si="188"/>
        <v/>
      </c>
      <c r="AV79" s="3" t="str">
        <f t="shared" si="188"/>
        <v/>
      </c>
      <c r="AW79" s="3" t="str">
        <f t="shared" si="188"/>
        <v/>
      </c>
      <c r="AX79" s="3" t="str">
        <f t="shared" si="188"/>
        <v/>
      </c>
      <c r="AY79" s="3" t="str">
        <f t="shared" si="188"/>
        <v/>
      </c>
      <c r="AZ79" s="3" t="str">
        <f t="shared" si="188"/>
        <v/>
      </c>
      <c r="BA79" s="3" t="str">
        <f t="shared" si="188"/>
        <v/>
      </c>
      <c r="BB79" s="3" t="str">
        <f t="shared" si="188"/>
        <v/>
      </c>
      <c r="BC79" s="3" t="str">
        <f t="shared" si="188"/>
        <v/>
      </c>
      <c r="BD79" s="3" t="str">
        <f t="shared" si="188"/>
        <v/>
      </c>
      <c r="BE79" s="3" t="str">
        <f t="shared" si="188"/>
        <v/>
      </c>
      <c r="BF79" s="3" t="str">
        <f t="shared" si="188"/>
        <v/>
      </c>
      <c r="BG79" s="3" t="str">
        <f t="shared" si="188"/>
        <v/>
      </c>
      <c r="BH79" s="3" t="str">
        <f t="shared" si="188"/>
        <v/>
      </c>
      <c r="BI79" s="3" t="str">
        <f t="shared" si="188"/>
        <v/>
      </c>
      <c r="BJ79" s="3" t="str">
        <f t="shared" si="188"/>
        <v/>
      </c>
      <c r="BK79" s="3" t="str">
        <f t="shared" si="188"/>
        <v/>
      </c>
      <c r="BL79" s="3" t="str">
        <f t="shared" si="188"/>
        <v/>
      </c>
      <c r="BM79" s="3" t="str">
        <f t="shared" si="188"/>
        <v/>
      </c>
      <c r="BN79" s="3" t="str">
        <f t="shared" si="188"/>
        <v/>
      </c>
      <c r="BO79" s="3" t="str">
        <f t="shared" si="188"/>
        <v/>
      </c>
      <c r="BP79" s="3" t="str">
        <f t="shared" si="188"/>
        <v/>
      </c>
      <c r="BQ79" s="3" t="str">
        <f t="shared" si="188"/>
        <v/>
      </c>
      <c r="BR79" s="3" t="str">
        <f t="shared" si="188"/>
        <v/>
      </c>
      <c r="BS79" s="3" t="str">
        <f t="shared" si="188"/>
        <v/>
      </c>
      <c r="BT79" s="3" t="str">
        <f t="shared" si="188"/>
        <v/>
      </c>
      <c r="BU79" s="3" t="str">
        <f t="shared" si="188"/>
        <v/>
      </c>
      <c r="BV79" s="3" t="str">
        <f t="shared" si="188"/>
        <v/>
      </c>
      <c r="BW79" s="3" t="str">
        <f t="shared" si="188"/>
        <v/>
      </c>
      <c r="BX79" s="3" t="str">
        <f t="shared" si="188"/>
        <v/>
      </c>
      <c r="BY79" s="3" t="str">
        <f t="shared" si="188"/>
        <v/>
      </c>
      <c r="BZ79" s="3" t="str">
        <f t="shared" si="188"/>
        <v/>
      </c>
      <c r="CA79" s="3" t="str">
        <f t="shared" si="188"/>
        <v/>
      </c>
      <c r="CB79" s="3" t="str">
        <f t="shared" ref="CB79" si="189">IF(AK79=0,"",ROUNDUP(AK71/AK79,0))</f>
        <v/>
      </c>
      <c r="CC79" s="3" t="str">
        <f t="shared" ref="CC79" si="190">IF(AL79=0,"",ROUNDUP(AL71/AL79,0))</f>
        <v/>
      </c>
    </row>
    <row r="80" spans="1:81" ht="17.100000000000001" customHeight="1">
      <c r="A80" s="174"/>
      <c r="B80" s="30" t="s">
        <v>27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40" t="str">
        <f t="shared" si="173"/>
        <v/>
      </c>
      <c r="AO80" s="39"/>
      <c r="AP80" s="39"/>
      <c r="AQ80" s="42">
        <f t="shared" si="174"/>
        <v>0</v>
      </c>
      <c r="AR80" s="25">
        <f t="shared" si="175"/>
        <v>0</v>
      </c>
      <c r="AT80" s="3" t="str">
        <f t="shared" ref="AT80:CA80" si="191">IF(C80=0,"",ROUNDUP(C71/C80,0))</f>
        <v/>
      </c>
      <c r="AU80" s="3" t="str">
        <f t="shared" si="191"/>
        <v/>
      </c>
      <c r="AV80" s="3" t="str">
        <f t="shared" si="191"/>
        <v/>
      </c>
      <c r="AW80" s="3" t="str">
        <f t="shared" si="191"/>
        <v/>
      </c>
      <c r="AX80" s="3" t="str">
        <f t="shared" si="191"/>
        <v/>
      </c>
      <c r="AY80" s="3" t="str">
        <f t="shared" si="191"/>
        <v/>
      </c>
      <c r="AZ80" s="3" t="str">
        <f t="shared" si="191"/>
        <v/>
      </c>
      <c r="BA80" s="3" t="str">
        <f t="shared" si="191"/>
        <v/>
      </c>
      <c r="BB80" s="3" t="str">
        <f t="shared" si="191"/>
        <v/>
      </c>
      <c r="BC80" s="3" t="str">
        <f t="shared" si="191"/>
        <v/>
      </c>
      <c r="BD80" s="3" t="str">
        <f t="shared" si="191"/>
        <v/>
      </c>
      <c r="BE80" s="3" t="str">
        <f t="shared" si="191"/>
        <v/>
      </c>
      <c r="BF80" s="3" t="str">
        <f t="shared" si="191"/>
        <v/>
      </c>
      <c r="BG80" s="3" t="str">
        <f t="shared" si="191"/>
        <v/>
      </c>
      <c r="BH80" s="3" t="str">
        <f t="shared" si="191"/>
        <v/>
      </c>
      <c r="BI80" s="3" t="str">
        <f t="shared" si="191"/>
        <v/>
      </c>
      <c r="BJ80" s="3" t="str">
        <f t="shared" si="191"/>
        <v/>
      </c>
      <c r="BK80" s="3" t="str">
        <f t="shared" si="191"/>
        <v/>
      </c>
      <c r="BL80" s="3" t="str">
        <f t="shared" si="191"/>
        <v/>
      </c>
      <c r="BM80" s="3" t="str">
        <f t="shared" si="191"/>
        <v/>
      </c>
      <c r="BN80" s="3" t="str">
        <f t="shared" si="191"/>
        <v/>
      </c>
      <c r="BO80" s="3" t="str">
        <f t="shared" si="191"/>
        <v/>
      </c>
      <c r="BP80" s="3" t="str">
        <f t="shared" si="191"/>
        <v/>
      </c>
      <c r="BQ80" s="3" t="str">
        <f t="shared" si="191"/>
        <v/>
      </c>
      <c r="BR80" s="3" t="str">
        <f t="shared" si="191"/>
        <v/>
      </c>
      <c r="BS80" s="3" t="str">
        <f t="shared" si="191"/>
        <v/>
      </c>
      <c r="BT80" s="3" t="str">
        <f t="shared" si="191"/>
        <v/>
      </c>
      <c r="BU80" s="3" t="str">
        <f t="shared" si="191"/>
        <v/>
      </c>
      <c r="BV80" s="3" t="str">
        <f t="shared" si="191"/>
        <v/>
      </c>
      <c r="BW80" s="3" t="str">
        <f t="shared" si="191"/>
        <v/>
      </c>
      <c r="BX80" s="3" t="str">
        <f t="shared" si="191"/>
        <v/>
      </c>
      <c r="BY80" s="3" t="str">
        <f t="shared" si="191"/>
        <v/>
      </c>
      <c r="BZ80" s="3" t="str">
        <f t="shared" si="191"/>
        <v/>
      </c>
      <c r="CA80" s="3" t="str">
        <f t="shared" si="191"/>
        <v/>
      </c>
      <c r="CB80" s="3" t="str">
        <f t="shared" ref="CB80" si="192">IF(AK80=0,"",ROUNDUP(AK71/AK80,0))</f>
        <v/>
      </c>
      <c r="CC80" s="3" t="str">
        <f t="shared" ref="CC80" si="193">IF(AL80=0,"",ROUNDUP(AL71/AL80,0))</f>
        <v/>
      </c>
    </row>
    <row r="81" spans="1:81" ht="17.100000000000001" customHeight="1">
      <c r="A81" s="175"/>
      <c r="B81" s="30" t="s">
        <v>28</v>
      </c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41" t="str">
        <f t="shared" si="173"/>
        <v/>
      </c>
      <c r="AO81" s="39"/>
      <c r="AP81" s="39"/>
      <c r="AQ81" s="42">
        <f t="shared" si="174"/>
        <v>0</v>
      </c>
      <c r="AR81" s="25">
        <f t="shared" si="175"/>
        <v>0</v>
      </c>
      <c r="AT81" s="3" t="str">
        <f t="shared" ref="AT81:CA81" si="194">IF(C81=0,"",ROUNDUP(C71/C81,0))</f>
        <v/>
      </c>
      <c r="AU81" s="3" t="str">
        <f t="shared" si="194"/>
        <v/>
      </c>
      <c r="AV81" s="3" t="str">
        <f t="shared" si="194"/>
        <v/>
      </c>
      <c r="AW81" s="3" t="str">
        <f t="shared" si="194"/>
        <v/>
      </c>
      <c r="AX81" s="3" t="str">
        <f t="shared" si="194"/>
        <v/>
      </c>
      <c r="AY81" s="3" t="str">
        <f t="shared" si="194"/>
        <v/>
      </c>
      <c r="AZ81" s="3" t="str">
        <f t="shared" si="194"/>
        <v/>
      </c>
      <c r="BA81" s="3" t="str">
        <f t="shared" si="194"/>
        <v/>
      </c>
      <c r="BB81" s="3" t="str">
        <f t="shared" si="194"/>
        <v/>
      </c>
      <c r="BC81" s="3" t="str">
        <f t="shared" si="194"/>
        <v/>
      </c>
      <c r="BD81" s="3" t="str">
        <f t="shared" si="194"/>
        <v/>
      </c>
      <c r="BE81" s="3" t="str">
        <f t="shared" si="194"/>
        <v/>
      </c>
      <c r="BF81" s="3" t="str">
        <f t="shared" si="194"/>
        <v/>
      </c>
      <c r="BG81" s="3" t="str">
        <f t="shared" si="194"/>
        <v/>
      </c>
      <c r="BH81" s="3" t="str">
        <f t="shared" si="194"/>
        <v/>
      </c>
      <c r="BI81" s="3" t="str">
        <f t="shared" si="194"/>
        <v/>
      </c>
      <c r="BJ81" s="3" t="str">
        <f t="shared" si="194"/>
        <v/>
      </c>
      <c r="BK81" s="3" t="str">
        <f t="shared" si="194"/>
        <v/>
      </c>
      <c r="BL81" s="3" t="str">
        <f t="shared" si="194"/>
        <v/>
      </c>
      <c r="BM81" s="3" t="str">
        <f t="shared" si="194"/>
        <v/>
      </c>
      <c r="BN81" s="3" t="str">
        <f t="shared" si="194"/>
        <v/>
      </c>
      <c r="BO81" s="3" t="str">
        <f t="shared" si="194"/>
        <v/>
      </c>
      <c r="BP81" s="3" t="str">
        <f t="shared" si="194"/>
        <v/>
      </c>
      <c r="BQ81" s="3" t="str">
        <f t="shared" si="194"/>
        <v/>
      </c>
      <c r="BR81" s="3" t="str">
        <f t="shared" si="194"/>
        <v/>
      </c>
      <c r="BS81" s="3" t="str">
        <f t="shared" si="194"/>
        <v/>
      </c>
      <c r="BT81" s="3" t="str">
        <f t="shared" si="194"/>
        <v/>
      </c>
      <c r="BU81" s="3" t="str">
        <f t="shared" si="194"/>
        <v/>
      </c>
      <c r="BV81" s="3" t="str">
        <f t="shared" si="194"/>
        <v/>
      </c>
      <c r="BW81" s="3" t="str">
        <f t="shared" si="194"/>
        <v/>
      </c>
      <c r="BX81" s="3" t="str">
        <f t="shared" si="194"/>
        <v/>
      </c>
      <c r="BY81" s="3" t="str">
        <f t="shared" si="194"/>
        <v/>
      </c>
      <c r="BZ81" s="3" t="str">
        <f t="shared" si="194"/>
        <v/>
      </c>
      <c r="CA81" s="3" t="str">
        <f t="shared" si="194"/>
        <v/>
      </c>
      <c r="CB81" s="3" t="str">
        <f t="shared" ref="CB81" si="195">IF(AK81=0,"",ROUNDUP(AK71/AK81,0))</f>
        <v/>
      </c>
      <c r="CC81" s="3" t="str">
        <f t="shared" ref="CC81" si="196">IF(AL81=0,"",ROUNDUP(AL71/AL81,0))</f>
        <v/>
      </c>
    </row>
    <row r="82" spans="1:81" ht="17.100000000000001" customHeight="1" thickBot="1">
      <c r="AN82" s="7">
        <f>SUM(AN74:AN81)</f>
        <v>0</v>
      </c>
      <c r="AQ82" s="12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21.95" customHeight="1" thickBot="1">
      <c r="A83" s="160">
        <v>6</v>
      </c>
      <c r="B83" s="161"/>
      <c r="C83" s="176"/>
      <c r="AQ83" s="12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17.100000000000001" customHeight="1">
      <c r="A84" s="51" t="s">
        <v>29</v>
      </c>
      <c r="B84" s="50"/>
      <c r="C84" s="148" t="s">
        <v>10</v>
      </c>
      <c r="D84" s="148"/>
      <c r="E84" s="148"/>
      <c r="F84" s="148"/>
      <c r="G84" s="148"/>
      <c r="H84" s="148"/>
      <c r="I84" s="148"/>
      <c r="J84" s="148"/>
      <c r="K84" s="148"/>
      <c r="L84" s="148"/>
      <c r="M84" s="148"/>
      <c r="N84" s="148"/>
      <c r="O84" s="148"/>
      <c r="P84" s="148"/>
      <c r="Q84" s="148"/>
      <c r="R84" s="148"/>
      <c r="S84" s="148"/>
      <c r="T84" s="148"/>
      <c r="U84" s="148"/>
      <c r="V84" s="148"/>
      <c r="W84" s="148"/>
      <c r="X84" s="148"/>
      <c r="Y84" s="148"/>
      <c r="Z84" s="148"/>
      <c r="AA84" s="148"/>
      <c r="AB84" s="148"/>
      <c r="AC84" s="148"/>
      <c r="AD84" s="148"/>
      <c r="AE84" s="148"/>
      <c r="AF84" s="148"/>
      <c r="AG84" s="148"/>
      <c r="AH84" s="148"/>
      <c r="AI84" s="148"/>
      <c r="AJ84" s="148"/>
      <c r="AK84" s="148"/>
      <c r="AL84" s="148"/>
      <c r="AM84" s="10"/>
      <c r="AN84" s="31"/>
      <c r="AO84" s="35" t="s">
        <v>4</v>
      </c>
      <c r="AP84" s="149"/>
      <c r="AQ84" s="150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27">
      <c r="A85" s="52" t="s">
        <v>36</v>
      </c>
      <c r="B85" s="50"/>
      <c r="C85" s="26" t="str">
        <f>IF(C69=0,"",IF(C69&gt;0,C69))</f>
        <v/>
      </c>
      <c r="D85" s="26" t="str">
        <f t="shared" ref="D85:AL85" si="197">IF(D69=0,"",IF(D69&gt;0,D69))</f>
        <v/>
      </c>
      <c r="E85" s="26" t="str">
        <f t="shared" si="197"/>
        <v/>
      </c>
      <c r="F85" s="26" t="str">
        <f t="shared" si="197"/>
        <v/>
      </c>
      <c r="G85" s="26" t="str">
        <f t="shared" si="197"/>
        <v/>
      </c>
      <c r="H85" s="26" t="str">
        <f t="shared" si="197"/>
        <v/>
      </c>
      <c r="I85" s="26" t="str">
        <f t="shared" si="197"/>
        <v/>
      </c>
      <c r="J85" s="26" t="str">
        <f t="shared" si="197"/>
        <v/>
      </c>
      <c r="K85" s="26" t="str">
        <f t="shared" si="197"/>
        <v/>
      </c>
      <c r="L85" s="26" t="str">
        <f t="shared" si="197"/>
        <v/>
      </c>
      <c r="M85" s="26" t="str">
        <f t="shared" si="197"/>
        <v/>
      </c>
      <c r="N85" s="26" t="str">
        <f t="shared" si="197"/>
        <v/>
      </c>
      <c r="O85" s="26" t="str">
        <f t="shared" si="197"/>
        <v/>
      </c>
      <c r="P85" s="26" t="str">
        <f t="shared" si="197"/>
        <v/>
      </c>
      <c r="Q85" s="26" t="str">
        <f t="shared" si="197"/>
        <v/>
      </c>
      <c r="R85" s="26" t="str">
        <f t="shared" si="197"/>
        <v/>
      </c>
      <c r="S85" s="26" t="str">
        <f t="shared" si="197"/>
        <v/>
      </c>
      <c r="T85" s="26" t="str">
        <f t="shared" si="197"/>
        <v/>
      </c>
      <c r="U85" s="26" t="str">
        <f t="shared" si="197"/>
        <v/>
      </c>
      <c r="V85" s="26" t="str">
        <f t="shared" si="197"/>
        <v/>
      </c>
      <c r="W85" s="26" t="str">
        <f t="shared" si="197"/>
        <v/>
      </c>
      <c r="X85" s="26" t="str">
        <f t="shared" si="197"/>
        <v/>
      </c>
      <c r="Y85" s="26" t="str">
        <f t="shared" si="197"/>
        <v/>
      </c>
      <c r="Z85" s="26" t="str">
        <f t="shared" si="197"/>
        <v/>
      </c>
      <c r="AA85" s="26" t="str">
        <f t="shared" si="197"/>
        <v/>
      </c>
      <c r="AB85" s="26" t="str">
        <f t="shared" si="197"/>
        <v/>
      </c>
      <c r="AC85" s="26" t="str">
        <f t="shared" si="197"/>
        <v/>
      </c>
      <c r="AD85" s="26" t="str">
        <f t="shared" si="197"/>
        <v/>
      </c>
      <c r="AE85" s="26" t="str">
        <f t="shared" si="197"/>
        <v/>
      </c>
      <c r="AF85" s="26" t="str">
        <f t="shared" si="197"/>
        <v/>
      </c>
      <c r="AG85" s="26" t="str">
        <f t="shared" si="197"/>
        <v/>
      </c>
      <c r="AH85" s="26" t="str">
        <f t="shared" si="197"/>
        <v/>
      </c>
      <c r="AI85" s="26" t="str">
        <f t="shared" si="197"/>
        <v/>
      </c>
      <c r="AJ85" s="26" t="str">
        <f t="shared" si="197"/>
        <v/>
      </c>
      <c r="AK85" s="26" t="str">
        <f t="shared" si="197"/>
        <v/>
      </c>
      <c r="AL85" s="26" t="str">
        <f t="shared" si="197"/>
        <v/>
      </c>
      <c r="AM85" s="5" t="s">
        <v>2</v>
      </c>
      <c r="AN85" s="31"/>
      <c r="AO85" s="32" t="s">
        <v>5</v>
      </c>
      <c r="AP85" s="151">
        <f>SUM(AQ90:AQ97)</f>
        <v>0</v>
      </c>
      <c r="AQ85" s="151"/>
      <c r="AT85" s="2" t="str">
        <f t="shared" ref="AT85:BY85" si="198">IF(C85=0,"",IF(C85&gt;0,C85))</f>
        <v/>
      </c>
      <c r="AU85" s="2" t="str">
        <f t="shared" si="198"/>
        <v/>
      </c>
      <c r="AV85" s="2" t="str">
        <f t="shared" si="198"/>
        <v/>
      </c>
      <c r="AW85" s="2" t="str">
        <f t="shared" si="198"/>
        <v/>
      </c>
      <c r="AX85" s="2" t="str">
        <f t="shared" si="198"/>
        <v/>
      </c>
      <c r="AY85" s="2" t="str">
        <f t="shared" si="198"/>
        <v/>
      </c>
      <c r="AZ85" s="2" t="str">
        <f t="shared" si="198"/>
        <v/>
      </c>
      <c r="BA85" s="2" t="str">
        <f t="shared" si="198"/>
        <v/>
      </c>
      <c r="BB85" s="2" t="str">
        <f t="shared" si="198"/>
        <v/>
      </c>
      <c r="BC85" s="2" t="str">
        <f t="shared" si="198"/>
        <v/>
      </c>
      <c r="BD85" s="2" t="str">
        <f t="shared" si="198"/>
        <v/>
      </c>
      <c r="BE85" s="2" t="str">
        <f t="shared" si="198"/>
        <v/>
      </c>
      <c r="BF85" s="2" t="str">
        <f t="shared" si="198"/>
        <v/>
      </c>
      <c r="BG85" s="2" t="str">
        <f t="shared" si="198"/>
        <v/>
      </c>
      <c r="BH85" s="2" t="str">
        <f t="shared" si="198"/>
        <v/>
      </c>
      <c r="BI85" s="2" t="str">
        <f t="shared" si="198"/>
        <v/>
      </c>
      <c r="BJ85" s="2" t="str">
        <f t="shared" si="198"/>
        <v/>
      </c>
      <c r="BK85" s="2" t="str">
        <f t="shared" si="198"/>
        <v/>
      </c>
      <c r="BL85" s="2" t="str">
        <f t="shared" si="198"/>
        <v/>
      </c>
      <c r="BM85" s="2" t="str">
        <f t="shared" si="198"/>
        <v/>
      </c>
      <c r="BN85" s="2" t="str">
        <f t="shared" si="198"/>
        <v/>
      </c>
      <c r="BO85" s="2" t="str">
        <f t="shared" si="198"/>
        <v/>
      </c>
      <c r="BP85" s="2" t="str">
        <f t="shared" si="198"/>
        <v/>
      </c>
      <c r="BQ85" s="2" t="str">
        <f t="shared" si="198"/>
        <v/>
      </c>
      <c r="BR85" s="2" t="str">
        <f t="shared" si="198"/>
        <v/>
      </c>
      <c r="BS85" s="2" t="str">
        <f t="shared" si="198"/>
        <v/>
      </c>
      <c r="BT85" s="2" t="str">
        <f t="shared" si="198"/>
        <v/>
      </c>
      <c r="BU85" s="2" t="str">
        <f t="shared" si="198"/>
        <v/>
      </c>
      <c r="BV85" s="2" t="str">
        <f t="shared" si="198"/>
        <v/>
      </c>
      <c r="BW85" s="2" t="str">
        <f t="shared" si="198"/>
        <v/>
      </c>
      <c r="BX85" s="2" t="str">
        <f t="shared" si="198"/>
        <v/>
      </c>
      <c r="BY85" s="2" t="str">
        <f t="shared" si="198"/>
        <v/>
      </c>
      <c r="BZ85" s="2" t="str">
        <f t="shared" ref="BZ85" si="199">IF(AI85=0,"",IF(AI85&gt;0,AI85))</f>
        <v/>
      </c>
      <c r="CA85" s="2" t="str">
        <f t="shared" ref="CA85" si="200">IF(AJ85=0,"",IF(AJ85&gt;0,AJ85))</f>
        <v/>
      </c>
      <c r="CB85" s="2" t="str">
        <f t="shared" ref="CB85" si="201">IF(AK85=0,"",IF(AK85&gt;0,AK85))</f>
        <v/>
      </c>
      <c r="CC85" s="2" t="str">
        <f t="shared" ref="CC85" si="202">IF(AL85=0,"",IF(AL85&gt;0,AL85))</f>
        <v/>
      </c>
    </row>
    <row r="86" spans="1:81" ht="17.100000000000001" customHeight="1">
      <c r="A86" s="152" t="s">
        <v>30</v>
      </c>
      <c r="B86" s="153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46"/>
      <c r="AJ86" s="46"/>
      <c r="AK86" s="46"/>
      <c r="AL86" s="46"/>
      <c r="AM86" s="45">
        <f>SUM(C86:AL86)</f>
        <v>0</v>
      </c>
      <c r="AN86" s="33"/>
      <c r="AO86" s="34" t="str">
        <f>IF(AP86&lt;5,"NO ",IF(AP86=5,"ok",IF(AP86&gt;5,"ok")))</f>
        <v xml:space="preserve">NO </v>
      </c>
      <c r="AP86" s="154">
        <f>AP84-AP85-AP87</f>
        <v>0</v>
      </c>
      <c r="AQ86" s="154"/>
      <c r="AR86" s="16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</row>
    <row r="87" spans="1:81" ht="17.100000000000001" customHeight="1">
      <c r="A87" s="152"/>
      <c r="B87" s="153"/>
      <c r="C87" s="47" t="str">
        <f>IF(C85="","",C86-C90*$AM90-C91*$AM91-C92*$AM92-C93*$AM93-C94*$AM94-C95*$AM95-C96*$AM96-C97*$AM97)</f>
        <v/>
      </c>
      <c r="D87" s="47" t="str">
        <f t="shared" ref="D87" si="203">IF(D85="","",D86-D90*$AM90-D91*$AM91-D92*$AM92-D93*$AM93-D94*$AM94-D95*$AM95-D96*$AM96-D97*$AM97)</f>
        <v/>
      </c>
      <c r="E87" s="47" t="str">
        <f t="shared" ref="E87" si="204">IF(E85="","",E86-E90*$AM90-E91*$AM91-E92*$AM92-E93*$AM93-E94*$AM94-E95*$AM95-E96*$AM96-E97*$AM97)</f>
        <v/>
      </c>
      <c r="F87" s="47" t="str">
        <f t="shared" ref="F87" si="205">IF(F85="","",F86-F90*$AM90-F91*$AM91-F92*$AM92-F93*$AM93-F94*$AM94-F95*$AM95-F96*$AM96-F97*$AM97)</f>
        <v/>
      </c>
      <c r="G87" s="47" t="str">
        <f t="shared" ref="G87" si="206">IF(G85="","",G86-G90*$AM90-G91*$AM91-G92*$AM92-G93*$AM93-G94*$AM94-G95*$AM95-G96*$AM96-G97*$AM97)</f>
        <v/>
      </c>
      <c r="H87" s="47" t="str">
        <f t="shared" ref="H87" si="207">IF(H85="","",H86-H90*$AM90-H91*$AM91-H92*$AM92-H93*$AM93-H94*$AM94-H95*$AM95-H96*$AM96-H97*$AM97)</f>
        <v/>
      </c>
      <c r="I87" s="47" t="str">
        <f t="shared" ref="I87" si="208">IF(I85="","",I86-I90*$AM90-I91*$AM91-I92*$AM92-I93*$AM93-I94*$AM94-I95*$AM95-I96*$AM96-I97*$AM97)</f>
        <v/>
      </c>
      <c r="J87" s="47" t="str">
        <f t="shared" ref="J87" si="209">IF(J85="","",J86-J90*$AM90-J91*$AM91-J92*$AM92-J93*$AM93-J94*$AM94-J95*$AM95-J96*$AM96-J97*$AM97)</f>
        <v/>
      </c>
      <c r="K87" s="47" t="str">
        <f t="shared" ref="K87" si="210">IF(K85="","",K86-K90*$AM90-K91*$AM91-K92*$AM92-K93*$AM93-K94*$AM94-K95*$AM95-K96*$AM96-K97*$AM97)</f>
        <v/>
      </c>
      <c r="L87" s="47" t="str">
        <f t="shared" ref="L87" si="211">IF(L85="","",L86-L90*$AM90-L91*$AM91-L92*$AM92-L93*$AM93-L94*$AM94-L95*$AM95-L96*$AM96-L97*$AM97)</f>
        <v/>
      </c>
      <c r="M87" s="47" t="str">
        <f t="shared" ref="M87" si="212">IF(M85="","",M86-M90*$AM90-M91*$AM91-M92*$AM92-M93*$AM93-M94*$AM94-M95*$AM95-M96*$AM96-M97*$AM97)</f>
        <v/>
      </c>
      <c r="N87" s="47" t="str">
        <f t="shared" ref="N87" si="213">IF(N85="","",N86-N90*$AM90-N91*$AM91-N92*$AM92-N93*$AM93-N94*$AM94-N95*$AM95-N96*$AM96-N97*$AM97)</f>
        <v/>
      </c>
      <c r="O87" s="47" t="str">
        <f t="shared" ref="O87" si="214">IF(O85="","",O86-O90*$AM90-O91*$AM91-O92*$AM92-O93*$AM93-O94*$AM94-O95*$AM95-O96*$AM96-O97*$AM97)</f>
        <v/>
      </c>
      <c r="P87" s="47" t="str">
        <f t="shared" ref="P87" si="215">IF(P85="","",P86-P90*$AM90-P91*$AM91-P92*$AM92-P93*$AM93-P94*$AM94-P95*$AM95-P96*$AM96-P97*$AM97)</f>
        <v/>
      </c>
      <c r="Q87" s="47" t="str">
        <f t="shared" ref="Q87" si="216">IF(Q85="","",Q86-Q90*$AM90-Q91*$AM91-Q92*$AM92-Q93*$AM93-Q94*$AM94-Q95*$AM95-Q96*$AM96-Q97*$AM97)</f>
        <v/>
      </c>
      <c r="R87" s="47" t="str">
        <f t="shared" ref="R87" si="217">IF(R85="","",R86-R90*$AM90-R91*$AM91-R92*$AM92-R93*$AM93-R94*$AM94-R95*$AM95-R96*$AM96-R97*$AM97)</f>
        <v/>
      </c>
      <c r="S87" s="47" t="str">
        <f t="shared" ref="S87" si="218">IF(S85="","",S86-S90*$AM90-S91*$AM91-S92*$AM92-S93*$AM93-S94*$AM94-S95*$AM95-S96*$AM96-S97*$AM97)</f>
        <v/>
      </c>
      <c r="T87" s="47" t="str">
        <f t="shared" ref="T87" si="219">IF(T85="","",T86-T90*$AM90-T91*$AM91-T92*$AM92-T93*$AM93-T94*$AM94-T95*$AM95-T96*$AM96-T97*$AM97)</f>
        <v/>
      </c>
      <c r="U87" s="47" t="str">
        <f t="shared" ref="U87" si="220">IF(U85="","",U86-U90*$AM90-U91*$AM91-U92*$AM92-U93*$AM93-U94*$AM94-U95*$AM95-U96*$AM96-U97*$AM97)</f>
        <v/>
      </c>
      <c r="V87" s="47" t="str">
        <f t="shared" ref="V87" si="221">IF(V85="","",V86-V90*$AM90-V91*$AM91-V92*$AM92-V93*$AM93-V94*$AM94-V95*$AM95-V96*$AM96-V97*$AM97)</f>
        <v/>
      </c>
      <c r="W87" s="47" t="str">
        <f t="shared" ref="W87" si="222">IF(W85="","",W86-W90*$AM90-W91*$AM91-W92*$AM92-W93*$AM93-W94*$AM94-W95*$AM95-W96*$AM96-W97*$AM97)</f>
        <v/>
      </c>
      <c r="X87" s="47" t="str">
        <f t="shared" ref="X87" si="223">IF(X85="","",X86-X90*$AM90-X91*$AM91-X92*$AM92-X93*$AM93-X94*$AM94-X95*$AM95-X96*$AM96-X97*$AM97)</f>
        <v/>
      </c>
      <c r="Y87" s="47" t="str">
        <f t="shared" ref="Y87" si="224">IF(Y85="","",Y86-Y90*$AM90-Y91*$AM91-Y92*$AM92-Y93*$AM93-Y94*$AM94-Y95*$AM95-Y96*$AM96-Y97*$AM97)</f>
        <v/>
      </c>
      <c r="Z87" s="47" t="str">
        <f t="shared" ref="Z87" si="225">IF(Z85="","",Z86-Z90*$AM90-Z91*$AM91-Z92*$AM92-Z93*$AM93-Z94*$AM94-Z95*$AM95-Z96*$AM96-Z97*$AM97)</f>
        <v/>
      </c>
      <c r="AA87" s="47" t="str">
        <f t="shared" ref="AA87" si="226">IF(AA85="","",AA86-AA90*$AM90-AA91*$AM91-AA92*$AM92-AA93*$AM93-AA94*$AM94-AA95*$AM95-AA96*$AM96-AA97*$AM97)</f>
        <v/>
      </c>
      <c r="AB87" s="47" t="str">
        <f t="shared" ref="AB87" si="227">IF(AB85="","",AB86-AB90*$AM90-AB91*$AM91-AB92*$AM92-AB93*$AM93-AB94*$AM94-AB95*$AM95-AB96*$AM96-AB97*$AM97)</f>
        <v/>
      </c>
      <c r="AC87" s="47" t="str">
        <f t="shared" ref="AC87" si="228">IF(AC85="","",AC86-AC90*$AM90-AC91*$AM91-AC92*$AM92-AC93*$AM93-AC94*$AM94-AC95*$AM95-AC96*$AM96-AC97*$AM97)</f>
        <v/>
      </c>
      <c r="AD87" s="47" t="str">
        <f t="shared" ref="AD87" si="229">IF(AD85="","",AD86-AD90*$AM90-AD91*$AM91-AD92*$AM92-AD93*$AM93-AD94*$AM94-AD95*$AM95-AD96*$AM96-AD97*$AM97)</f>
        <v/>
      </c>
      <c r="AE87" s="47" t="str">
        <f t="shared" ref="AE87" si="230">IF(AE85="","",AE86-AE90*$AM90-AE91*$AM91-AE92*$AM92-AE93*$AM93-AE94*$AM94-AE95*$AM95-AE96*$AM96-AE97*$AM97)</f>
        <v/>
      </c>
      <c r="AF87" s="47" t="str">
        <f t="shared" ref="AF87" si="231">IF(AF85="","",AF86-AF90*$AM90-AF91*$AM91-AF92*$AM92-AF93*$AM93-AF94*$AM94-AF95*$AM95-AF96*$AM96-AF97*$AM97)</f>
        <v/>
      </c>
      <c r="AG87" s="47" t="str">
        <f t="shared" ref="AG87" si="232">IF(AG85="","",AG86-AG90*$AM90-AG91*$AM91-AG92*$AM92-AG93*$AM93-AG94*$AM94-AG95*$AM95-AG96*$AM96-AG97*$AM97)</f>
        <v/>
      </c>
      <c r="AH87" s="47" t="str">
        <f t="shared" ref="AH87" si="233">IF(AH85="","",AH86-AH90*$AM90-AH91*$AM91-AH92*$AM92-AH93*$AM93-AH94*$AM94-AH95*$AM95-AH96*$AM96-AH97*$AM97)</f>
        <v/>
      </c>
      <c r="AI87" s="47" t="str">
        <f t="shared" ref="AI87" si="234">IF(AI85="","",AI86-AI90*$AM90-AI91*$AM91-AI92*$AM92-AI93*$AM93-AI94*$AM94-AI95*$AM95-AI96*$AM96-AI97*$AM97)</f>
        <v/>
      </c>
      <c r="AJ87" s="47" t="str">
        <f t="shared" ref="AJ87" si="235">IF(AJ85="","",AJ86-AJ90*$AM90-AJ91*$AM91-AJ92*$AM92-AJ93*$AM93-AJ94*$AM94-AJ95*$AM95-AJ96*$AM96-AJ97*$AM97)</f>
        <v/>
      </c>
      <c r="AK87" s="47" t="str">
        <f>IF(AK85="","",AK86-AK90*$AM90-AK91*$AM91-AK92*$AM92-AK93*$AM93-AK94*$AM94-AK95*$AM95-AK96*$AM96-AK97*$AM97)</f>
        <v/>
      </c>
      <c r="AL87" s="47" t="str">
        <f t="shared" ref="AL87" si="236">IF(AL85="","",AL86-AL90*$AM90-AL91*$AM91-AL92*$AM92-AL93*$AM93-AL94*$AM94-AL95*$AM95-AL96*$AM96-AL97*$AM97)</f>
        <v/>
      </c>
      <c r="AM87" s="45">
        <f>SUM(C87:AL87)</f>
        <v>0</v>
      </c>
      <c r="AN87" s="155" t="s">
        <v>33</v>
      </c>
      <c r="AO87" s="156"/>
      <c r="AP87" s="157"/>
      <c r="AQ87" s="158"/>
      <c r="AR87" s="17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</row>
    <row r="88" spans="1:81" ht="17.100000000000001" customHeight="1">
      <c r="A88" s="177" t="s">
        <v>20</v>
      </c>
      <c r="B88" s="178"/>
      <c r="C88" s="181" t="s">
        <v>0</v>
      </c>
      <c r="D88" s="182"/>
      <c r="E88" s="182"/>
      <c r="F88" s="182"/>
      <c r="G88" s="182"/>
      <c r="H88" s="182"/>
      <c r="I88" s="182"/>
      <c r="J88" s="182"/>
      <c r="K88" s="182"/>
      <c r="L88" s="182"/>
      <c r="M88" s="182"/>
      <c r="N88" s="182"/>
      <c r="O88" s="182"/>
      <c r="P88" s="182"/>
      <c r="Q88" s="182"/>
      <c r="R88" s="182"/>
      <c r="S88" s="182"/>
      <c r="T88" s="182"/>
      <c r="U88" s="182"/>
      <c r="V88" s="182"/>
      <c r="W88" s="182"/>
      <c r="X88" s="182"/>
      <c r="Y88" s="182"/>
      <c r="Z88" s="182"/>
      <c r="AA88" s="182"/>
      <c r="AB88" s="182"/>
      <c r="AC88" s="182"/>
      <c r="AD88" s="182"/>
      <c r="AE88" s="182"/>
      <c r="AF88" s="182"/>
      <c r="AG88" s="182"/>
      <c r="AH88" s="182"/>
      <c r="AI88" s="182"/>
      <c r="AJ88" s="182"/>
      <c r="AK88" s="182"/>
      <c r="AL88" s="183"/>
      <c r="AM88" s="187" t="s">
        <v>1</v>
      </c>
      <c r="AN88" s="200" t="s">
        <v>11</v>
      </c>
      <c r="AO88" s="196" t="s">
        <v>12</v>
      </c>
      <c r="AP88" s="197"/>
      <c r="AQ88" s="193" t="s">
        <v>6</v>
      </c>
      <c r="AR88" s="24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</row>
    <row r="89" spans="1:81" ht="17.100000000000001" customHeight="1">
      <c r="A89" s="179"/>
      <c r="B89" s="180"/>
      <c r="C89" s="184"/>
      <c r="D89" s="185"/>
      <c r="E89" s="185"/>
      <c r="F89" s="185"/>
      <c r="G89" s="185"/>
      <c r="H89" s="185"/>
      <c r="I89" s="185"/>
      <c r="J89" s="185"/>
      <c r="K89" s="185"/>
      <c r="L89" s="185"/>
      <c r="M89" s="185"/>
      <c r="N89" s="185"/>
      <c r="O89" s="185"/>
      <c r="P89" s="185"/>
      <c r="Q89" s="185"/>
      <c r="R89" s="185"/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5"/>
      <c r="AE89" s="185"/>
      <c r="AF89" s="185"/>
      <c r="AG89" s="185"/>
      <c r="AH89" s="185"/>
      <c r="AI89" s="185"/>
      <c r="AJ89" s="185"/>
      <c r="AK89" s="185"/>
      <c r="AL89" s="186"/>
      <c r="AM89" s="188"/>
      <c r="AN89" s="190"/>
      <c r="AO89" s="18" t="s">
        <v>3</v>
      </c>
      <c r="AP89" s="19" t="s">
        <v>13</v>
      </c>
      <c r="AQ89" s="172"/>
      <c r="AR89" s="27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</row>
    <row r="90" spans="1:81" ht="17.100000000000001" customHeight="1">
      <c r="A90" s="173"/>
      <c r="B90" s="30" t="s">
        <v>21</v>
      </c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40" t="str">
        <f>IF(AM90="","",SUM(C90:AL90)*AM90)</f>
        <v/>
      </c>
      <c r="AO90" s="39"/>
      <c r="AP90" s="39"/>
      <c r="AQ90" s="42">
        <f>(AO90+AR90)*AM90</f>
        <v>0</v>
      </c>
      <c r="AR90" s="25">
        <f>AP90/36</f>
        <v>0</v>
      </c>
      <c r="AT90" s="3" t="str">
        <f t="shared" ref="AT90:CA90" si="237">IF(C90=0,"",ROUNDUP(C87/C90,0))</f>
        <v/>
      </c>
      <c r="AU90" s="3" t="str">
        <f t="shared" si="237"/>
        <v/>
      </c>
      <c r="AV90" s="3" t="str">
        <f t="shared" si="237"/>
        <v/>
      </c>
      <c r="AW90" s="3" t="str">
        <f t="shared" si="237"/>
        <v/>
      </c>
      <c r="AX90" s="3" t="str">
        <f t="shared" si="237"/>
        <v/>
      </c>
      <c r="AY90" s="3" t="str">
        <f t="shared" si="237"/>
        <v/>
      </c>
      <c r="AZ90" s="3" t="str">
        <f t="shared" si="237"/>
        <v/>
      </c>
      <c r="BA90" s="3" t="str">
        <f t="shared" si="237"/>
        <v/>
      </c>
      <c r="BB90" s="3" t="str">
        <f t="shared" si="237"/>
        <v/>
      </c>
      <c r="BC90" s="3" t="str">
        <f t="shared" si="237"/>
        <v/>
      </c>
      <c r="BD90" s="3" t="str">
        <f t="shared" si="237"/>
        <v/>
      </c>
      <c r="BE90" s="3" t="str">
        <f t="shared" si="237"/>
        <v/>
      </c>
      <c r="BF90" s="3" t="str">
        <f t="shared" si="237"/>
        <v/>
      </c>
      <c r="BG90" s="3" t="str">
        <f t="shared" si="237"/>
        <v/>
      </c>
      <c r="BH90" s="3" t="str">
        <f t="shared" si="237"/>
        <v/>
      </c>
      <c r="BI90" s="3" t="str">
        <f t="shared" si="237"/>
        <v/>
      </c>
      <c r="BJ90" s="3" t="str">
        <f t="shared" si="237"/>
        <v/>
      </c>
      <c r="BK90" s="3" t="str">
        <f t="shared" si="237"/>
        <v/>
      </c>
      <c r="BL90" s="3" t="str">
        <f t="shared" si="237"/>
        <v/>
      </c>
      <c r="BM90" s="3" t="str">
        <f t="shared" si="237"/>
        <v/>
      </c>
      <c r="BN90" s="3" t="str">
        <f t="shared" si="237"/>
        <v/>
      </c>
      <c r="BO90" s="3" t="str">
        <f t="shared" si="237"/>
        <v/>
      </c>
      <c r="BP90" s="3" t="str">
        <f t="shared" si="237"/>
        <v/>
      </c>
      <c r="BQ90" s="3" t="str">
        <f t="shared" si="237"/>
        <v/>
      </c>
      <c r="BR90" s="3" t="str">
        <f t="shared" si="237"/>
        <v/>
      </c>
      <c r="BS90" s="3" t="str">
        <f t="shared" si="237"/>
        <v/>
      </c>
      <c r="BT90" s="3" t="str">
        <f t="shared" si="237"/>
        <v/>
      </c>
      <c r="BU90" s="3" t="str">
        <f t="shared" si="237"/>
        <v/>
      </c>
      <c r="BV90" s="3" t="str">
        <f t="shared" si="237"/>
        <v/>
      </c>
      <c r="BW90" s="3" t="str">
        <f t="shared" si="237"/>
        <v/>
      </c>
      <c r="BX90" s="3" t="str">
        <f t="shared" si="237"/>
        <v/>
      </c>
      <c r="BY90" s="3" t="str">
        <f t="shared" si="237"/>
        <v/>
      </c>
      <c r="BZ90" s="3" t="str">
        <f t="shared" si="237"/>
        <v/>
      </c>
      <c r="CA90" s="3" t="str">
        <f t="shared" si="237"/>
        <v/>
      </c>
      <c r="CB90" s="3" t="str">
        <f t="shared" ref="CB90" si="238">IF(AK90=0,"",ROUNDUP(AK87/AK90,0))</f>
        <v/>
      </c>
      <c r="CC90" s="3" t="str">
        <f t="shared" ref="CC90" si="239">IF(AL90=0,"",ROUNDUP(AL87/AL90,0))</f>
        <v/>
      </c>
    </row>
    <row r="91" spans="1:81" ht="17.100000000000001" customHeight="1">
      <c r="A91" s="174"/>
      <c r="B91" s="30" t="s">
        <v>22</v>
      </c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40" t="str">
        <f t="shared" ref="AN91:AN97" si="240">IF(AM91="","",SUM(C91:AL91)*AM91)</f>
        <v/>
      </c>
      <c r="AO91" s="39"/>
      <c r="AP91" s="39"/>
      <c r="AQ91" s="42">
        <f t="shared" ref="AQ91:AQ97" si="241">(AO91+AR91)*AM91</f>
        <v>0</v>
      </c>
      <c r="AR91" s="25">
        <f t="shared" ref="AR91:AR97" si="242">AP91/36</f>
        <v>0</v>
      </c>
      <c r="AT91" s="3" t="str">
        <f t="shared" ref="AT91:CA91" si="243">IF(C91=0,"",ROUNDUP(C87/C91,0))</f>
        <v/>
      </c>
      <c r="AU91" s="3" t="str">
        <f t="shared" si="243"/>
        <v/>
      </c>
      <c r="AV91" s="3" t="str">
        <f t="shared" si="243"/>
        <v/>
      </c>
      <c r="AW91" s="3" t="str">
        <f t="shared" si="243"/>
        <v/>
      </c>
      <c r="AX91" s="3" t="str">
        <f t="shared" si="243"/>
        <v/>
      </c>
      <c r="AY91" s="3" t="str">
        <f t="shared" si="243"/>
        <v/>
      </c>
      <c r="AZ91" s="3" t="str">
        <f t="shared" si="243"/>
        <v/>
      </c>
      <c r="BA91" s="3" t="str">
        <f t="shared" si="243"/>
        <v/>
      </c>
      <c r="BB91" s="3" t="str">
        <f t="shared" si="243"/>
        <v/>
      </c>
      <c r="BC91" s="3" t="str">
        <f t="shared" si="243"/>
        <v/>
      </c>
      <c r="BD91" s="3" t="str">
        <f t="shared" si="243"/>
        <v/>
      </c>
      <c r="BE91" s="3" t="str">
        <f t="shared" si="243"/>
        <v/>
      </c>
      <c r="BF91" s="3" t="str">
        <f t="shared" si="243"/>
        <v/>
      </c>
      <c r="BG91" s="3" t="str">
        <f t="shared" si="243"/>
        <v/>
      </c>
      <c r="BH91" s="3" t="str">
        <f t="shared" si="243"/>
        <v/>
      </c>
      <c r="BI91" s="3" t="str">
        <f t="shared" si="243"/>
        <v/>
      </c>
      <c r="BJ91" s="3" t="str">
        <f t="shared" si="243"/>
        <v/>
      </c>
      <c r="BK91" s="3" t="str">
        <f t="shared" si="243"/>
        <v/>
      </c>
      <c r="BL91" s="3" t="str">
        <f t="shared" si="243"/>
        <v/>
      </c>
      <c r="BM91" s="3" t="str">
        <f t="shared" si="243"/>
        <v/>
      </c>
      <c r="BN91" s="3" t="str">
        <f t="shared" si="243"/>
        <v/>
      </c>
      <c r="BO91" s="3" t="str">
        <f t="shared" si="243"/>
        <v/>
      </c>
      <c r="BP91" s="3" t="str">
        <f t="shared" si="243"/>
        <v/>
      </c>
      <c r="BQ91" s="3" t="str">
        <f t="shared" si="243"/>
        <v/>
      </c>
      <c r="BR91" s="3" t="str">
        <f t="shared" si="243"/>
        <v/>
      </c>
      <c r="BS91" s="3" t="str">
        <f t="shared" si="243"/>
        <v/>
      </c>
      <c r="BT91" s="3" t="str">
        <f t="shared" si="243"/>
        <v/>
      </c>
      <c r="BU91" s="3" t="str">
        <f t="shared" si="243"/>
        <v/>
      </c>
      <c r="BV91" s="3" t="str">
        <f t="shared" si="243"/>
        <v/>
      </c>
      <c r="BW91" s="3" t="str">
        <f t="shared" si="243"/>
        <v/>
      </c>
      <c r="BX91" s="3" t="str">
        <f t="shared" si="243"/>
        <v/>
      </c>
      <c r="BY91" s="3" t="str">
        <f t="shared" si="243"/>
        <v/>
      </c>
      <c r="BZ91" s="3" t="str">
        <f t="shared" si="243"/>
        <v/>
      </c>
      <c r="CA91" s="3" t="str">
        <f t="shared" si="243"/>
        <v/>
      </c>
      <c r="CB91" s="3" t="str">
        <f t="shared" ref="CB91" si="244">IF(AK91=0,"",ROUNDUP(AK87/AK91,0))</f>
        <v/>
      </c>
      <c r="CC91" s="3" t="str">
        <f t="shared" ref="CC91" si="245">IF(AL91=0,"",ROUNDUP(AL87/AL91,0))</f>
        <v/>
      </c>
    </row>
    <row r="92" spans="1:81" ht="17.100000000000001" customHeight="1">
      <c r="A92" s="174"/>
      <c r="B92" s="30" t="s">
        <v>23</v>
      </c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40" t="str">
        <f t="shared" si="240"/>
        <v/>
      </c>
      <c r="AO92" s="39"/>
      <c r="AP92" s="39"/>
      <c r="AQ92" s="42">
        <f t="shared" si="241"/>
        <v>0</v>
      </c>
      <c r="AR92" s="25">
        <f t="shared" si="242"/>
        <v>0</v>
      </c>
      <c r="AT92" s="3" t="str">
        <f t="shared" ref="AT92:CA92" si="246">IF(C92=0,"",ROUNDUP(C87/C92,0))</f>
        <v/>
      </c>
      <c r="AU92" s="3" t="str">
        <f t="shared" si="246"/>
        <v/>
      </c>
      <c r="AV92" s="3" t="str">
        <f t="shared" si="246"/>
        <v/>
      </c>
      <c r="AW92" s="3" t="str">
        <f t="shared" si="246"/>
        <v/>
      </c>
      <c r="AX92" s="3" t="str">
        <f t="shared" si="246"/>
        <v/>
      </c>
      <c r="AY92" s="3" t="str">
        <f t="shared" si="246"/>
        <v/>
      </c>
      <c r="AZ92" s="3" t="str">
        <f t="shared" si="246"/>
        <v/>
      </c>
      <c r="BA92" s="3" t="str">
        <f t="shared" si="246"/>
        <v/>
      </c>
      <c r="BB92" s="3" t="str">
        <f t="shared" si="246"/>
        <v/>
      </c>
      <c r="BC92" s="3" t="str">
        <f t="shared" si="246"/>
        <v/>
      </c>
      <c r="BD92" s="3" t="str">
        <f t="shared" si="246"/>
        <v/>
      </c>
      <c r="BE92" s="3" t="str">
        <f t="shared" si="246"/>
        <v/>
      </c>
      <c r="BF92" s="3" t="str">
        <f t="shared" si="246"/>
        <v/>
      </c>
      <c r="BG92" s="3" t="str">
        <f t="shared" si="246"/>
        <v/>
      </c>
      <c r="BH92" s="3" t="str">
        <f t="shared" si="246"/>
        <v/>
      </c>
      <c r="BI92" s="3" t="str">
        <f t="shared" si="246"/>
        <v/>
      </c>
      <c r="BJ92" s="3" t="str">
        <f t="shared" si="246"/>
        <v/>
      </c>
      <c r="BK92" s="3" t="str">
        <f t="shared" si="246"/>
        <v/>
      </c>
      <c r="BL92" s="3" t="str">
        <f t="shared" si="246"/>
        <v/>
      </c>
      <c r="BM92" s="3" t="str">
        <f t="shared" si="246"/>
        <v/>
      </c>
      <c r="BN92" s="3" t="str">
        <f t="shared" si="246"/>
        <v/>
      </c>
      <c r="BO92" s="3" t="str">
        <f t="shared" si="246"/>
        <v/>
      </c>
      <c r="BP92" s="3" t="str">
        <f t="shared" si="246"/>
        <v/>
      </c>
      <c r="BQ92" s="3" t="str">
        <f t="shared" si="246"/>
        <v/>
      </c>
      <c r="BR92" s="3" t="str">
        <f t="shared" si="246"/>
        <v/>
      </c>
      <c r="BS92" s="3" t="str">
        <f t="shared" si="246"/>
        <v/>
      </c>
      <c r="BT92" s="3" t="str">
        <f t="shared" si="246"/>
        <v/>
      </c>
      <c r="BU92" s="3" t="str">
        <f t="shared" si="246"/>
        <v/>
      </c>
      <c r="BV92" s="3" t="str">
        <f t="shared" si="246"/>
        <v/>
      </c>
      <c r="BW92" s="3" t="str">
        <f t="shared" si="246"/>
        <v/>
      </c>
      <c r="BX92" s="3" t="str">
        <f t="shared" si="246"/>
        <v/>
      </c>
      <c r="BY92" s="3" t="str">
        <f t="shared" si="246"/>
        <v/>
      </c>
      <c r="BZ92" s="3" t="str">
        <f t="shared" si="246"/>
        <v/>
      </c>
      <c r="CA92" s="3" t="str">
        <f t="shared" si="246"/>
        <v/>
      </c>
      <c r="CB92" s="3" t="str">
        <f t="shared" ref="CB92" si="247">IF(AK92=0,"",ROUNDUP(AK87/AK92,0))</f>
        <v/>
      </c>
      <c r="CC92" s="3" t="str">
        <f t="shared" ref="CC92" si="248">IF(AL92=0,"",ROUNDUP(AL87/AL92,0))</f>
        <v/>
      </c>
    </row>
    <row r="93" spans="1:81" ht="17.100000000000001" customHeight="1">
      <c r="A93" s="174"/>
      <c r="B93" s="30" t="s">
        <v>24</v>
      </c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40" t="str">
        <f t="shared" si="240"/>
        <v/>
      </c>
      <c r="AO93" s="39"/>
      <c r="AP93" s="39"/>
      <c r="AQ93" s="42">
        <f t="shared" si="241"/>
        <v>0</v>
      </c>
      <c r="AR93" s="25">
        <f t="shared" si="242"/>
        <v>0</v>
      </c>
      <c r="AT93" s="3" t="str">
        <f t="shared" ref="AT93:CA93" si="249">IF(C93=0,"",ROUNDUP(C87/C93,0))</f>
        <v/>
      </c>
      <c r="AU93" s="3" t="str">
        <f t="shared" si="249"/>
        <v/>
      </c>
      <c r="AV93" s="3" t="str">
        <f t="shared" si="249"/>
        <v/>
      </c>
      <c r="AW93" s="3" t="str">
        <f t="shared" si="249"/>
        <v/>
      </c>
      <c r="AX93" s="3" t="str">
        <f t="shared" si="249"/>
        <v/>
      </c>
      <c r="AY93" s="3" t="str">
        <f t="shared" si="249"/>
        <v/>
      </c>
      <c r="AZ93" s="3" t="str">
        <f t="shared" si="249"/>
        <v/>
      </c>
      <c r="BA93" s="3" t="str">
        <f t="shared" si="249"/>
        <v/>
      </c>
      <c r="BB93" s="3" t="str">
        <f t="shared" si="249"/>
        <v/>
      </c>
      <c r="BC93" s="3" t="str">
        <f t="shared" si="249"/>
        <v/>
      </c>
      <c r="BD93" s="3" t="str">
        <f t="shared" si="249"/>
        <v/>
      </c>
      <c r="BE93" s="3" t="str">
        <f t="shared" si="249"/>
        <v/>
      </c>
      <c r="BF93" s="3" t="str">
        <f t="shared" si="249"/>
        <v/>
      </c>
      <c r="BG93" s="3" t="str">
        <f t="shared" si="249"/>
        <v/>
      </c>
      <c r="BH93" s="3" t="str">
        <f t="shared" si="249"/>
        <v/>
      </c>
      <c r="BI93" s="3" t="str">
        <f t="shared" si="249"/>
        <v/>
      </c>
      <c r="BJ93" s="3" t="str">
        <f t="shared" si="249"/>
        <v/>
      </c>
      <c r="BK93" s="3" t="str">
        <f t="shared" si="249"/>
        <v/>
      </c>
      <c r="BL93" s="3" t="str">
        <f t="shared" si="249"/>
        <v/>
      </c>
      <c r="BM93" s="3" t="str">
        <f t="shared" si="249"/>
        <v/>
      </c>
      <c r="BN93" s="3" t="str">
        <f t="shared" si="249"/>
        <v/>
      </c>
      <c r="BO93" s="3" t="str">
        <f t="shared" si="249"/>
        <v/>
      </c>
      <c r="BP93" s="3" t="str">
        <f t="shared" si="249"/>
        <v/>
      </c>
      <c r="BQ93" s="3" t="str">
        <f t="shared" si="249"/>
        <v/>
      </c>
      <c r="BR93" s="3" t="str">
        <f t="shared" si="249"/>
        <v/>
      </c>
      <c r="BS93" s="3" t="str">
        <f t="shared" si="249"/>
        <v/>
      </c>
      <c r="BT93" s="3" t="str">
        <f t="shared" si="249"/>
        <v/>
      </c>
      <c r="BU93" s="3" t="str">
        <f t="shared" si="249"/>
        <v/>
      </c>
      <c r="BV93" s="3" t="str">
        <f t="shared" si="249"/>
        <v/>
      </c>
      <c r="BW93" s="3" t="str">
        <f t="shared" si="249"/>
        <v/>
      </c>
      <c r="BX93" s="3" t="str">
        <f t="shared" si="249"/>
        <v/>
      </c>
      <c r="BY93" s="3" t="str">
        <f t="shared" si="249"/>
        <v/>
      </c>
      <c r="BZ93" s="3" t="str">
        <f t="shared" si="249"/>
        <v/>
      </c>
      <c r="CA93" s="3" t="str">
        <f t="shared" si="249"/>
        <v/>
      </c>
      <c r="CB93" s="3" t="str">
        <f t="shared" ref="CB93" si="250">IF(AK93=0,"",ROUNDUP(AK87/AK93,0))</f>
        <v/>
      </c>
      <c r="CC93" s="3" t="str">
        <f t="shared" ref="CC93" si="251">IF(AL93=0,"",ROUNDUP(AL87/AL93,0))</f>
        <v/>
      </c>
    </row>
    <row r="94" spans="1:81" ht="17.100000000000001" customHeight="1">
      <c r="A94" s="174"/>
      <c r="B94" s="30" t="s">
        <v>25</v>
      </c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40" t="str">
        <f t="shared" si="240"/>
        <v/>
      </c>
      <c r="AO94" s="39"/>
      <c r="AP94" s="39"/>
      <c r="AQ94" s="42">
        <f t="shared" si="241"/>
        <v>0</v>
      </c>
      <c r="AR94" s="25">
        <f t="shared" si="242"/>
        <v>0</v>
      </c>
      <c r="AT94" s="3" t="str">
        <f t="shared" ref="AT94:CA94" si="252">IF(C94=0,"",ROUNDUP(C87/C94,0))</f>
        <v/>
      </c>
      <c r="AU94" s="3" t="str">
        <f t="shared" si="252"/>
        <v/>
      </c>
      <c r="AV94" s="3" t="str">
        <f t="shared" si="252"/>
        <v/>
      </c>
      <c r="AW94" s="3" t="str">
        <f t="shared" si="252"/>
        <v/>
      </c>
      <c r="AX94" s="3" t="str">
        <f t="shared" si="252"/>
        <v/>
      </c>
      <c r="AY94" s="3" t="str">
        <f t="shared" si="252"/>
        <v/>
      </c>
      <c r="AZ94" s="3" t="str">
        <f t="shared" si="252"/>
        <v/>
      </c>
      <c r="BA94" s="3" t="str">
        <f t="shared" si="252"/>
        <v/>
      </c>
      <c r="BB94" s="3" t="str">
        <f t="shared" si="252"/>
        <v/>
      </c>
      <c r="BC94" s="3" t="str">
        <f t="shared" si="252"/>
        <v/>
      </c>
      <c r="BD94" s="3" t="str">
        <f t="shared" si="252"/>
        <v/>
      </c>
      <c r="BE94" s="3" t="str">
        <f t="shared" si="252"/>
        <v/>
      </c>
      <c r="BF94" s="3" t="str">
        <f t="shared" si="252"/>
        <v/>
      </c>
      <c r="BG94" s="3" t="str">
        <f t="shared" si="252"/>
        <v/>
      </c>
      <c r="BH94" s="3" t="str">
        <f t="shared" si="252"/>
        <v/>
      </c>
      <c r="BI94" s="3" t="str">
        <f t="shared" si="252"/>
        <v/>
      </c>
      <c r="BJ94" s="3" t="str">
        <f t="shared" si="252"/>
        <v/>
      </c>
      <c r="BK94" s="3" t="str">
        <f t="shared" si="252"/>
        <v/>
      </c>
      <c r="BL94" s="3" t="str">
        <f t="shared" si="252"/>
        <v/>
      </c>
      <c r="BM94" s="3" t="str">
        <f t="shared" si="252"/>
        <v/>
      </c>
      <c r="BN94" s="3" t="str">
        <f t="shared" si="252"/>
        <v/>
      </c>
      <c r="BO94" s="3" t="str">
        <f t="shared" si="252"/>
        <v/>
      </c>
      <c r="BP94" s="3" t="str">
        <f t="shared" si="252"/>
        <v/>
      </c>
      <c r="BQ94" s="3" t="str">
        <f t="shared" si="252"/>
        <v/>
      </c>
      <c r="BR94" s="3" t="str">
        <f t="shared" si="252"/>
        <v/>
      </c>
      <c r="BS94" s="3" t="str">
        <f t="shared" si="252"/>
        <v/>
      </c>
      <c r="BT94" s="3" t="str">
        <f t="shared" si="252"/>
        <v/>
      </c>
      <c r="BU94" s="3" t="str">
        <f t="shared" si="252"/>
        <v/>
      </c>
      <c r="BV94" s="3" t="str">
        <f t="shared" si="252"/>
        <v/>
      </c>
      <c r="BW94" s="3" t="str">
        <f t="shared" si="252"/>
        <v/>
      </c>
      <c r="BX94" s="3" t="str">
        <f t="shared" si="252"/>
        <v/>
      </c>
      <c r="BY94" s="3" t="str">
        <f t="shared" si="252"/>
        <v/>
      </c>
      <c r="BZ94" s="3" t="str">
        <f t="shared" si="252"/>
        <v/>
      </c>
      <c r="CA94" s="3" t="str">
        <f t="shared" si="252"/>
        <v/>
      </c>
      <c r="CB94" s="3" t="str">
        <f t="shared" ref="CB94" si="253">IF(AK94=0,"",ROUNDUP(AK87/AK94,0))</f>
        <v/>
      </c>
      <c r="CC94" s="3" t="str">
        <f t="shared" ref="CC94" si="254">IF(AL94=0,"",ROUNDUP(AL87/AL94,0))</f>
        <v/>
      </c>
    </row>
    <row r="95" spans="1:81" ht="17.100000000000001" customHeight="1">
      <c r="A95" s="174"/>
      <c r="B95" s="30" t="s">
        <v>26</v>
      </c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40" t="str">
        <f>IF(AM95="","",SUM(C95:AL95)*AM95)</f>
        <v/>
      </c>
      <c r="AO95" s="39"/>
      <c r="AP95" s="39"/>
      <c r="AQ95" s="42">
        <f t="shared" si="241"/>
        <v>0</v>
      </c>
      <c r="AR95" s="25">
        <f t="shared" si="242"/>
        <v>0</v>
      </c>
      <c r="AT95" s="3" t="str">
        <f t="shared" ref="AT95:CA95" si="255">IF(C95=0,"",ROUNDUP(C87/C95,0))</f>
        <v/>
      </c>
      <c r="AU95" s="3" t="str">
        <f t="shared" si="255"/>
        <v/>
      </c>
      <c r="AV95" s="3" t="str">
        <f t="shared" si="255"/>
        <v/>
      </c>
      <c r="AW95" s="3" t="str">
        <f t="shared" si="255"/>
        <v/>
      </c>
      <c r="AX95" s="3" t="str">
        <f t="shared" si="255"/>
        <v/>
      </c>
      <c r="AY95" s="3" t="str">
        <f t="shared" si="255"/>
        <v/>
      </c>
      <c r="AZ95" s="3" t="str">
        <f t="shared" si="255"/>
        <v/>
      </c>
      <c r="BA95" s="3" t="str">
        <f t="shared" si="255"/>
        <v/>
      </c>
      <c r="BB95" s="3" t="str">
        <f t="shared" si="255"/>
        <v/>
      </c>
      <c r="BC95" s="3" t="str">
        <f t="shared" si="255"/>
        <v/>
      </c>
      <c r="BD95" s="3" t="str">
        <f t="shared" si="255"/>
        <v/>
      </c>
      <c r="BE95" s="3" t="str">
        <f t="shared" si="255"/>
        <v/>
      </c>
      <c r="BF95" s="3" t="str">
        <f t="shared" si="255"/>
        <v/>
      </c>
      <c r="BG95" s="3" t="str">
        <f t="shared" si="255"/>
        <v/>
      </c>
      <c r="BH95" s="3" t="str">
        <f t="shared" si="255"/>
        <v/>
      </c>
      <c r="BI95" s="3" t="str">
        <f t="shared" si="255"/>
        <v/>
      </c>
      <c r="BJ95" s="3" t="str">
        <f t="shared" si="255"/>
        <v/>
      </c>
      <c r="BK95" s="3" t="str">
        <f t="shared" si="255"/>
        <v/>
      </c>
      <c r="BL95" s="3" t="str">
        <f t="shared" si="255"/>
        <v/>
      </c>
      <c r="BM95" s="3" t="str">
        <f t="shared" si="255"/>
        <v/>
      </c>
      <c r="BN95" s="3" t="str">
        <f t="shared" si="255"/>
        <v/>
      </c>
      <c r="BO95" s="3" t="str">
        <f t="shared" si="255"/>
        <v/>
      </c>
      <c r="BP95" s="3" t="str">
        <f t="shared" si="255"/>
        <v/>
      </c>
      <c r="BQ95" s="3" t="str">
        <f t="shared" si="255"/>
        <v/>
      </c>
      <c r="BR95" s="3" t="str">
        <f t="shared" si="255"/>
        <v/>
      </c>
      <c r="BS95" s="3" t="str">
        <f t="shared" si="255"/>
        <v/>
      </c>
      <c r="BT95" s="3" t="str">
        <f t="shared" si="255"/>
        <v/>
      </c>
      <c r="BU95" s="3" t="str">
        <f t="shared" si="255"/>
        <v/>
      </c>
      <c r="BV95" s="3" t="str">
        <f t="shared" si="255"/>
        <v/>
      </c>
      <c r="BW95" s="3" t="str">
        <f t="shared" si="255"/>
        <v/>
      </c>
      <c r="BX95" s="3" t="str">
        <f t="shared" si="255"/>
        <v/>
      </c>
      <c r="BY95" s="3" t="str">
        <f t="shared" si="255"/>
        <v/>
      </c>
      <c r="BZ95" s="3" t="str">
        <f t="shared" si="255"/>
        <v/>
      </c>
      <c r="CA95" s="3" t="str">
        <f t="shared" si="255"/>
        <v/>
      </c>
      <c r="CB95" s="3" t="str">
        <f t="shared" ref="CB95" si="256">IF(AK95=0,"",ROUNDUP(AK87/AK95,0))</f>
        <v/>
      </c>
      <c r="CC95" s="3" t="str">
        <f t="shared" ref="CC95" si="257">IF(AL95=0,"",ROUNDUP(AL87/AL95,0))</f>
        <v/>
      </c>
    </row>
    <row r="96" spans="1:81" ht="17.100000000000001" customHeight="1">
      <c r="A96" s="174"/>
      <c r="B96" s="30" t="s">
        <v>27</v>
      </c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40" t="str">
        <f t="shared" si="240"/>
        <v/>
      </c>
      <c r="AO96" s="39"/>
      <c r="AP96" s="39"/>
      <c r="AQ96" s="42">
        <f t="shared" si="241"/>
        <v>0</v>
      </c>
      <c r="AR96" s="25">
        <f t="shared" si="242"/>
        <v>0</v>
      </c>
      <c r="AT96" s="3" t="str">
        <f t="shared" ref="AT96:CA96" si="258">IF(C96=0,"",ROUNDUP(C87/C96,0))</f>
        <v/>
      </c>
      <c r="AU96" s="3" t="str">
        <f t="shared" si="258"/>
        <v/>
      </c>
      <c r="AV96" s="3" t="str">
        <f t="shared" si="258"/>
        <v/>
      </c>
      <c r="AW96" s="3" t="str">
        <f t="shared" si="258"/>
        <v/>
      </c>
      <c r="AX96" s="3" t="str">
        <f t="shared" si="258"/>
        <v/>
      </c>
      <c r="AY96" s="3" t="str">
        <f t="shared" si="258"/>
        <v/>
      </c>
      <c r="AZ96" s="3" t="str">
        <f t="shared" si="258"/>
        <v/>
      </c>
      <c r="BA96" s="3" t="str">
        <f t="shared" si="258"/>
        <v/>
      </c>
      <c r="BB96" s="3" t="str">
        <f t="shared" si="258"/>
        <v/>
      </c>
      <c r="BC96" s="3" t="str">
        <f t="shared" si="258"/>
        <v/>
      </c>
      <c r="BD96" s="3" t="str">
        <f t="shared" si="258"/>
        <v/>
      </c>
      <c r="BE96" s="3" t="str">
        <f t="shared" si="258"/>
        <v/>
      </c>
      <c r="BF96" s="3" t="str">
        <f t="shared" si="258"/>
        <v/>
      </c>
      <c r="BG96" s="3" t="str">
        <f t="shared" si="258"/>
        <v/>
      </c>
      <c r="BH96" s="3" t="str">
        <f t="shared" si="258"/>
        <v/>
      </c>
      <c r="BI96" s="3" t="str">
        <f t="shared" si="258"/>
        <v/>
      </c>
      <c r="BJ96" s="3" t="str">
        <f t="shared" si="258"/>
        <v/>
      </c>
      <c r="BK96" s="3" t="str">
        <f t="shared" si="258"/>
        <v/>
      </c>
      <c r="BL96" s="3" t="str">
        <f t="shared" si="258"/>
        <v/>
      </c>
      <c r="BM96" s="3" t="str">
        <f t="shared" si="258"/>
        <v/>
      </c>
      <c r="BN96" s="3" t="str">
        <f t="shared" si="258"/>
        <v/>
      </c>
      <c r="BO96" s="3" t="str">
        <f t="shared" si="258"/>
        <v/>
      </c>
      <c r="BP96" s="3" t="str">
        <f t="shared" si="258"/>
        <v/>
      </c>
      <c r="BQ96" s="3" t="str">
        <f t="shared" si="258"/>
        <v/>
      </c>
      <c r="BR96" s="3" t="str">
        <f t="shared" si="258"/>
        <v/>
      </c>
      <c r="BS96" s="3" t="str">
        <f t="shared" si="258"/>
        <v/>
      </c>
      <c r="BT96" s="3" t="str">
        <f t="shared" si="258"/>
        <v/>
      </c>
      <c r="BU96" s="3" t="str">
        <f t="shared" si="258"/>
        <v/>
      </c>
      <c r="BV96" s="3" t="str">
        <f t="shared" si="258"/>
        <v/>
      </c>
      <c r="BW96" s="3" t="str">
        <f t="shared" si="258"/>
        <v/>
      </c>
      <c r="BX96" s="3" t="str">
        <f t="shared" si="258"/>
        <v/>
      </c>
      <c r="BY96" s="3" t="str">
        <f t="shared" si="258"/>
        <v/>
      </c>
      <c r="BZ96" s="3" t="str">
        <f t="shared" si="258"/>
        <v/>
      </c>
      <c r="CA96" s="3" t="str">
        <f t="shared" si="258"/>
        <v/>
      </c>
      <c r="CB96" s="3" t="str">
        <f t="shared" ref="CB96" si="259">IF(AK96=0,"",ROUNDUP(AK87/AK96,0))</f>
        <v/>
      </c>
      <c r="CC96" s="3" t="str">
        <f t="shared" ref="CC96" si="260">IF(AL96=0,"",ROUNDUP(AL87/AL96,0))</f>
        <v/>
      </c>
    </row>
    <row r="97" spans="1:81" ht="17.100000000000001" customHeight="1">
      <c r="A97" s="175"/>
      <c r="B97" s="30" t="s">
        <v>28</v>
      </c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41" t="str">
        <f t="shared" si="240"/>
        <v/>
      </c>
      <c r="AO97" s="39"/>
      <c r="AP97" s="39"/>
      <c r="AQ97" s="42">
        <f t="shared" si="241"/>
        <v>0</v>
      </c>
      <c r="AR97" s="25">
        <f t="shared" si="242"/>
        <v>0</v>
      </c>
      <c r="AT97" s="3" t="str">
        <f t="shared" ref="AT97:CA97" si="261">IF(C97=0,"",ROUNDUP(C87/C97,0))</f>
        <v/>
      </c>
      <c r="AU97" s="3" t="str">
        <f t="shared" si="261"/>
        <v/>
      </c>
      <c r="AV97" s="3" t="str">
        <f t="shared" si="261"/>
        <v/>
      </c>
      <c r="AW97" s="3" t="str">
        <f t="shared" si="261"/>
        <v/>
      </c>
      <c r="AX97" s="3" t="str">
        <f t="shared" si="261"/>
        <v/>
      </c>
      <c r="AY97" s="3" t="str">
        <f t="shared" si="261"/>
        <v/>
      </c>
      <c r="AZ97" s="3" t="str">
        <f t="shared" si="261"/>
        <v/>
      </c>
      <c r="BA97" s="3" t="str">
        <f t="shared" si="261"/>
        <v/>
      </c>
      <c r="BB97" s="3" t="str">
        <f t="shared" si="261"/>
        <v/>
      </c>
      <c r="BC97" s="3" t="str">
        <f t="shared" si="261"/>
        <v/>
      </c>
      <c r="BD97" s="3" t="str">
        <f t="shared" si="261"/>
        <v/>
      </c>
      <c r="BE97" s="3" t="str">
        <f t="shared" si="261"/>
        <v/>
      </c>
      <c r="BF97" s="3" t="str">
        <f t="shared" si="261"/>
        <v/>
      </c>
      <c r="BG97" s="3" t="str">
        <f t="shared" si="261"/>
        <v/>
      </c>
      <c r="BH97" s="3" t="str">
        <f t="shared" si="261"/>
        <v/>
      </c>
      <c r="BI97" s="3" t="str">
        <f t="shared" si="261"/>
        <v/>
      </c>
      <c r="BJ97" s="3" t="str">
        <f t="shared" si="261"/>
        <v/>
      </c>
      <c r="BK97" s="3" t="str">
        <f t="shared" si="261"/>
        <v/>
      </c>
      <c r="BL97" s="3" t="str">
        <f t="shared" si="261"/>
        <v/>
      </c>
      <c r="BM97" s="3" t="str">
        <f t="shared" si="261"/>
        <v/>
      </c>
      <c r="BN97" s="3" t="str">
        <f t="shared" si="261"/>
        <v/>
      </c>
      <c r="BO97" s="3" t="str">
        <f t="shared" si="261"/>
        <v/>
      </c>
      <c r="BP97" s="3" t="str">
        <f t="shared" si="261"/>
        <v/>
      </c>
      <c r="BQ97" s="3" t="str">
        <f t="shared" si="261"/>
        <v/>
      </c>
      <c r="BR97" s="3" t="str">
        <f t="shared" si="261"/>
        <v/>
      </c>
      <c r="BS97" s="3" t="str">
        <f t="shared" si="261"/>
        <v/>
      </c>
      <c r="BT97" s="3" t="str">
        <f t="shared" si="261"/>
        <v/>
      </c>
      <c r="BU97" s="3" t="str">
        <f t="shared" si="261"/>
        <v/>
      </c>
      <c r="BV97" s="3" t="str">
        <f t="shared" si="261"/>
        <v/>
      </c>
      <c r="BW97" s="3" t="str">
        <f t="shared" si="261"/>
        <v/>
      </c>
      <c r="BX97" s="3" t="str">
        <f t="shared" si="261"/>
        <v/>
      </c>
      <c r="BY97" s="3" t="str">
        <f t="shared" si="261"/>
        <v/>
      </c>
      <c r="BZ97" s="3" t="str">
        <f t="shared" si="261"/>
        <v/>
      </c>
      <c r="CA97" s="3" t="str">
        <f t="shared" si="261"/>
        <v/>
      </c>
      <c r="CB97" s="3" t="str">
        <f t="shared" ref="CB97" si="262">IF(AK97=0,"",ROUNDUP(AK87/AK97,0))</f>
        <v/>
      </c>
      <c r="CC97" s="3" t="str">
        <f t="shared" ref="CC97" si="263">IF(AL97=0,"",ROUNDUP(AL87/AL97,0))</f>
        <v/>
      </c>
    </row>
    <row r="98" spans="1:81" ht="17.100000000000001" customHeight="1" thickBot="1">
      <c r="AN98" s="7">
        <f>SUM(AN90:AN97)</f>
        <v>0</v>
      </c>
      <c r="AQ98" s="12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ht="21.95" customHeight="1" thickBot="1">
      <c r="A99" s="160">
        <v>7</v>
      </c>
      <c r="B99" s="161"/>
      <c r="C99" s="176"/>
      <c r="AQ99" s="12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ht="17.100000000000001" customHeight="1">
      <c r="A100" s="51" t="s">
        <v>29</v>
      </c>
      <c r="B100" s="50"/>
      <c r="C100" s="148" t="s">
        <v>10</v>
      </c>
      <c r="D100" s="148"/>
      <c r="E100" s="148"/>
      <c r="F100" s="148"/>
      <c r="G100" s="148"/>
      <c r="H100" s="148"/>
      <c r="I100" s="148"/>
      <c r="J100" s="148"/>
      <c r="K100" s="148"/>
      <c r="L100" s="148"/>
      <c r="M100" s="148"/>
      <c r="N100" s="148"/>
      <c r="O100" s="148"/>
      <c r="P100" s="148"/>
      <c r="Q100" s="148"/>
      <c r="R100" s="148"/>
      <c r="S100" s="148"/>
      <c r="T100" s="148"/>
      <c r="U100" s="148"/>
      <c r="V100" s="148"/>
      <c r="W100" s="148"/>
      <c r="X100" s="148"/>
      <c r="Y100" s="148"/>
      <c r="Z100" s="148"/>
      <c r="AA100" s="148"/>
      <c r="AB100" s="148"/>
      <c r="AC100" s="148"/>
      <c r="AD100" s="148"/>
      <c r="AE100" s="148"/>
      <c r="AF100" s="148"/>
      <c r="AG100" s="148"/>
      <c r="AH100" s="148"/>
      <c r="AI100" s="148"/>
      <c r="AJ100" s="148"/>
      <c r="AK100" s="148"/>
      <c r="AL100" s="148"/>
      <c r="AM100" s="10"/>
      <c r="AN100" s="31"/>
      <c r="AO100" s="35" t="s">
        <v>4</v>
      </c>
      <c r="AP100" s="149"/>
      <c r="AQ100" s="150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ht="27">
      <c r="A101" s="52" t="s">
        <v>36</v>
      </c>
      <c r="B101" s="50"/>
      <c r="C101" s="26" t="str">
        <f>IF(C85=0,"",IF(C85&gt;0,C85))</f>
        <v/>
      </c>
      <c r="D101" s="26" t="str">
        <f t="shared" ref="D101:AL101" si="264">IF(D85=0,"",IF(D85&gt;0,D85))</f>
        <v/>
      </c>
      <c r="E101" s="26" t="str">
        <f t="shared" si="264"/>
        <v/>
      </c>
      <c r="F101" s="26" t="str">
        <f t="shared" si="264"/>
        <v/>
      </c>
      <c r="G101" s="26" t="str">
        <f t="shared" si="264"/>
        <v/>
      </c>
      <c r="H101" s="26" t="str">
        <f t="shared" si="264"/>
        <v/>
      </c>
      <c r="I101" s="26" t="str">
        <f t="shared" si="264"/>
        <v/>
      </c>
      <c r="J101" s="26" t="str">
        <f t="shared" si="264"/>
        <v/>
      </c>
      <c r="K101" s="26" t="str">
        <f t="shared" si="264"/>
        <v/>
      </c>
      <c r="L101" s="26" t="str">
        <f t="shared" si="264"/>
        <v/>
      </c>
      <c r="M101" s="26" t="str">
        <f t="shared" si="264"/>
        <v/>
      </c>
      <c r="N101" s="26" t="str">
        <f t="shared" si="264"/>
        <v/>
      </c>
      <c r="O101" s="26" t="str">
        <f t="shared" si="264"/>
        <v/>
      </c>
      <c r="P101" s="26" t="str">
        <f t="shared" si="264"/>
        <v/>
      </c>
      <c r="Q101" s="26" t="str">
        <f t="shared" si="264"/>
        <v/>
      </c>
      <c r="R101" s="26" t="str">
        <f t="shared" si="264"/>
        <v/>
      </c>
      <c r="S101" s="26" t="str">
        <f t="shared" si="264"/>
        <v/>
      </c>
      <c r="T101" s="26" t="str">
        <f t="shared" si="264"/>
        <v/>
      </c>
      <c r="U101" s="26" t="str">
        <f t="shared" si="264"/>
        <v/>
      </c>
      <c r="V101" s="26" t="str">
        <f t="shared" si="264"/>
        <v/>
      </c>
      <c r="W101" s="26" t="str">
        <f t="shared" si="264"/>
        <v/>
      </c>
      <c r="X101" s="26" t="str">
        <f t="shared" si="264"/>
        <v/>
      </c>
      <c r="Y101" s="26" t="str">
        <f t="shared" si="264"/>
        <v/>
      </c>
      <c r="Z101" s="26" t="str">
        <f t="shared" si="264"/>
        <v/>
      </c>
      <c r="AA101" s="26" t="str">
        <f t="shared" si="264"/>
        <v/>
      </c>
      <c r="AB101" s="26" t="str">
        <f t="shared" si="264"/>
        <v/>
      </c>
      <c r="AC101" s="26" t="str">
        <f t="shared" si="264"/>
        <v/>
      </c>
      <c r="AD101" s="26" t="str">
        <f t="shared" si="264"/>
        <v/>
      </c>
      <c r="AE101" s="26" t="str">
        <f t="shared" si="264"/>
        <v/>
      </c>
      <c r="AF101" s="26" t="str">
        <f t="shared" si="264"/>
        <v/>
      </c>
      <c r="AG101" s="26" t="str">
        <f t="shared" si="264"/>
        <v/>
      </c>
      <c r="AH101" s="26" t="str">
        <f t="shared" si="264"/>
        <v/>
      </c>
      <c r="AI101" s="26" t="str">
        <f t="shared" si="264"/>
        <v/>
      </c>
      <c r="AJ101" s="26" t="str">
        <f t="shared" si="264"/>
        <v/>
      </c>
      <c r="AK101" s="26" t="str">
        <f t="shared" si="264"/>
        <v/>
      </c>
      <c r="AL101" s="26" t="str">
        <f t="shared" si="264"/>
        <v/>
      </c>
      <c r="AM101" s="5" t="s">
        <v>2</v>
      </c>
      <c r="AN101" s="31"/>
      <c r="AO101" s="32" t="s">
        <v>5</v>
      </c>
      <c r="AP101" s="151">
        <f>SUM(AQ106:AQ113)</f>
        <v>0</v>
      </c>
      <c r="AQ101" s="151"/>
      <c r="AT101" s="2" t="str">
        <f t="shared" ref="AT101:BY101" si="265">IF(C101=0,"",IF(C101&gt;0,C101))</f>
        <v/>
      </c>
      <c r="AU101" s="2" t="str">
        <f t="shared" si="265"/>
        <v/>
      </c>
      <c r="AV101" s="2" t="str">
        <f t="shared" si="265"/>
        <v/>
      </c>
      <c r="AW101" s="2" t="str">
        <f t="shared" si="265"/>
        <v/>
      </c>
      <c r="AX101" s="2" t="str">
        <f t="shared" si="265"/>
        <v/>
      </c>
      <c r="AY101" s="2" t="str">
        <f t="shared" si="265"/>
        <v/>
      </c>
      <c r="AZ101" s="2" t="str">
        <f t="shared" si="265"/>
        <v/>
      </c>
      <c r="BA101" s="2" t="str">
        <f t="shared" si="265"/>
        <v/>
      </c>
      <c r="BB101" s="2" t="str">
        <f t="shared" si="265"/>
        <v/>
      </c>
      <c r="BC101" s="2" t="str">
        <f t="shared" si="265"/>
        <v/>
      </c>
      <c r="BD101" s="2" t="str">
        <f t="shared" si="265"/>
        <v/>
      </c>
      <c r="BE101" s="2" t="str">
        <f t="shared" si="265"/>
        <v/>
      </c>
      <c r="BF101" s="2" t="str">
        <f t="shared" si="265"/>
        <v/>
      </c>
      <c r="BG101" s="2" t="str">
        <f t="shared" si="265"/>
        <v/>
      </c>
      <c r="BH101" s="2" t="str">
        <f t="shared" si="265"/>
        <v/>
      </c>
      <c r="BI101" s="2" t="str">
        <f t="shared" si="265"/>
        <v/>
      </c>
      <c r="BJ101" s="2" t="str">
        <f t="shared" si="265"/>
        <v/>
      </c>
      <c r="BK101" s="2" t="str">
        <f t="shared" si="265"/>
        <v/>
      </c>
      <c r="BL101" s="2" t="str">
        <f t="shared" si="265"/>
        <v/>
      </c>
      <c r="BM101" s="2" t="str">
        <f t="shared" si="265"/>
        <v/>
      </c>
      <c r="BN101" s="2" t="str">
        <f t="shared" si="265"/>
        <v/>
      </c>
      <c r="BO101" s="2" t="str">
        <f t="shared" si="265"/>
        <v/>
      </c>
      <c r="BP101" s="2" t="str">
        <f t="shared" si="265"/>
        <v/>
      </c>
      <c r="BQ101" s="2" t="str">
        <f t="shared" si="265"/>
        <v/>
      </c>
      <c r="BR101" s="2" t="str">
        <f t="shared" si="265"/>
        <v/>
      </c>
      <c r="BS101" s="2" t="str">
        <f t="shared" si="265"/>
        <v/>
      </c>
      <c r="BT101" s="2" t="str">
        <f t="shared" si="265"/>
        <v/>
      </c>
      <c r="BU101" s="2" t="str">
        <f t="shared" si="265"/>
        <v/>
      </c>
      <c r="BV101" s="2" t="str">
        <f t="shared" si="265"/>
        <v/>
      </c>
      <c r="BW101" s="2" t="str">
        <f t="shared" si="265"/>
        <v/>
      </c>
      <c r="BX101" s="2" t="str">
        <f t="shared" si="265"/>
        <v/>
      </c>
      <c r="BY101" s="2" t="str">
        <f t="shared" si="265"/>
        <v/>
      </c>
      <c r="BZ101" s="2" t="str">
        <f t="shared" ref="BZ101" si="266">IF(AI101=0,"",IF(AI101&gt;0,AI101))</f>
        <v/>
      </c>
      <c r="CA101" s="2" t="str">
        <f t="shared" ref="CA101" si="267">IF(AJ101=0,"",IF(AJ101&gt;0,AJ101))</f>
        <v/>
      </c>
      <c r="CB101" s="2" t="str">
        <f t="shared" ref="CB101" si="268">IF(AK101=0,"",IF(AK101&gt;0,AK101))</f>
        <v/>
      </c>
      <c r="CC101" s="2" t="str">
        <f t="shared" ref="CC101" si="269">IF(AL101=0,"",IF(AL101&gt;0,AL101))</f>
        <v/>
      </c>
    </row>
    <row r="102" spans="1:81" ht="17.100000000000001" customHeight="1">
      <c r="A102" s="152" t="s">
        <v>30</v>
      </c>
      <c r="B102" s="198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46"/>
      <c r="AJ102" s="46"/>
      <c r="AK102" s="46"/>
      <c r="AL102" s="46"/>
      <c r="AM102" s="45">
        <f>SUM(C102:AL102)</f>
        <v>0</v>
      </c>
      <c r="AN102" s="33"/>
      <c r="AO102" s="34" t="str">
        <f>IF(AP102&lt;5,"NO ",IF(AP102=5,"ok",IF(AP102&gt;5,"ok")))</f>
        <v xml:space="preserve">NO </v>
      </c>
      <c r="AP102" s="154">
        <f>AP100-AP101-AP103</f>
        <v>0</v>
      </c>
      <c r="AQ102" s="154"/>
      <c r="AR102" s="16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</row>
    <row r="103" spans="1:81" ht="17.100000000000001" customHeight="1">
      <c r="A103" s="152"/>
      <c r="B103" s="199"/>
      <c r="C103" s="47" t="str">
        <f>IF(C101="","",C102-C106*$AM106-C107*$AM107-C108*$AM108-C109*$AM109-C110*$AM110-C111*$AM111-C112*$AM112-C113*$AM113)</f>
        <v/>
      </c>
      <c r="D103" s="47" t="str">
        <f t="shared" ref="D103" si="270">IF(D101="","",D102-D106*$AM106-D107*$AM107-D108*$AM108-D109*$AM109-D110*$AM110-D111*$AM111-D112*$AM112-D113*$AM113)</f>
        <v/>
      </c>
      <c r="E103" s="47" t="str">
        <f t="shared" ref="E103" si="271">IF(E101="","",E102-E106*$AM106-E107*$AM107-E108*$AM108-E109*$AM109-E110*$AM110-E111*$AM111-E112*$AM112-E113*$AM113)</f>
        <v/>
      </c>
      <c r="F103" s="47" t="str">
        <f t="shared" ref="F103" si="272">IF(F101="","",F102-F106*$AM106-F107*$AM107-F108*$AM108-F109*$AM109-F110*$AM110-F111*$AM111-F112*$AM112-F113*$AM113)</f>
        <v/>
      </c>
      <c r="G103" s="47" t="str">
        <f t="shared" ref="G103" si="273">IF(G101="","",G102-G106*$AM106-G107*$AM107-G108*$AM108-G109*$AM109-G110*$AM110-G111*$AM111-G112*$AM112-G113*$AM113)</f>
        <v/>
      </c>
      <c r="H103" s="47" t="str">
        <f t="shared" ref="H103" si="274">IF(H101="","",H102-H106*$AM106-H107*$AM107-H108*$AM108-H109*$AM109-H110*$AM110-H111*$AM111-H112*$AM112-H113*$AM113)</f>
        <v/>
      </c>
      <c r="I103" s="47" t="str">
        <f t="shared" ref="I103" si="275">IF(I101="","",I102-I106*$AM106-I107*$AM107-I108*$AM108-I109*$AM109-I110*$AM110-I111*$AM111-I112*$AM112-I113*$AM113)</f>
        <v/>
      </c>
      <c r="J103" s="47" t="str">
        <f t="shared" ref="J103" si="276">IF(J101="","",J102-J106*$AM106-J107*$AM107-J108*$AM108-J109*$AM109-J110*$AM110-J111*$AM111-J112*$AM112-J113*$AM113)</f>
        <v/>
      </c>
      <c r="K103" s="47" t="str">
        <f t="shared" ref="K103" si="277">IF(K101="","",K102-K106*$AM106-K107*$AM107-K108*$AM108-K109*$AM109-K110*$AM110-K111*$AM111-K112*$AM112-K113*$AM113)</f>
        <v/>
      </c>
      <c r="L103" s="47" t="str">
        <f t="shared" ref="L103" si="278">IF(L101="","",L102-L106*$AM106-L107*$AM107-L108*$AM108-L109*$AM109-L110*$AM110-L111*$AM111-L112*$AM112-L113*$AM113)</f>
        <v/>
      </c>
      <c r="M103" s="47" t="str">
        <f t="shared" ref="M103" si="279">IF(M101="","",M102-M106*$AM106-M107*$AM107-M108*$AM108-M109*$AM109-M110*$AM110-M111*$AM111-M112*$AM112-M113*$AM113)</f>
        <v/>
      </c>
      <c r="N103" s="47" t="str">
        <f t="shared" ref="N103" si="280">IF(N101="","",N102-N106*$AM106-N107*$AM107-N108*$AM108-N109*$AM109-N110*$AM110-N111*$AM111-N112*$AM112-N113*$AM113)</f>
        <v/>
      </c>
      <c r="O103" s="47" t="str">
        <f t="shared" ref="O103" si="281">IF(O101="","",O102-O106*$AM106-O107*$AM107-O108*$AM108-O109*$AM109-O110*$AM110-O111*$AM111-O112*$AM112-O113*$AM113)</f>
        <v/>
      </c>
      <c r="P103" s="47" t="str">
        <f t="shared" ref="P103" si="282">IF(P101="","",P102-P106*$AM106-P107*$AM107-P108*$AM108-P109*$AM109-P110*$AM110-P111*$AM111-P112*$AM112-P113*$AM113)</f>
        <v/>
      </c>
      <c r="Q103" s="47" t="str">
        <f t="shared" ref="Q103" si="283">IF(Q101="","",Q102-Q106*$AM106-Q107*$AM107-Q108*$AM108-Q109*$AM109-Q110*$AM110-Q111*$AM111-Q112*$AM112-Q113*$AM113)</f>
        <v/>
      </c>
      <c r="R103" s="47" t="str">
        <f t="shared" ref="R103" si="284">IF(R101="","",R102-R106*$AM106-R107*$AM107-R108*$AM108-R109*$AM109-R110*$AM110-R111*$AM111-R112*$AM112-R113*$AM113)</f>
        <v/>
      </c>
      <c r="S103" s="47" t="str">
        <f t="shared" ref="S103" si="285">IF(S101="","",S102-S106*$AM106-S107*$AM107-S108*$AM108-S109*$AM109-S110*$AM110-S111*$AM111-S112*$AM112-S113*$AM113)</f>
        <v/>
      </c>
      <c r="T103" s="47" t="str">
        <f t="shared" ref="T103" si="286">IF(T101="","",T102-T106*$AM106-T107*$AM107-T108*$AM108-T109*$AM109-T110*$AM110-T111*$AM111-T112*$AM112-T113*$AM113)</f>
        <v/>
      </c>
      <c r="U103" s="47" t="str">
        <f t="shared" ref="U103" si="287">IF(U101="","",U102-U106*$AM106-U107*$AM107-U108*$AM108-U109*$AM109-U110*$AM110-U111*$AM111-U112*$AM112-U113*$AM113)</f>
        <v/>
      </c>
      <c r="V103" s="47" t="str">
        <f t="shared" ref="V103" si="288">IF(V101="","",V102-V106*$AM106-V107*$AM107-V108*$AM108-V109*$AM109-V110*$AM110-V111*$AM111-V112*$AM112-V113*$AM113)</f>
        <v/>
      </c>
      <c r="W103" s="47" t="str">
        <f t="shared" ref="W103" si="289">IF(W101="","",W102-W106*$AM106-W107*$AM107-W108*$AM108-W109*$AM109-W110*$AM110-W111*$AM111-W112*$AM112-W113*$AM113)</f>
        <v/>
      </c>
      <c r="X103" s="47" t="str">
        <f t="shared" ref="X103" si="290">IF(X101="","",X102-X106*$AM106-X107*$AM107-X108*$AM108-X109*$AM109-X110*$AM110-X111*$AM111-X112*$AM112-X113*$AM113)</f>
        <v/>
      </c>
      <c r="Y103" s="47" t="str">
        <f t="shared" ref="Y103" si="291">IF(Y101="","",Y102-Y106*$AM106-Y107*$AM107-Y108*$AM108-Y109*$AM109-Y110*$AM110-Y111*$AM111-Y112*$AM112-Y113*$AM113)</f>
        <v/>
      </c>
      <c r="Z103" s="47" t="str">
        <f t="shared" ref="Z103" si="292">IF(Z101="","",Z102-Z106*$AM106-Z107*$AM107-Z108*$AM108-Z109*$AM109-Z110*$AM110-Z111*$AM111-Z112*$AM112-Z113*$AM113)</f>
        <v/>
      </c>
      <c r="AA103" s="47" t="str">
        <f t="shared" ref="AA103" si="293">IF(AA101="","",AA102-AA106*$AM106-AA107*$AM107-AA108*$AM108-AA109*$AM109-AA110*$AM110-AA111*$AM111-AA112*$AM112-AA113*$AM113)</f>
        <v/>
      </c>
      <c r="AB103" s="47" t="str">
        <f t="shared" ref="AB103" si="294">IF(AB101="","",AB102-AB106*$AM106-AB107*$AM107-AB108*$AM108-AB109*$AM109-AB110*$AM110-AB111*$AM111-AB112*$AM112-AB113*$AM113)</f>
        <v/>
      </c>
      <c r="AC103" s="47" t="str">
        <f t="shared" ref="AC103" si="295">IF(AC101="","",AC102-AC106*$AM106-AC107*$AM107-AC108*$AM108-AC109*$AM109-AC110*$AM110-AC111*$AM111-AC112*$AM112-AC113*$AM113)</f>
        <v/>
      </c>
      <c r="AD103" s="47" t="str">
        <f t="shared" ref="AD103" si="296">IF(AD101="","",AD102-AD106*$AM106-AD107*$AM107-AD108*$AM108-AD109*$AM109-AD110*$AM110-AD111*$AM111-AD112*$AM112-AD113*$AM113)</f>
        <v/>
      </c>
      <c r="AE103" s="47" t="str">
        <f t="shared" ref="AE103" si="297">IF(AE101="","",AE102-AE106*$AM106-AE107*$AM107-AE108*$AM108-AE109*$AM109-AE110*$AM110-AE111*$AM111-AE112*$AM112-AE113*$AM113)</f>
        <v/>
      </c>
      <c r="AF103" s="47" t="str">
        <f t="shared" ref="AF103" si="298">IF(AF101="","",AF102-AF106*$AM106-AF107*$AM107-AF108*$AM108-AF109*$AM109-AF110*$AM110-AF111*$AM111-AF112*$AM112-AF113*$AM113)</f>
        <v/>
      </c>
      <c r="AG103" s="47" t="str">
        <f t="shared" ref="AG103" si="299">IF(AG101="","",AG102-AG106*$AM106-AG107*$AM107-AG108*$AM108-AG109*$AM109-AG110*$AM110-AG111*$AM111-AG112*$AM112-AG113*$AM113)</f>
        <v/>
      </c>
      <c r="AH103" s="47" t="str">
        <f t="shared" ref="AH103" si="300">IF(AH101="","",AH102-AH106*$AM106-AH107*$AM107-AH108*$AM108-AH109*$AM109-AH110*$AM110-AH111*$AM111-AH112*$AM112-AH113*$AM113)</f>
        <v/>
      </c>
      <c r="AI103" s="47" t="str">
        <f t="shared" ref="AI103" si="301">IF(AI101="","",AI102-AI106*$AM106-AI107*$AM107-AI108*$AM108-AI109*$AM109-AI110*$AM110-AI111*$AM111-AI112*$AM112-AI113*$AM113)</f>
        <v/>
      </c>
      <c r="AJ103" s="47" t="str">
        <f t="shared" ref="AJ103" si="302">IF(AJ101="","",AJ102-AJ106*$AM106-AJ107*$AM107-AJ108*$AM108-AJ109*$AM109-AJ110*$AM110-AJ111*$AM111-AJ112*$AM112-AJ113*$AM113)</f>
        <v/>
      </c>
      <c r="AK103" s="47" t="str">
        <f>IF(AK101="","",AK102-AK106*$AM106-AK107*$AM107-AK108*$AM108-AK109*$AM109-AK110*$AM110-AK111*$AM111-AK112*$AM112-AK113*$AM113)</f>
        <v/>
      </c>
      <c r="AL103" s="47" t="str">
        <f t="shared" ref="AL103" si="303">IF(AL101="","",AL102-AL106*$AM106-AL107*$AM107-AL108*$AM108-AL109*$AM109-AL110*$AM110-AL111*$AM111-AL112*$AM112-AL113*$AM113)</f>
        <v/>
      </c>
      <c r="AM103" s="45">
        <f>SUM(C103:AL103)</f>
        <v>0</v>
      </c>
      <c r="AN103" s="155" t="s">
        <v>33</v>
      </c>
      <c r="AO103" s="156"/>
      <c r="AP103" s="157"/>
      <c r="AQ103" s="158"/>
      <c r="AR103" s="17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</row>
    <row r="104" spans="1:81" ht="17.100000000000001" customHeight="1">
      <c r="A104" s="177" t="s">
        <v>20</v>
      </c>
      <c r="B104" s="178"/>
      <c r="C104" s="181" t="s">
        <v>0</v>
      </c>
      <c r="D104" s="182"/>
      <c r="E104" s="182"/>
      <c r="F104" s="182"/>
      <c r="G104" s="182"/>
      <c r="H104" s="182"/>
      <c r="I104" s="182"/>
      <c r="J104" s="182"/>
      <c r="K104" s="182"/>
      <c r="L104" s="182"/>
      <c r="M104" s="182"/>
      <c r="N104" s="182"/>
      <c r="O104" s="182"/>
      <c r="P104" s="182"/>
      <c r="Q104" s="182"/>
      <c r="R104" s="182"/>
      <c r="S104" s="182"/>
      <c r="T104" s="182"/>
      <c r="U104" s="182"/>
      <c r="V104" s="182"/>
      <c r="W104" s="182"/>
      <c r="X104" s="182"/>
      <c r="Y104" s="182"/>
      <c r="Z104" s="182"/>
      <c r="AA104" s="182"/>
      <c r="AB104" s="182"/>
      <c r="AC104" s="182"/>
      <c r="AD104" s="182"/>
      <c r="AE104" s="182"/>
      <c r="AF104" s="182"/>
      <c r="AG104" s="182"/>
      <c r="AH104" s="182"/>
      <c r="AI104" s="182"/>
      <c r="AJ104" s="182"/>
      <c r="AK104" s="182"/>
      <c r="AL104" s="183"/>
      <c r="AM104" s="187" t="s">
        <v>1</v>
      </c>
      <c r="AN104" s="200" t="s">
        <v>11</v>
      </c>
      <c r="AO104" s="196" t="s">
        <v>12</v>
      </c>
      <c r="AP104" s="197"/>
      <c r="AQ104" s="193" t="s">
        <v>6</v>
      </c>
      <c r="AR104" s="24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</row>
    <row r="105" spans="1:81" ht="17.100000000000001" customHeight="1">
      <c r="A105" s="179"/>
      <c r="B105" s="180"/>
      <c r="C105" s="184"/>
      <c r="D105" s="185"/>
      <c r="E105" s="185"/>
      <c r="F105" s="185"/>
      <c r="G105" s="185"/>
      <c r="H105" s="185"/>
      <c r="I105" s="185"/>
      <c r="J105" s="185"/>
      <c r="K105" s="185"/>
      <c r="L105" s="185"/>
      <c r="M105" s="185"/>
      <c r="N105" s="185"/>
      <c r="O105" s="185"/>
      <c r="P105" s="185"/>
      <c r="Q105" s="185"/>
      <c r="R105" s="185"/>
      <c r="S105" s="185"/>
      <c r="T105" s="185"/>
      <c r="U105" s="185"/>
      <c r="V105" s="185"/>
      <c r="W105" s="185"/>
      <c r="X105" s="185"/>
      <c r="Y105" s="185"/>
      <c r="Z105" s="185"/>
      <c r="AA105" s="185"/>
      <c r="AB105" s="185"/>
      <c r="AC105" s="185"/>
      <c r="AD105" s="185"/>
      <c r="AE105" s="185"/>
      <c r="AF105" s="185"/>
      <c r="AG105" s="185"/>
      <c r="AH105" s="185"/>
      <c r="AI105" s="185"/>
      <c r="AJ105" s="185"/>
      <c r="AK105" s="185"/>
      <c r="AL105" s="186"/>
      <c r="AM105" s="188"/>
      <c r="AN105" s="190"/>
      <c r="AO105" s="18" t="s">
        <v>3</v>
      </c>
      <c r="AP105" s="19" t="s">
        <v>13</v>
      </c>
      <c r="AQ105" s="172"/>
      <c r="AR105" s="27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</row>
    <row r="106" spans="1:81" ht="17.100000000000001" customHeight="1">
      <c r="A106" s="173"/>
      <c r="B106" s="30" t="s">
        <v>21</v>
      </c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40" t="str">
        <f>IF(AM106="","",SUM(C106:AL106)*AM106)</f>
        <v/>
      </c>
      <c r="AO106" s="39"/>
      <c r="AP106" s="39"/>
      <c r="AQ106" s="42">
        <f>(AO106+AR106)*AM106</f>
        <v>0</v>
      </c>
      <c r="AR106" s="25">
        <f>AP106/36</f>
        <v>0</v>
      </c>
      <c r="AT106" s="3" t="str">
        <f t="shared" ref="AT106:CA106" si="304">IF(C106=0,"",ROUNDUP(C103/C106,0))</f>
        <v/>
      </c>
      <c r="AU106" s="3" t="str">
        <f t="shared" si="304"/>
        <v/>
      </c>
      <c r="AV106" s="3" t="str">
        <f t="shared" si="304"/>
        <v/>
      </c>
      <c r="AW106" s="3" t="str">
        <f t="shared" si="304"/>
        <v/>
      </c>
      <c r="AX106" s="3" t="str">
        <f t="shared" si="304"/>
        <v/>
      </c>
      <c r="AY106" s="3" t="str">
        <f t="shared" si="304"/>
        <v/>
      </c>
      <c r="AZ106" s="3" t="str">
        <f t="shared" si="304"/>
        <v/>
      </c>
      <c r="BA106" s="3" t="str">
        <f t="shared" si="304"/>
        <v/>
      </c>
      <c r="BB106" s="3" t="str">
        <f t="shared" si="304"/>
        <v/>
      </c>
      <c r="BC106" s="3" t="str">
        <f t="shared" si="304"/>
        <v/>
      </c>
      <c r="BD106" s="3" t="str">
        <f t="shared" si="304"/>
        <v/>
      </c>
      <c r="BE106" s="3" t="str">
        <f t="shared" si="304"/>
        <v/>
      </c>
      <c r="BF106" s="3" t="str">
        <f t="shared" si="304"/>
        <v/>
      </c>
      <c r="BG106" s="3" t="str">
        <f t="shared" si="304"/>
        <v/>
      </c>
      <c r="BH106" s="3" t="str">
        <f t="shared" si="304"/>
        <v/>
      </c>
      <c r="BI106" s="3" t="str">
        <f t="shared" si="304"/>
        <v/>
      </c>
      <c r="BJ106" s="3" t="str">
        <f t="shared" si="304"/>
        <v/>
      </c>
      <c r="BK106" s="3" t="str">
        <f t="shared" si="304"/>
        <v/>
      </c>
      <c r="BL106" s="3" t="str">
        <f t="shared" si="304"/>
        <v/>
      </c>
      <c r="BM106" s="3" t="str">
        <f t="shared" si="304"/>
        <v/>
      </c>
      <c r="BN106" s="3" t="str">
        <f t="shared" si="304"/>
        <v/>
      </c>
      <c r="BO106" s="3" t="str">
        <f t="shared" si="304"/>
        <v/>
      </c>
      <c r="BP106" s="3" t="str">
        <f t="shared" si="304"/>
        <v/>
      </c>
      <c r="BQ106" s="3" t="str">
        <f t="shared" si="304"/>
        <v/>
      </c>
      <c r="BR106" s="3" t="str">
        <f t="shared" si="304"/>
        <v/>
      </c>
      <c r="BS106" s="3" t="str">
        <f t="shared" si="304"/>
        <v/>
      </c>
      <c r="BT106" s="3" t="str">
        <f t="shared" si="304"/>
        <v/>
      </c>
      <c r="BU106" s="3" t="str">
        <f t="shared" si="304"/>
        <v/>
      </c>
      <c r="BV106" s="3" t="str">
        <f t="shared" si="304"/>
        <v/>
      </c>
      <c r="BW106" s="3" t="str">
        <f t="shared" si="304"/>
        <v/>
      </c>
      <c r="BX106" s="3" t="str">
        <f t="shared" si="304"/>
        <v/>
      </c>
      <c r="BY106" s="3" t="str">
        <f t="shared" si="304"/>
        <v/>
      </c>
      <c r="BZ106" s="3" t="str">
        <f t="shared" si="304"/>
        <v/>
      </c>
      <c r="CA106" s="3" t="str">
        <f t="shared" si="304"/>
        <v/>
      </c>
      <c r="CB106" s="3" t="str">
        <f t="shared" ref="CB106" si="305">IF(AK106=0,"",ROUNDUP(AK103/AK106,0))</f>
        <v/>
      </c>
      <c r="CC106" s="3" t="str">
        <f t="shared" ref="CC106" si="306">IF(AL106=0,"",ROUNDUP(AL103/AL106,0))</f>
        <v/>
      </c>
    </row>
    <row r="107" spans="1:81" ht="17.100000000000001" customHeight="1">
      <c r="A107" s="174"/>
      <c r="B107" s="30" t="s">
        <v>22</v>
      </c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  <c r="AK107" s="39"/>
      <c r="AL107" s="39"/>
      <c r="AM107" s="39"/>
      <c r="AN107" s="40" t="str">
        <f t="shared" ref="AN107:AN113" si="307">IF(AM107="","",SUM(C107:AL107)*AM107)</f>
        <v/>
      </c>
      <c r="AO107" s="39"/>
      <c r="AP107" s="39"/>
      <c r="AQ107" s="42">
        <f t="shared" ref="AQ107:AQ113" si="308">(AO107+AR107)*AM107</f>
        <v>0</v>
      </c>
      <c r="AR107" s="25">
        <f t="shared" ref="AR107:AR113" si="309">AP107/36</f>
        <v>0</v>
      </c>
      <c r="AT107" s="3" t="str">
        <f t="shared" ref="AT107:CA107" si="310">IF(C107=0,"",ROUNDUP(C103/C107,0))</f>
        <v/>
      </c>
      <c r="AU107" s="3" t="str">
        <f t="shared" si="310"/>
        <v/>
      </c>
      <c r="AV107" s="3" t="str">
        <f t="shared" si="310"/>
        <v/>
      </c>
      <c r="AW107" s="3" t="str">
        <f t="shared" si="310"/>
        <v/>
      </c>
      <c r="AX107" s="3" t="str">
        <f t="shared" si="310"/>
        <v/>
      </c>
      <c r="AY107" s="3" t="str">
        <f t="shared" si="310"/>
        <v/>
      </c>
      <c r="AZ107" s="3" t="str">
        <f t="shared" si="310"/>
        <v/>
      </c>
      <c r="BA107" s="3" t="str">
        <f t="shared" si="310"/>
        <v/>
      </c>
      <c r="BB107" s="3" t="str">
        <f t="shared" si="310"/>
        <v/>
      </c>
      <c r="BC107" s="3" t="str">
        <f t="shared" si="310"/>
        <v/>
      </c>
      <c r="BD107" s="3" t="str">
        <f t="shared" si="310"/>
        <v/>
      </c>
      <c r="BE107" s="3" t="str">
        <f t="shared" si="310"/>
        <v/>
      </c>
      <c r="BF107" s="3" t="str">
        <f t="shared" si="310"/>
        <v/>
      </c>
      <c r="BG107" s="3" t="str">
        <f t="shared" si="310"/>
        <v/>
      </c>
      <c r="BH107" s="3" t="str">
        <f t="shared" si="310"/>
        <v/>
      </c>
      <c r="BI107" s="3" t="str">
        <f t="shared" si="310"/>
        <v/>
      </c>
      <c r="BJ107" s="3" t="str">
        <f t="shared" si="310"/>
        <v/>
      </c>
      <c r="BK107" s="3" t="str">
        <f t="shared" si="310"/>
        <v/>
      </c>
      <c r="BL107" s="3" t="str">
        <f t="shared" si="310"/>
        <v/>
      </c>
      <c r="BM107" s="3" t="str">
        <f t="shared" si="310"/>
        <v/>
      </c>
      <c r="BN107" s="3" t="str">
        <f t="shared" si="310"/>
        <v/>
      </c>
      <c r="BO107" s="3" t="str">
        <f t="shared" si="310"/>
        <v/>
      </c>
      <c r="BP107" s="3" t="str">
        <f t="shared" si="310"/>
        <v/>
      </c>
      <c r="BQ107" s="3" t="str">
        <f t="shared" si="310"/>
        <v/>
      </c>
      <c r="BR107" s="3" t="str">
        <f t="shared" si="310"/>
        <v/>
      </c>
      <c r="BS107" s="3" t="str">
        <f t="shared" si="310"/>
        <v/>
      </c>
      <c r="BT107" s="3" t="str">
        <f t="shared" si="310"/>
        <v/>
      </c>
      <c r="BU107" s="3" t="str">
        <f t="shared" si="310"/>
        <v/>
      </c>
      <c r="BV107" s="3" t="str">
        <f t="shared" si="310"/>
        <v/>
      </c>
      <c r="BW107" s="3" t="str">
        <f t="shared" si="310"/>
        <v/>
      </c>
      <c r="BX107" s="3" t="str">
        <f t="shared" si="310"/>
        <v/>
      </c>
      <c r="BY107" s="3" t="str">
        <f t="shared" si="310"/>
        <v/>
      </c>
      <c r="BZ107" s="3" t="str">
        <f t="shared" si="310"/>
        <v/>
      </c>
      <c r="CA107" s="3" t="str">
        <f t="shared" si="310"/>
        <v/>
      </c>
      <c r="CB107" s="3" t="str">
        <f t="shared" ref="CB107" si="311">IF(AK107=0,"",ROUNDUP(AK103/AK107,0))</f>
        <v/>
      </c>
      <c r="CC107" s="3" t="str">
        <f t="shared" ref="CC107" si="312">IF(AL107=0,"",ROUNDUP(AL103/AL107,0))</f>
        <v/>
      </c>
    </row>
    <row r="108" spans="1:81" ht="17.100000000000001" customHeight="1">
      <c r="A108" s="174"/>
      <c r="B108" s="30" t="s">
        <v>23</v>
      </c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  <c r="AK108" s="39"/>
      <c r="AL108" s="39"/>
      <c r="AM108" s="39"/>
      <c r="AN108" s="40" t="str">
        <f t="shared" si="307"/>
        <v/>
      </c>
      <c r="AO108" s="39"/>
      <c r="AP108" s="39"/>
      <c r="AQ108" s="42">
        <f t="shared" si="308"/>
        <v>0</v>
      </c>
      <c r="AR108" s="25">
        <f t="shared" si="309"/>
        <v>0</v>
      </c>
      <c r="AT108" s="3" t="str">
        <f t="shared" ref="AT108:CA108" si="313">IF(C108=0,"",ROUNDUP(C103/C108,0))</f>
        <v/>
      </c>
      <c r="AU108" s="3" t="str">
        <f t="shared" si="313"/>
        <v/>
      </c>
      <c r="AV108" s="3" t="str">
        <f t="shared" si="313"/>
        <v/>
      </c>
      <c r="AW108" s="3" t="str">
        <f t="shared" si="313"/>
        <v/>
      </c>
      <c r="AX108" s="3" t="str">
        <f t="shared" si="313"/>
        <v/>
      </c>
      <c r="AY108" s="3" t="str">
        <f t="shared" si="313"/>
        <v/>
      </c>
      <c r="AZ108" s="3" t="str">
        <f t="shared" si="313"/>
        <v/>
      </c>
      <c r="BA108" s="3" t="str">
        <f t="shared" si="313"/>
        <v/>
      </c>
      <c r="BB108" s="3" t="str">
        <f t="shared" si="313"/>
        <v/>
      </c>
      <c r="BC108" s="3" t="str">
        <f t="shared" si="313"/>
        <v/>
      </c>
      <c r="BD108" s="3" t="str">
        <f t="shared" si="313"/>
        <v/>
      </c>
      <c r="BE108" s="3" t="str">
        <f t="shared" si="313"/>
        <v/>
      </c>
      <c r="BF108" s="3" t="str">
        <f t="shared" si="313"/>
        <v/>
      </c>
      <c r="BG108" s="3" t="str">
        <f t="shared" si="313"/>
        <v/>
      </c>
      <c r="BH108" s="3" t="str">
        <f t="shared" si="313"/>
        <v/>
      </c>
      <c r="BI108" s="3" t="str">
        <f t="shared" si="313"/>
        <v/>
      </c>
      <c r="BJ108" s="3" t="str">
        <f t="shared" si="313"/>
        <v/>
      </c>
      <c r="BK108" s="3" t="str">
        <f t="shared" si="313"/>
        <v/>
      </c>
      <c r="BL108" s="3" t="str">
        <f t="shared" si="313"/>
        <v/>
      </c>
      <c r="BM108" s="3" t="str">
        <f t="shared" si="313"/>
        <v/>
      </c>
      <c r="BN108" s="3" t="str">
        <f t="shared" si="313"/>
        <v/>
      </c>
      <c r="BO108" s="3" t="str">
        <f t="shared" si="313"/>
        <v/>
      </c>
      <c r="BP108" s="3" t="str">
        <f t="shared" si="313"/>
        <v/>
      </c>
      <c r="BQ108" s="3" t="str">
        <f t="shared" si="313"/>
        <v/>
      </c>
      <c r="BR108" s="3" t="str">
        <f t="shared" si="313"/>
        <v/>
      </c>
      <c r="BS108" s="3" t="str">
        <f t="shared" si="313"/>
        <v/>
      </c>
      <c r="BT108" s="3" t="str">
        <f t="shared" si="313"/>
        <v/>
      </c>
      <c r="BU108" s="3" t="str">
        <f t="shared" si="313"/>
        <v/>
      </c>
      <c r="BV108" s="3" t="str">
        <f t="shared" si="313"/>
        <v/>
      </c>
      <c r="BW108" s="3" t="str">
        <f t="shared" si="313"/>
        <v/>
      </c>
      <c r="BX108" s="3" t="str">
        <f t="shared" si="313"/>
        <v/>
      </c>
      <c r="BY108" s="3" t="str">
        <f t="shared" si="313"/>
        <v/>
      </c>
      <c r="BZ108" s="3" t="str">
        <f t="shared" si="313"/>
        <v/>
      </c>
      <c r="CA108" s="3" t="str">
        <f t="shared" si="313"/>
        <v/>
      </c>
      <c r="CB108" s="3" t="str">
        <f t="shared" ref="CB108" si="314">IF(AK108=0,"",ROUNDUP(AK103/AK108,0))</f>
        <v/>
      </c>
      <c r="CC108" s="3" t="str">
        <f t="shared" ref="CC108" si="315">IF(AL108=0,"",ROUNDUP(AL103/AL108,0))</f>
        <v/>
      </c>
    </row>
    <row r="109" spans="1:81" ht="17.100000000000001" customHeight="1">
      <c r="A109" s="174"/>
      <c r="B109" s="30" t="s">
        <v>24</v>
      </c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  <c r="AK109" s="39"/>
      <c r="AL109" s="39"/>
      <c r="AM109" s="39"/>
      <c r="AN109" s="40" t="str">
        <f t="shared" si="307"/>
        <v/>
      </c>
      <c r="AO109" s="39"/>
      <c r="AP109" s="39"/>
      <c r="AQ109" s="42">
        <f t="shared" si="308"/>
        <v>0</v>
      </c>
      <c r="AR109" s="25">
        <f t="shared" si="309"/>
        <v>0</v>
      </c>
      <c r="AT109" s="3" t="str">
        <f t="shared" ref="AT109:CA109" si="316">IF(C109=0,"",ROUNDUP(C103/C109,0))</f>
        <v/>
      </c>
      <c r="AU109" s="3" t="str">
        <f t="shared" si="316"/>
        <v/>
      </c>
      <c r="AV109" s="3" t="str">
        <f t="shared" si="316"/>
        <v/>
      </c>
      <c r="AW109" s="3" t="str">
        <f t="shared" si="316"/>
        <v/>
      </c>
      <c r="AX109" s="3" t="str">
        <f t="shared" si="316"/>
        <v/>
      </c>
      <c r="AY109" s="3" t="str">
        <f t="shared" si="316"/>
        <v/>
      </c>
      <c r="AZ109" s="3" t="str">
        <f t="shared" si="316"/>
        <v/>
      </c>
      <c r="BA109" s="3" t="str">
        <f t="shared" si="316"/>
        <v/>
      </c>
      <c r="BB109" s="3" t="str">
        <f t="shared" si="316"/>
        <v/>
      </c>
      <c r="BC109" s="3" t="str">
        <f t="shared" si="316"/>
        <v/>
      </c>
      <c r="BD109" s="3" t="str">
        <f t="shared" si="316"/>
        <v/>
      </c>
      <c r="BE109" s="3" t="str">
        <f t="shared" si="316"/>
        <v/>
      </c>
      <c r="BF109" s="3" t="str">
        <f t="shared" si="316"/>
        <v/>
      </c>
      <c r="BG109" s="3" t="str">
        <f t="shared" si="316"/>
        <v/>
      </c>
      <c r="BH109" s="3" t="str">
        <f t="shared" si="316"/>
        <v/>
      </c>
      <c r="BI109" s="3" t="str">
        <f t="shared" si="316"/>
        <v/>
      </c>
      <c r="BJ109" s="3" t="str">
        <f t="shared" si="316"/>
        <v/>
      </c>
      <c r="BK109" s="3" t="str">
        <f t="shared" si="316"/>
        <v/>
      </c>
      <c r="BL109" s="3" t="str">
        <f t="shared" si="316"/>
        <v/>
      </c>
      <c r="BM109" s="3" t="str">
        <f t="shared" si="316"/>
        <v/>
      </c>
      <c r="BN109" s="3" t="str">
        <f t="shared" si="316"/>
        <v/>
      </c>
      <c r="BO109" s="3" t="str">
        <f t="shared" si="316"/>
        <v/>
      </c>
      <c r="BP109" s="3" t="str">
        <f t="shared" si="316"/>
        <v/>
      </c>
      <c r="BQ109" s="3" t="str">
        <f t="shared" si="316"/>
        <v/>
      </c>
      <c r="BR109" s="3" t="str">
        <f t="shared" si="316"/>
        <v/>
      </c>
      <c r="BS109" s="3" t="str">
        <f t="shared" si="316"/>
        <v/>
      </c>
      <c r="BT109" s="3" t="str">
        <f t="shared" si="316"/>
        <v/>
      </c>
      <c r="BU109" s="3" t="str">
        <f t="shared" si="316"/>
        <v/>
      </c>
      <c r="BV109" s="3" t="str">
        <f t="shared" si="316"/>
        <v/>
      </c>
      <c r="BW109" s="3" t="str">
        <f t="shared" si="316"/>
        <v/>
      </c>
      <c r="BX109" s="3" t="str">
        <f t="shared" si="316"/>
        <v/>
      </c>
      <c r="BY109" s="3" t="str">
        <f t="shared" si="316"/>
        <v/>
      </c>
      <c r="BZ109" s="3" t="str">
        <f t="shared" si="316"/>
        <v/>
      </c>
      <c r="CA109" s="3" t="str">
        <f t="shared" si="316"/>
        <v/>
      </c>
      <c r="CB109" s="3" t="str">
        <f t="shared" ref="CB109" si="317">IF(AK109=0,"",ROUNDUP(AK103/AK109,0))</f>
        <v/>
      </c>
      <c r="CC109" s="3" t="str">
        <f t="shared" ref="CC109" si="318">IF(AL109=0,"",ROUNDUP(AL103/AL109,0))</f>
        <v/>
      </c>
    </row>
    <row r="110" spans="1:81" ht="17.100000000000001" customHeight="1">
      <c r="A110" s="174"/>
      <c r="B110" s="30" t="s">
        <v>25</v>
      </c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  <c r="AK110" s="39"/>
      <c r="AL110" s="39"/>
      <c r="AM110" s="39"/>
      <c r="AN110" s="40" t="str">
        <f t="shared" si="307"/>
        <v/>
      </c>
      <c r="AO110" s="39"/>
      <c r="AP110" s="39"/>
      <c r="AQ110" s="42">
        <f t="shared" si="308"/>
        <v>0</v>
      </c>
      <c r="AR110" s="25">
        <f t="shared" si="309"/>
        <v>0</v>
      </c>
      <c r="AT110" s="3" t="str">
        <f t="shared" ref="AT110:CA110" si="319">IF(C110=0,"",ROUNDUP(C103/C110,0))</f>
        <v/>
      </c>
      <c r="AU110" s="3" t="str">
        <f t="shared" si="319"/>
        <v/>
      </c>
      <c r="AV110" s="3" t="str">
        <f t="shared" si="319"/>
        <v/>
      </c>
      <c r="AW110" s="3" t="str">
        <f t="shared" si="319"/>
        <v/>
      </c>
      <c r="AX110" s="3" t="str">
        <f t="shared" si="319"/>
        <v/>
      </c>
      <c r="AY110" s="3" t="str">
        <f t="shared" si="319"/>
        <v/>
      </c>
      <c r="AZ110" s="3" t="str">
        <f t="shared" si="319"/>
        <v/>
      </c>
      <c r="BA110" s="3" t="str">
        <f t="shared" si="319"/>
        <v/>
      </c>
      <c r="BB110" s="3" t="str">
        <f t="shared" si="319"/>
        <v/>
      </c>
      <c r="BC110" s="3" t="str">
        <f t="shared" si="319"/>
        <v/>
      </c>
      <c r="BD110" s="3" t="str">
        <f t="shared" si="319"/>
        <v/>
      </c>
      <c r="BE110" s="3" t="str">
        <f t="shared" si="319"/>
        <v/>
      </c>
      <c r="BF110" s="3" t="str">
        <f t="shared" si="319"/>
        <v/>
      </c>
      <c r="BG110" s="3" t="str">
        <f t="shared" si="319"/>
        <v/>
      </c>
      <c r="BH110" s="3" t="str">
        <f t="shared" si="319"/>
        <v/>
      </c>
      <c r="BI110" s="3" t="str">
        <f t="shared" si="319"/>
        <v/>
      </c>
      <c r="BJ110" s="3" t="str">
        <f t="shared" si="319"/>
        <v/>
      </c>
      <c r="BK110" s="3" t="str">
        <f t="shared" si="319"/>
        <v/>
      </c>
      <c r="BL110" s="3" t="str">
        <f t="shared" si="319"/>
        <v/>
      </c>
      <c r="BM110" s="3" t="str">
        <f t="shared" si="319"/>
        <v/>
      </c>
      <c r="BN110" s="3" t="str">
        <f t="shared" si="319"/>
        <v/>
      </c>
      <c r="BO110" s="3" t="str">
        <f t="shared" si="319"/>
        <v/>
      </c>
      <c r="BP110" s="3" t="str">
        <f t="shared" si="319"/>
        <v/>
      </c>
      <c r="BQ110" s="3" t="str">
        <f t="shared" si="319"/>
        <v/>
      </c>
      <c r="BR110" s="3" t="str">
        <f t="shared" si="319"/>
        <v/>
      </c>
      <c r="BS110" s="3" t="str">
        <f t="shared" si="319"/>
        <v/>
      </c>
      <c r="BT110" s="3" t="str">
        <f t="shared" si="319"/>
        <v/>
      </c>
      <c r="BU110" s="3" t="str">
        <f t="shared" si="319"/>
        <v/>
      </c>
      <c r="BV110" s="3" t="str">
        <f t="shared" si="319"/>
        <v/>
      </c>
      <c r="BW110" s="3" t="str">
        <f t="shared" si="319"/>
        <v/>
      </c>
      <c r="BX110" s="3" t="str">
        <f t="shared" si="319"/>
        <v/>
      </c>
      <c r="BY110" s="3" t="str">
        <f t="shared" si="319"/>
        <v/>
      </c>
      <c r="BZ110" s="3" t="str">
        <f t="shared" si="319"/>
        <v/>
      </c>
      <c r="CA110" s="3" t="str">
        <f t="shared" si="319"/>
        <v/>
      </c>
      <c r="CB110" s="3" t="str">
        <f t="shared" ref="CB110" si="320">IF(AK110=0,"",ROUNDUP(AK103/AK110,0))</f>
        <v/>
      </c>
      <c r="CC110" s="3" t="str">
        <f t="shared" ref="CC110" si="321">IF(AL110=0,"",ROUNDUP(AL103/AL110,0))</f>
        <v/>
      </c>
    </row>
    <row r="111" spans="1:81" ht="17.100000000000001" customHeight="1">
      <c r="A111" s="174"/>
      <c r="B111" s="30" t="s">
        <v>26</v>
      </c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40" t="str">
        <f>IF(AM111="","",SUM(C111:AL111)*AM111)</f>
        <v/>
      </c>
      <c r="AO111" s="39"/>
      <c r="AP111" s="39"/>
      <c r="AQ111" s="42">
        <f t="shared" si="308"/>
        <v>0</v>
      </c>
      <c r="AR111" s="25">
        <f t="shared" si="309"/>
        <v>0</v>
      </c>
      <c r="AT111" s="3" t="str">
        <f t="shared" ref="AT111:CA111" si="322">IF(C111=0,"",ROUNDUP(C103/C111,0))</f>
        <v/>
      </c>
      <c r="AU111" s="3" t="str">
        <f t="shared" si="322"/>
        <v/>
      </c>
      <c r="AV111" s="3" t="str">
        <f t="shared" si="322"/>
        <v/>
      </c>
      <c r="AW111" s="3" t="str">
        <f t="shared" si="322"/>
        <v/>
      </c>
      <c r="AX111" s="3" t="str">
        <f t="shared" si="322"/>
        <v/>
      </c>
      <c r="AY111" s="3" t="str">
        <f t="shared" si="322"/>
        <v/>
      </c>
      <c r="AZ111" s="3" t="str">
        <f t="shared" si="322"/>
        <v/>
      </c>
      <c r="BA111" s="3" t="str">
        <f t="shared" si="322"/>
        <v/>
      </c>
      <c r="BB111" s="3" t="str">
        <f t="shared" si="322"/>
        <v/>
      </c>
      <c r="BC111" s="3" t="str">
        <f t="shared" si="322"/>
        <v/>
      </c>
      <c r="BD111" s="3" t="str">
        <f t="shared" si="322"/>
        <v/>
      </c>
      <c r="BE111" s="3" t="str">
        <f t="shared" si="322"/>
        <v/>
      </c>
      <c r="BF111" s="3" t="str">
        <f t="shared" si="322"/>
        <v/>
      </c>
      <c r="BG111" s="3" t="str">
        <f t="shared" si="322"/>
        <v/>
      </c>
      <c r="BH111" s="3" t="str">
        <f t="shared" si="322"/>
        <v/>
      </c>
      <c r="BI111" s="3" t="str">
        <f t="shared" si="322"/>
        <v/>
      </c>
      <c r="BJ111" s="3" t="str">
        <f t="shared" si="322"/>
        <v/>
      </c>
      <c r="BK111" s="3" t="str">
        <f t="shared" si="322"/>
        <v/>
      </c>
      <c r="BL111" s="3" t="str">
        <f t="shared" si="322"/>
        <v/>
      </c>
      <c r="BM111" s="3" t="str">
        <f t="shared" si="322"/>
        <v/>
      </c>
      <c r="BN111" s="3" t="str">
        <f t="shared" si="322"/>
        <v/>
      </c>
      <c r="BO111" s="3" t="str">
        <f t="shared" si="322"/>
        <v/>
      </c>
      <c r="BP111" s="3" t="str">
        <f t="shared" si="322"/>
        <v/>
      </c>
      <c r="BQ111" s="3" t="str">
        <f t="shared" si="322"/>
        <v/>
      </c>
      <c r="BR111" s="3" t="str">
        <f t="shared" si="322"/>
        <v/>
      </c>
      <c r="BS111" s="3" t="str">
        <f t="shared" si="322"/>
        <v/>
      </c>
      <c r="BT111" s="3" t="str">
        <f t="shared" si="322"/>
        <v/>
      </c>
      <c r="BU111" s="3" t="str">
        <f t="shared" si="322"/>
        <v/>
      </c>
      <c r="BV111" s="3" t="str">
        <f t="shared" si="322"/>
        <v/>
      </c>
      <c r="BW111" s="3" t="str">
        <f t="shared" si="322"/>
        <v/>
      </c>
      <c r="BX111" s="3" t="str">
        <f t="shared" si="322"/>
        <v/>
      </c>
      <c r="BY111" s="3" t="str">
        <f t="shared" si="322"/>
        <v/>
      </c>
      <c r="BZ111" s="3" t="str">
        <f t="shared" si="322"/>
        <v/>
      </c>
      <c r="CA111" s="3" t="str">
        <f t="shared" si="322"/>
        <v/>
      </c>
      <c r="CB111" s="3" t="str">
        <f t="shared" ref="CB111" si="323">IF(AK111=0,"",ROUNDUP(AK103/AK111,0))</f>
        <v/>
      </c>
      <c r="CC111" s="3" t="str">
        <f t="shared" ref="CC111" si="324">IF(AL111=0,"",ROUNDUP(AL103/AL111,0))</f>
        <v/>
      </c>
    </row>
    <row r="112" spans="1:81" ht="17.100000000000001" customHeight="1">
      <c r="A112" s="174"/>
      <c r="B112" s="30" t="s">
        <v>27</v>
      </c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  <c r="AK112" s="39"/>
      <c r="AL112" s="39"/>
      <c r="AM112" s="39"/>
      <c r="AN112" s="40" t="str">
        <f t="shared" si="307"/>
        <v/>
      </c>
      <c r="AO112" s="39"/>
      <c r="AP112" s="39"/>
      <c r="AQ112" s="42">
        <f t="shared" si="308"/>
        <v>0</v>
      </c>
      <c r="AR112" s="25">
        <f t="shared" si="309"/>
        <v>0</v>
      </c>
      <c r="AT112" s="3" t="str">
        <f t="shared" ref="AT112:CA112" si="325">IF(C112=0,"",ROUNDUP(C103/C112,0))</f>
        <v/>
      </c>
      <c r="AU112" s="3" t="str">
        <f t="shared" si="325"/>
        <v/>
      </c>
      <c r="AV112" s="3" t="str">
        <f t="shared" si="325"/>
        <v/>
      </c>
      <c r="AW112" s="3" t="str">
        <f t="shared" si="325"/>
        <v/>
      </c>
      <c r="AX112" s="3" t="str">
        <f t="shared" si="325"/>
        <v/>
      </c>
      <c r="AY112" s="3" t="str">
        <f t="shared" si="325"/>
        <v/>
      </c>
      <c r="AZ112" s="3" t="str">
        <f t="shared" si="325"/>
        <v/>
      </c>
      <c r="BA112" s="3" t="str">
        <f t="shared" si="325"/>
        <v/>
      </c>
      <c r="BB112" s="3" t="str">
        <f t="shared" si="325"/>
        <v/>
      </c>
      <c r="BC112" s="3" t="str">
        <f t="shared" si="325"/>
        <v/>
      </c>
      <c r="BD112" s="3" t="str">
        <f t="shared" si="325"/>
        <v/>
      </c>
      <c r="BE112" s="3" t="str">
        <f t="shared" si="325"/>
        <v/>
      </c>
      <c r="BF112" s="3" t="str">
        <f t="shared" si="325"/>
        <v/>
      </c>
      <c r="BG112" s="3" t="str">
        <f t="shared" si="325"/>
        <v/>
      </c>
      <c r="BH112" s="3" t="str">
        <f t="shared" si="325"/>
        <v/>
      </c>
      <c r="BI112" s="3" t="str">
        <f t="shared" si="325"/>
        <v/>
      </c>
      <c r="BJ112" s="3" t="str">
        <f t="shared" si="325"/>
        <v/>
      </c>
      <c r="BK112" s="3" t="str">
        <f t="shared" si="325"/>
        <v/>
      </c>
      <c r="BL112" s="3" t="str">
        <f t="shared" si="325"/>
        <v/>
      </c>
      <c r="BM112" s="3" t="str">
        <f t="shared" si="325"/>
        <v/>
      </c>
      <c r="BN112" s="3" t="str">
        <f t="shared" si="325"/>
        <v/>
      </c>
      <c r="BO112" s="3" t="str">
        <f t="shared" si="325"/>
        <v/>
      </c>
      <c r="BP112" s="3" t="str">
        <f t="shared" si="325"/>
        <v/>
      </c>
      <c r="BQ112" s="3" t="str">
        <f t="shared" si="325"/>
        <v/>
      </c>
      <c r="BR112" s="3" t="str">
        <f t="shared" si="325"/>
        <v/>
      </c>
      <c r="BS112" s="3" t="str">
        <f t="shared" si="325"/>
        <v/>
      </c>
      <c r="BT112" s="3" t="str">
        <f t="shared" si="325"/>
        <v/>
      </c>
      <c r="BU112" s="3" t="str">
        <f t="shared" si="325"/>
        <v/>
      </c>
      <c r="BV112" s="3" t="str">
        <f t="shared" si="325"/>
        <v/>
      </c>
      <c r="BW112" s="3" t="str">
        <f t="shared" si="325"/>
        <v/>
      </c>
      <c r="BX112" s="3" t="str">
        <f t="shared" si="325"/>
        <v/>
      </c>
      <c r="BY112" s="3" t="str">
        <f t="shared" si="325"/>
        <v/>
      </c>
      <c r="BZ112" s="3" t="str">
        <f t="shared" si="325"/>
        <v/>
      </c>
      <c r="CA112" s="3" t="str">
        <f t="shared" si="325"/>
        <v/>
      </c>
      <c r="CB112" s="3" t="str">
        <f t="shared" ref="CB112" si="326">IF(AK112=0,"",ROUNDUP(AK103/AK112,0))</f>
        <v/>
      </c>
      <c r="CC112" s="3" t="str">
        <f t="shared" ref="CC112" si="327">IF(AL112=0,"",ROUNDUP(AL103/AL112,0))</f>
        <v/>
      </c>
    </row>
    <row r="113" spans="1:81" ht="17.100000000000001" customHeight="1">
      <c r="A113" s="175"/>
      <c r="B113" s="30" t="s">
        <v>28</v>
      </c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  <c r="AK113" s="39"/>
      <c r="AL113" s="39"/>
      <c r="AM113" s="39"/>
      <c r="AN113" s="41" t="str">
        <f t="shared" si="307"/>
        <v/>
      </c>
      <c r="AO113" s="39"/>
      <c r="AP113" s="39"/>
      <c r="AQ113" s="42">
        <f t="shared" si="308"/>
        <v>0</v>
      </c>
      <c r="AR113" s="25">
        <f t="shared" si="309"/>
        <v>0</v>
      </c>
      <c r="AT113" s="3" t="str">
        <f t="shared" ref="AT113:CA113" si="328">IF(C113=0,"",ROUNDUP(C103/C113,0))</f>
        <v/>
      </c>
      <c r="AU113" s="3" t="str">
        <f t="shared" si="328"/>
        <v/>
      </c>
      <c r="AV113" s="3" t="str">
        <f t="shared" si="328"/>
        <v/>
      </c>
      <c r="AW113" s="3" t="str">
        <f t="shared" si="328"/>
        <v/>
      </c>
      <c r="AX113" s="3" t="str">
        <f t="shared" si="328"/>
        <v/>
      </c>
      <c r="AY113" s="3" t="str">
        <f t="shared" si="328"/>
        <v/>
      </c>
      <c r="AZ113" s="3" t="str">
        <f t="shared" si="328"/>
        <v/>
      </c>
      <c r="BA113" s="3" t="str">
        <f t="shared" si="328"/>
        <v/>
      </c>
      <c r="BB113" s="3" t="str">
        <f t="shared" si="328"/>
        <v/>
      </c>
      <c r="BC113" s="3" t="str">
        <f t="shared" si="328"/>
        <v/>
      </c>
      <c r="BD113" s="3" t="str">
        <f t="shared" si="328"/>
        <v/>
      </c>
      <c r="BE113" s="3" t="str">
        <f t="shared" si="328"/>
        <v/>
      </c>
      <c r="BF113" s="3" t="str">
        <f t="shared" si="328"/>
        <v/>
      </c>
      <c r="BG113" s="3" t="str">
        <f t="shared" si="328"/>
        <v/>
      </c>
      <c r="BH113" s="3" t="str">
        <f t="shared" si="328"/>
        <v/>
      </c>
      <c r="BI113" s="3" t="str">
        <f t="shared" si="328"/>
        <v/>
      </c>
      <c r="BJ113" s="3" t="str">
        <f t="shared" si="328"/>
        <v/>
      </c>
      <c r="BK113" s="3" t="str">
        <f t="shared" si="328"/>
        <v/>
      </c>
      <c r="BL113" s="3" t="str">
        <f t="shared" si="328"/>
        <v/>
      </c>
      <c r="BM113" s="3" t="str">
        <f t="shared" si="328"/>
        <v/>
      </c>
      <c r="BN113" s="3" t="str">
        <f t="shared" si="328"/>
        <v/>
      </c>
      <c r="BO113" s="3" t="str">
        <f t="shared" si="328"/>
        <v/>
      </c>
      <c r="BP113" s="3" t="str">
        <f t="shared" si="328"/>
        <v/>
      </c>
      <c r="BQ113" s="3" t="str">
        <f t="shared" si="328"/>
        <v/>
      </c>
      <c r="BR113" s="3" t="str">
        <f t="shared" si="328"/>
        <v/>
      </c>
      <c r="BS113" s="3" t="str">
        <f t="shared" si="328"/>
        <v/>
      </c>
      <c r="BT113" s="3" t="str">
        <f t="shared" si="328"/>
        <v/>
      </c>
      <c r="BU113" s="3" t="str">
        <f t="shared" si="328"/>
        <v/>
      </c>
      <c r="BV113" s="3" t="str">
        <f t="shared" si="328"/>
        <v/>
      </c>
      <c r="BW113" s="3" t="str">
        <f t="shared" si="328"/>
        <v/>
      </c>
      <c r="BX113" s="3" t="str">
        <f t="shared" si="328"/>
        <v/>
      </c>
      <c r="BY113" s="3" t="str">
        <f t="shared" si="328"/>
        <v/>
      </c>
      <c r="BZ113" s="3" t="str">
        <f t="shared" si="328"/>
        <v/>
      </c>
      <c r="CA113" s="3" t="str">
        <f t="shared" si="328"/>
        <v/>
      </c>
      <c r="CB113" s="3" t="str">
        <f t="shared" ref="CB113" si="329">IF(AK113=0,"",ROUNDUP(AK103/AK113,0))</f>
        <v/>
      </c>
      <c r="CC113" s="3" t="str">
        <f t="shared" ref="CC113" si="330">IF(AL113=0,"",ROUNDUP(AL103/AL113,0))</f>
        <v/>
      </c>
    </row>
    <row r="114" spans="1:81" ht="17.100000000000001" customHeight="1" thickBot="1">
      <c r="AN114" s="7">
        <f>SUM(AN106:AN113)</f>
        <v>0</v>
      </c>
      <c r="AQ114" s="12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21.95" customHeight="1" thickBot="1">
      <c r="A115" s="160">
        <v>8</v>
      </c>
      <c r="B115" s="161"/>
      <c r="C115" s="162"/>
      <c r="AQ115" s="12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7.100000000000001" customHeight="1">
      <c r="A116" s="51" t="s">
        <v>29</v>
      </c>
      <c r="B116" s="50"/>
      <c r="C116" s="147" t="s">
        <v>10</v>
      </c>
      <c r="D116" s="148"/>
      <c r="E116" s="148"/>
      <c r="F116" s="148"/>
      <c r="G116" s="148"/>
      <c r="H116" s="148"/>
      <c r="I116" s="148"/>
      <c r="J116" s="148"/>
      <c r="K116" s="148"/>
      <c r="L116" s="148"/>
      <c r="M116" s="148"/>
      <c r="N116" s="148"/>
      <c r="O116" s="148"/>
      <c r="P116" s="148"/>
      <c r="Q116" s="148"/>
      <c r="R116" s="148"/>
      <c r="S116" s="148"/>
      <c r="T116" s="148"/>
      <c r="U116" s="148"/>
      <c r="V116" s="148"/>
      <c r="W116" s="148"/>
      <c r="X116" s="148"/>
      <c r="Y116" s="148"/>
      <c r="Z116" s="148"/>
      <c r="AA116" s="148"/>
      <c r="AB116" s="148"/>
      <c r="AC116" s="148"/>
      <c r="AD116" s="148"/>
      <c r="AE116" s="148"/>
      <c r="AF116" s="148"/>
      <c r="AG116" s="148"/>
      <c r="AH116" s="148"/>
      <c r="AI116" s="148"/>
      <c r="AJ116" s="148"/>
      <c r="AK116" s="148"/>
      <c r="AL116" s="148"/>
      <c r="AM116" s="10"/>
      <c r="AN116" s="31"/>
      <c r="AO116" s="35" t="s">
        <v>4</v>
      </c>
      <c r="AP116" s="149"/>
      <c r="AQ116" s="150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ht="27">
      <c r="A117" s="52" t="s">
        <v>36</v>
      </c>
      <c r="B117" s="50"/>
      <c r="C117" s="26" t="str">
        <f>IF(C101=0,"",IF(C101&gt;0,C101))</f>
        <v/>
      </c>
      <c r="D117" s="26" t="str">
        <f t="shared" ref="D117:AL117" si="331">IF(D101=0,"",IF(D101&gt;0,D101))</f>
        <v/>
      </c>
      <c r="E117" s="26" t="str">
        <f t="shared" si="331"/>
        <v/>
      </c>
      <c r="F117" s="26" t="str">
        <f t="shared" si="331"/>
        <v/>
      </c>
      <c r="G117" s="26" t="str">
        <f t="shared" si="331"/>
        <v/>
      </c>
      <c r="H117" s="26" t="str">
        <f t="shared" si="331"/>
        <v/>
      </c>
      <c r="I117" s="26" t="str">
        <f t="shared" si="331"/>
        <v/>
      </c>
      <c r="J117" s="26" t="str">
        <f t="shared" si="331"/>
        <v/>
      </c>
      <c r="K117" s="26" t="str">
        <f t="shared" si="331"/>
        <v/>
      </c>
      <c r="L117" s="26" t="str">
        <f t="shared" si="331"/>
        <v/>
      </c>
      <c r="M117" s="26" t="str">
        <f t="shared" si="331"/>
        <v/>
      </c>
      <c r="N117" s="26" t="str">
        <f t="shared" si="331"/>
        <v/>
      </c>
      <c r="O117" s="26" t="str">
        <f t="shared" si="331"/>
        <v/>
      </c>
      <c r="P117" s="26" t="str">
        <f t="shared" si="331"/>
        <v/>
      </c>
      <c r="Q117" s="26" t="str">
        <f t="shared" si="331"/>
        <v/>
      </c>
      <c r="R117" s="26" t="str">
        <f t="shared" si="331"/>
        <v/>
      </c>
      <c r="S117" s="26" t="str">
        <f t="shared" si="331"/>
        <v/>
      </c>
      <c r="T117" s="26" t="str">
        <f t="shared" si="331"/>
        <v/>
      </c>
      <c r="U117" s="26" t="str">
        <f t="shared" si="331"/>
        <v/>
      </c>
      <c r="V117" s="26" t="str">
        <f t="shared" si="331"/>
        <v/>
      </c>
      <c r="W117" s="26" t="str">
        <f t="shared" si="331"/>
        <v/>
      </c>
      <c r="X117" s="26" t="str">
        <f t="shared" si="331"/>
        <v/>
      </c>
      <c r="Y117" s="26" t="str">
        <f t="shared" si="331"/>
        <v/>
      </c>
      <c r="Z117" s="26" t="str">
        <f t="shared" si="331"/>
        <v/>
      </c>
      <c r="AA117" s="26" t="str">
        <f t="shared" si="331"/>
        <v/>
      </c>
      <c r="AB117" s="26" t="str">
        <f t="shared" si="331"/>
        <v/>
      </c>
      <c r="AC117" s="26" t="str">
        <f t="shared" si="331"/>
        <v/>
      </c>
      <c r="AD117" s="26" t="str">
        <f t="shared" si="331"/>
        <v/>
      </c>
      <c r="AE117" s="26" t="str">
        <f t="shared" si="331"/>
        <v/>
      </c>
      <c r="AF117" s="26" t="str">
        <f t="shared" si="331"/>
        <v/>
      </c>
      <c r="AG117" s="26" t="str">
        <f t="shared" si="331"/>
        <v/>
      </c>
      <c r="AH117" s="26" t="str">
        <f t="shared" si="331"/>
        <v/>
      </c>
      <c r="AI117" s="26" t="str">
        <f t="shared" si="331"/>
        <v/>
      </c>
      <c r="AJ117" s="26" t="str">
        <f t="shared" si="331"/>
        <v/>
      </c>
      <c r="AK117" s="26" t="str">
        <f t="shared" si="331"/>
        <v/>
      </c>
      <c r="AL117" s="26" t="str">
        <f t="shared" si="331"/>
        <v/>
      </c>
      <c r="AM117" s="5" t="s">
        <v>2</v>
      </c>
      <c r="AN117" s="31"/>
      <c r="AO117" s="32" t="s">
        <v>5</v>
      </c>
      <c r="AP117" s="151">
        <f>SUM(AQ122:AQ129)</f>
        <v>0</v>
      </c>
      <c r="AQ117" s="151"/>
      <c r="AT117" s="2" t="str">
        <f t="shared" ref="AT117:BY117" si="332">IF(C117=0,"",IF(C117&gt;0,C117))</f>
        <v/>
      </c>
      <c r="AU117" s="2" t="str">
        <f t="shared" si="332"/>
        <v/>
      </c>
      <c r="AV117" s="2" t="str">
        <f t="shared" si="332"/>
        <v/>
      </c>
      <c r="AW117" s="2" t="str">
        <f t="shared" si="332"/>
        <v/>
      </c>
      <c r="AX117" s="2" t="str">
        <f t="shared" si="332"/>
        <v/>
      </c>
      <c r="AY117" s="2" t="str">
        <f t="shared" si="332"/>
        <v/>
      </c>
      <c r="AZ117" s="2" t="str">
        <f t="shared" si="332"/>
        <v/>
      </c>
      <c r="BA117" s="2" t="str">
        <f t="shared" si="332"/>
        <v/>
      </c>
      <c r="BB117" s="2" t="str">
        <f t="shared" si="332"/>
        <v/>
      </c>
      <c r="BC117" s="2" t="str">
        <f t="shared" si="332"/>
        <v/>
      </c>
      <c r="BD117" s="2" t="str">
        <f t="shared" si="332"/>
        <v/>
      </c>
      <c r="BE117" s="2" t="str">
        <f t="shared" si="332"/>
        <v/>
      </c>
      <c r="BF117" s="2" t="str">
        <f t="shared" si="332"/>
        <v/>
      </c>
      <c r="BG117" s="2" t="str">
        <f t="shared" si="332"/>
        <v/>
      </c>
      <c r="BH117" s="2" t="str">
        <f t="shared" si="332"/>
        <v/>
      </c>
      <c r="BI117" s="2" t="str">
        <f t="shared" si="332"/>
        <v/>
      </c>
      <c r="BJ117" s="2" t="str">
        <f t="shared" si="332"/>
        <v/>
      </c>
      <c r="BK117" s="2" t="str">
        <f t="shared" si="332"/>
        <v/>
      </c>
      <c r="BL117" s="2" t="str">
        <f t="shared" si="332"/>
        <v/>
      </c>
      <c r="BM117" s="2" t="str">
        <f t="shared" si="332"/>
        <v/>
      </c>
      <c r="BN117" s="2" t="str">
        <f t="shared" si="332"/>
        <v/>
      </c>
      <c r="BO117" s="2" t="str">
        <f t="shared" si="332"/>
        <v/>
      </c>
      <c r="BP117" s="2" t="str">
        <f t="shared" si="332"/>
        <v/>
      </c>
      <c r="BQ117" s="2" t="str">
        <f t="shared" si="332"/>
        <v/>
      </c>
      <c r="BR117" s="2" t="str">
        <f t="shared" si="332"/>
        <v/>
      </c>
      <c r="BS117" s="2" t="str">
        <f t="shared" si="332"/>
        <v/>
      </c>
      <c r="BT117" s="2" t="str">
        <f t="shared" si="332"/>
        <v/>
      </c>
      <c r="BU117" s="2" t="str">
        <f t="shared" si="332"/>
        <v/>
      </c>
      <c r="BV117" s="2" t="str">
        <f t="shared" si="332"/>
        <v/>
      </c>
      <c r="BW117" s="2" t="str">
        <f t="shared" si="332"/>
        <v/>
      </c>
      <c r="BX117" s="2" t="str">
        <f t="shared" si="332"/>
        <v/>
      </c>
      <c r="BY117" s="2" t="str">
        <f t="shared" si="332"/>
        <v/>
      </c>
      <c r="BZ117" s="2" t="str">
        <f t="shared" ref="BZ117" si="333">IF(AI117=0,"",IF(AI117&gt;0,AI117))</f>
        <v/>
      </c>
      <c r="CA117" s="2" t="str">
        <f t="shared" ref="CA117" si="334">IF(AJ117=0,"",IF(AJ117&gt;0,AJ117))</f>
        <v/>
      </c>
      <c r="CB117" s="2" t="str">
        <f t="shared" ref="CB117" si="335">IF(AK117=0,"",IF(AK117&gt;0,AK117))</f>
        <v/>
      </c>
      <c r="CC117" s="2" t="str">
        <f t="shared" ref="CC117" si="336">IF(AL117=0,"",IF(AL117&gt;0,AL117))</f>
        <v/>
      </c>
    </row>
    <row r="118" spans="1:81" ht="17.100000000000001" customHeight="1">
      <c r="A118" s="152" t="s">
        <v>30</v>
      </c>
      <c r="B118" s="198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I118" s="46"/>
      <c r="AJ118" s="46"/>
      <c r="AK118" s="46"/>
      <c r="AL118" s="46"/>
      <c r="AM118" s="45">
        <f>SUM(C118:AL118)</f>
        <v>0</v>
      </c>
      <c r="AN118" s="33"/>
      <c r="AO118" s="34" t="str">
        <f>IF(AP118&lt;5,"NO ",IF(AP118=5,"ok",IF(AP118&gt;5,"ok")))</f>
        <v xml:space="preserve">NO </v>
      </c>
      <c r="AP118" s="154">
        <f>AP116-AP117-AP119</f>
        <v>0</v>
      </c>
      <c r="AQ118" s="154"/>
      <c r="AR118" s="16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</row>
    <row r="119" spans="1:81" ht="17.100000000000001" customHeight="1">
      <c r="A119" s="152"/>
      <c r="B119" s="199"/>
      <c r="C119" s="47" t="str">
        <f>IF(C117="","",C118-C122*$AM122-C123*$AM123-C124*$AM124-C125*$AM125-C126*$AM126-C127*$AM127-C128*$AM128-C129*$AM129)</f>
        <v/>
      </c>
      <c r="D119" s="47" t="str">
        <f t="shared" ref="D119" si="337">IF(D117="","",D118-D122*$AM122-D123*$AM123-D124*$AM124-D125*$AM125-D126*$AM126-D127*$AM127-D128*$AM128-D129*$AM129)</f>
        <v/>
      </c>
      <c r="E119" s="47" t="str">
        <f t="shared" ref="E119" si="338">IF(E117="","",E118-E122*$AM122-E123*$AM123-E124*$AM124-E125*$AM125-E126*$AM126-E127*$AM127-E128*$AM128-E129*$AM129)</f>
        <v/>
      </c>
      <c r="F119" s="47" t="str">
        <f t="shared" ref="F119" si="339">IF(F117="","",F118-F122*$AM122-F123*$AM123-F124*$AM124-F125*$AM125-F126*$AM126-F127*$AM127-F128*$AM128-F129*$AM129)</f>
        <v/>
      </c>
      <c r="G119" s="47" t="str">
        <f t="shared" ref="G119" si="340">IF(G117="","",G118-G122*$AM122-G123*$AM123-G124*$AM124-G125*$AM125-G126*$AM126-G127*$AM127-G128*$AM128-G129*$AM129)</f>
        <v/>
      </c>
      <c r="H119" s="47" t="str">
        <f t="shared" ref="H119" si="341">IF(H117="","",H118-H122*$AM122-H123*$AM123-H124*$AM124-H125*$AM125-H126*$AM126-H127*$AM127-H128*$AM128-H129*$AM129)</f>
        <v/>
      </c>
      <c r="I119" s="47" t="str">
        <f t="shared" ref="I119" si="342">IF(I117="","",I118-I122*$AM122-I123*$AM123-I124*$AM124-I125*$AM125-I126*$AM126-I127*$AM127-I128*$AM128-I129*$AM129)</f>
        <v/>
      </c>
      <c r="J119" s="47" t="str">
        <f t="shared" ref="J119" si="343">IF(J117="","",J118-J122*$AM122-J123*$AM123-J124*$AM124-J125*$AM125-J126*$AM126-J127*$AM127-J128*$AM128-J129*$AM129)</f>
        <v/>
      </c>
      <c r="K119" s="47" t="str">
        <f t="shared" ref="K119" si="344">IF(K117="","",K118-K122*$AM122-K123*$AM123-K124*$AM124-K125*$AM125-K126*$AM126-K127*$AM127-K128*$AM128-K129*$AM129)</f>
        <v/>
      </c>
      <c r="L119" s="47" t="str">
        <f t="shared" ref="L119" si="345">IF(L117="","",L118-L122*$AM122-L123*$AM123-L124*$AM124-L125*$AM125-L126*$AM126-L127*$AM127-L128*$AM128-L129*$AM129)</f>
        <v/>
      </c>
      <c r="M119" s="47" t="str">
        <f t="shared" ref="M119" si="346">IF(M117="","",M118-M122*$AM122-M123*$AM123-M124*$AM124-M125*$AM125-M126*$AM126-M127*$AM127-M128*$AM128-M129*$AM129)</f>
        <v/>
      </c>
      <c r="N119" s="47" t="str">
        <f t="shared" ref="N119" si="347">IF(N117="","",N118-N122*$AM122-N123*$AM123-N124*$AM124-N125*$AM125-N126*$AM126-N127*$AM127-N128*$AM128-N129*$AM129)</f>
        <v/>
      </c>
      <c r="O119" s="47" t="str">
        <f t="shared" ref="O119" si="348">IF(O117="","",O118-O122*$AM122-O123*$AM123-O124*$AM124-O125*$AM125-O126*$AM126-O127*$AM127-O128*$AM128-O129*$AM129)</f>
        <v/>
      </c>
      <c r="P119" s="47" t="str">
        <f t="shared" ref="P119" si="349">IF(P117="","",P118-P122*$AM122-P123*$AM123-P124*$AM124-P125*$AM125-P126*$AM126-P127*$AM127-P128*$AM128-P129*$AM129)</f>
        <v/>
      </c>
      <c r="Q119" s="47" t="str">
        <f t="shared" ref="Q119" si="350">IF(Q117="","",Q118-Q122*$AM122-Q123*$AM123-Q124*$AM124-Q125*$AM125-Q126*$AM126-Q127*$AM127-Q128*$AM128-Q129*$AM129)</f>
        <v/>
      </c>
      <c r="R119" s="47" t="str">
        <f t="shared" ref="R119" si="351">IF(R117="","",R118-R122*$AM122-R123*$AM123-R124*$AM124-R125*$AM125-R126*$AM126-R127*$AM127-R128*$AM128-R129*$AM129)</f>
        <v/>
      </c>
      <c r="S119" s="47" t="str">
        <f t="shared" ref="S119" si="352">IF(S117="","",S118-S122*$AM122-S123*$AM123-S124*$AM124-S125*$AM125-S126*$AM126-S127*$AM127-S128*$AM128-S129*$AM129)</f>
        <v/>
      </c>
      <c r="T119" s="47" t="str">
        <f t="shared" ref="T119" si="353">IF(T117="","",T118-T122*$AM122-T123*$AM123-T124*$AM124-T125*$AM125-T126*$AM126-T127*$AM127-T128*$AM128-T129*$AM129)</f>
        <v/>
      </c>
      <c r="U119" s="47" t="str">
        <f t="shared" ref="U119" si="354">IF(U117="","",U118-U122*$AM122-U123*$AM123-U124*$AM124-U125*$AM125-U126*$AM126-U127*$AM127-U128*$AM128-U129*$AM129)</f>
        <v/>
      </c>
      <c r="V119" s="47" t="str">
        <f t="shared" ref="V119" si="355">IF(V117="","",V118-V122*$AM122-V123*$AM123-V124*$AM124-V125*$AM125-V126*$AM126-V127*$AM127-V128*$AM128-V129*$AM129)</f>
        <v/>
      </c>
      <c r="W119" s="47" t="str">
        <f t="shared" ref="W119" si="356">IF(W117="","",W118-W122*$AM122-W123*$AM123-W124*$AM124-W125*$AM125-W126*$AM126-W127*$AM127-W128*$AM128-W129*$AM129)</f>
        <v/>
      </c>
      <c r="X119" s="47" t="str">
        <f t="shared" ref="X119" si="357">IF(X117="","",X118-X122*$AM122-X123*$AM123-X124*$AM124-X125*$AM125-X126*$AM126-X127*$AM127-X128*$AM128-X129*$AM129)</f>
        <v/>
      </c>
      <c r="Y119" s="47" t="str">
        <f t="shared" ref="Y119" si="358">IF(Y117="","",Y118-Y122*$AM122-Y123*$AM123-Y124*$AM124-Y125*$AM125-Y126*$AM126-Y127*$AM127-Y128*$AM128-Y129*$AM129)</f>
        <v/>
      </c>
      <c r="Z119" s="47" t="str">
        <f t="shared" ref="Z119" si="359">IF(Z117="","",Z118-Z122*$AM122-Z123*$AM123-Z124*$AM124-Z125*$AM125-Z126*$AM126-Z127*$AM127-Z128*$AM128-Z129*$AM129)</f>
        <v/>
      </c>
      <c r="AA119" s="47" t="str">
        <f t="shared" ref="AA119" si="360">IF(AA117="","",AA118-AA122*$AM122-AA123*$AM123-AA124*$AM124-AA125*$AM125-AA126*$AM126-AA127*$AM127-AA128*$AM128-AA129*$AM129)</f>
        <v/>
      </c>
      <c r="AB119" s="47" t="str">
        <f t="shared" ref="AB119" si="361">IF(AB117="","",AB118-AB122*$AM122-AB123*$AM123-AB124*$AM124-AB125*$AM125-AB126*$AM126-AB127*$AM127-AB128*$AM128-AB129*$AM129)</f>
        <v/>
      </c>
      <c r="AC119" s="47" t="str">
        <f t="shared" ref="AC119" si="362">IF(AC117="","",AC118-AC122*$AM122-AC123*$AM123-AC124*$AM124-AC125*$AM125-AC126*$AM126-AC127*$AM127-AC128*$AM128-AC129*$AM129)</f>
        <v/>
      </c>
      <c r="AD119" s="47" t="str">
        <f t="shared" ref="AD119" si="363">IF(AD117="","",AD118-AD122*$AM122-AD123*$AM123-AD124*$AM124-AD125*$AM125-AD126*$AM126-AD127*$AM127-AD128*$AM128-AD129*$AM129)</f>
        <v/>
      </c>
      <c r="AE119" s="47" t="str">
        <f t="shared" ref="AE119" si="364">IF(AE117="","",AE118-AE122*$AM122-AE123*$AM123-AE124*$AM124-AE125*$AM125-AE126*$AM126-AE127*$AM127-AE128*$AM128-AE129*$AM129)</f>
        <v/>
      </c>
      <c r="AF119" s="47" t="str">
        <f t="shared" ref="AF119" si="365">IF(AF117="","",AF118-AF122*$AM122-AF123*$AM123-AF124*$AM124-AF125*$AM125-AF126*$AM126-AF127*$AM127-AF128*$AM128-AF129*$AM129)</f>
        <v/>
      </c>
      <c r="AG119" s="47" t="str">
        <f t="shared" ref="AG119" si="366">IF(AG117="","",AG118-AG122*$AM122-AG123*$AM123-AG124*$AM124-AG125*$AM125-AG126*$AM126-AG127*$AM127-AG128*$AM128-AG129*$AM129)</f>
        <v/>
      </c>
      <c r="AH119" s="47" t="str">
        <f t="shared" ref="AH119" si="367">IF(AH117="","",AH118-AH122*$AM122-AH123*$AM123-AH124*$AM124-AH125*$AM125-AH126*$AM126-AH127*$AM127-AH128*$AM128-AH129*$AM129)</f>
        <v/>
      </c>
      <c r="AI119" s="47" t="str">
        <f t="shared" ref="AI119" si="368">IF(AI117="","",AI118-AI122*$AM122-AI123*$AM123-AI124*$AM124-AI125*$AM125-AI126*$AM126-AI127*$AM127-AI128*$AM128-AI129*$AM129)</f>
        <v/>
      </c>
      <c r="AJ119" s="47" t="str">
        <f t="shared" ref="AJ119" si="369">IF(AJ117="","",AJ118-AJ122*$AM122-AJ123*$AM123-AJ124*$AM124-AJ125*$AM125-AJ126*$AM126-AJ127*$AM127-AJ128*$AM128-AJ129*$AM129)</f>
        <v/>
      </c>
      <c r="AK119" s="47" t="str">
        <f>IF(AK117="","",AK118-AK122*$AM122-AK123*$AM123-AK124*$AM124-AK125*$AM125-AK126*$AM126-AK127*$AM127-AK128*$AM128-AK129*$AM129)</f>
        <v/>
      </c>
      <c r="AL119" s="47" t="str">
        <f t="shared" ref="AL119" si="370">IF(AL117="","",AL118-AL122*$AM122-AL123*$AM123-AL124*$AM124-AL125*$AM125-AL126*$AM126-AL127*$AM127-AL128*$AM128-AL129*$AM129)</f>
        <v/>
      </c>
      <c r="AM119" s="45">
        <f>SUM(C119:AL119)</f>
        <v>0</v>
      </c>
      <c r="AN119" s="155" t="s">
        <v>33</v>
      </c>
      <c r="AO119" s="156"/>
      <c r="AP119" s="157"/>
      <c r="AQ119" s="158"/>
      <c r="AR119" s="17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</row>
    <row r="120" spans="1:81" ht="17.100000000000001" customHeight="1">
      <c r="A120" s="177" t="s">
        <v>20</v>
      </c>
      <c r="B120" s="178"/>
      <c r="C120" s="181" t="s">
        <v>0</v>
      </c>
      <c r="D120" s="182"/>
      <c r="E120" s="182"/>
      <c r="F120" s="182"/>
      <c r="G120" s="182"/>
      <c r="H120" s="182"/>
      <c r="I120" s="182"/>
      <c r="J120" s="182"/>
      <c r="K120" s="182"/>
      <c r="L120" s="182"/>
      <c r="M120" s="182"/>
      <c r="N120" s="182"/>
      <c r="O120" s="182"/>
      <c r="P120" s="182"/>
      <c r="Q120" s="182"/>
      <c r="R120" s="182"/>
      <c r="S120" s="182"/>
      <c r="T120" s="182"/>
      <c r="U120" s="182"/>
      <c r="V120" s="182"/>
      <c r="W120" s="182"/>
      <c r="X120" s="182"/>
      <c r="Y120" s="182"/>
      <c r="Z120" s="182"/>
      <c r="AA120" s="182"/>
      <c r="AB120" s="182"/>
      <c r="AC120" s="182"/>
      <c r="AD120" s="182"/>
      <c r="AE120" s="182"/>
      <c r="AF120" s="182"/>
      <c r="AG120" s="182"/>
      <c r="AH120" s="182"/>
      <c r="AI120" s="182"/>
      <c r="AJ120" s="182"/>
      <c r="AK120" s="182"/>
      <c r="AL120" s="183"/>
      <c r="AM120" s="187" t="s">
        <v>1</v>
      </c>
      <c r="AN120" s="200" t="s">
        <v>11</v>
      </c>
      <c r="AO120" s="196" t="s">
        <v>12</v>
      </c>
      <c r="AP120" s="197"/>
      <c r="AQ120" s="193" t="s">
        <v>6</v>
      </c>
      <c r="AR120" s="24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</row>
    <row r="121" spans="1:81" ht="17.100000000000001" customHeight="1">
      <c r="A121" s="179"/>
      <c r="B121" s="180"/>
      <c r="C121" s="184"/>
      <c r="D121" s="185"/>
      <c r="E121" s="185"/>
      <c r="F121" s="185"/>
      <c r="G121" s="185"/>
      <c r="H121" s="185"/>
      <c r="I121" s="185"/>
      <c r="J121" s="185"/>
      <c r="K121" s="185"/>
      <c r="L121" s="185"/>
      <c r="M121" s="185"/>
      <c r="N121" s="185"/>
      <c r="O121" s="185"/>
      <c r="P121" s="185"/>
      <c r="Q121" s="185"/>
      <c r="R121" s="185"/>
      <c r="S121" s="185"/>
      <c r="T121" s="185"/>
      <c r="U121" s="185"/>
      <c r="V121" s="185"/>
      <c r="W121" s="185"/>
      <c r="X121" s="185"/>
      <c r="Y121" s="185"/>
      <c r="Z121" s="185"/>
      <c r="AA121" s="185"/>
      <c r="AB121" s="185"/>
      <c r="AC121" s="185"/>
      <c r="AD121" s="185"/>
      <c r="AE121" s="185"/>
      <c r="AF121" s="185"/>
      <c r="AG121" s="185"/>
      <c r="AH121" s="185"/>
      <c r="AI121" s="185"/>
      <c r="AJ121" s="185"/>
      <c r="AK121" s="185"/>
      <c r="AL121" s="186"/>
      <c r="AM121" s="188"/>
      <c r="AN121" s="190"/>
      <c r="AO121" s="18" t="s">
        <v>3</v>
      </c>
      <c r="AP121" s="19" t="s">
        <v>13</v>
      </c>
      <c r="AQ121" s="172"/>
      <c r="AR121" s="27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</row>
    <row r="122" spans="1:81" ht="17.100000000000001" customHeight="1">
      <c r="A122" s="173"/>
      <c r="B122" s="30" t="s">
        <v>21</v>
      </c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  <c r="AK122" s="39"/>
      <c r="AL122" s="39"/>
      <c r="AM122" s="39"/>
      <c r="AN122" s="40" t="str">
        <f>IF(AM122="","",SUM(C122:AL122)*AM122)</f>
        <v/>
      </c>
      <c r="AO122" s="39"/>
      <c r="AP122" s="39"/>
      <c r="AQ122" s="42">
        <f>(AO122+AR122)*AM122</f>
        <v>0</v>
      </c>
      <c r="AR122" s="25">
        <f>AP122/36</f>
        <v>0</v>
      </c>
      <c r="AT122" s="3" t="str">
        <f t="shared" ref="AT122:CA122" si="371">IF(C122=0,"",ROUNDUP(C119/C122,0))</f>
        <v/>
      </c>
      <c r="AU122" s="3" t="str">
        <f t="shared" si="371"/>
        <v/>
      </c>
      <c r="AV122" s="3" t="str">
        <f t="shared" si="371"/>
        <v/>
      </c>
      <c r="AW122" s="3" t="str">
        <f t="shared" si="371"/>
        <v/>
      </c>
      <c r="AX122" s="3" t="str">
        <f t="shared" si="371"/>
        <v/>
      </c>
      <c r="AY122" s="3" t="str">
        <f t="shared" si="371"/>
        <v/>
      </c>
      <c r="AZ122" s="3" t="str">
        <f t="shared" si="371"/>
        <v/>
      </c>
      <c r="BA122" s="3" t="str">
        <f t="shared" si="371"/>
        <v/>
      </c>
      <c r="BB122" s="3" t="str">
        <f t="shared" si="371"/>
        <v/>
      </c>
      <c r="BC122" s="3" t="str">
        <f t="shared" si="371"/>
        <v/>
      </c>
      <c r="BD122" s="3" t="str">
        <f t="shared" si="371"/>
        <v/>
      </c>
      <c r="BE122" s="3" t="str">
        <f t="shared" si="371"/>
        <v/>
      </c>
      <c r="BF122" s="3" t="str">
        <f t="shared" si="371"/>
        <v/>
      </c>
      <c r="BG122" s="3" t="str">
        <f t="shared" si="371"/>
        <v/>
      </c>
      <c r="BH122" s="3" t="str">
        <f t="shared" si="371"/>
        <v/>
      </c>
      <c r="BI122" s="3" t="str">
        <f t="shared" si="371"/>
        <v/>
      </c>
      <c r="BJ122" s="3" t="str">
        <f t="shared" si="371"/>
        <v/>
      </c>
      <c r="BK122" s="3" t="str">
        <f t="shared" si="371"/>
        <v/>
      </c>
      <c r="BL122" s="3" t="str">
        <f t="shared" si="371"/>
        <v/>
      </c>
      <c r="BM122" s="3" t="str">
        <f t="shared" si="371"/>
        <v/>
      </c>
      <c r="BN122" s="3" t="str">
        <f t="shared" si="371"/>
        <v/>
      </c>
      <c r="BO122" s="3" t="str">
        <f t="shared" si="371"/>
        <v/>
      </c>
      <c r="BP122" s="3" t="str">
        <f t="shared" si="371"/>
        <v/>
      </c>
      <c r="BQ122" s="3" t="str">
        <f t="shared" si="371"/>
        <v/>
      </c>
      <c r="BR122" s="3" t="str">
        <f t="shared" si="371"/>
        <v/>
      </c>
      <c r="BS122" s="3" t="str">
        <f t="shared" si="371"/>
        <v/>
      </c>
      <c r="BT122" s="3" t="str">
        <f t="shared" si="371"/>
        <v/>
      </c>
      <c r="BU122" s="3" t="str">
        <f t="shared" si="371"/>
        <v/>
      </c>
      <c r="BV122" s="3" t="str">
        <f t="shared" si="371"/>
        <v/>
      </c>
      <c r="BW122" s="3" t="str">
        <f t="shared" si="371"/>
        <v/>
      </c>
      <c r="BX122" s="3" t="str">
        <f t="shared" si="371"/>
        <v/>
      </c>
      <c r="BY122" s="3" t="str">
        <f t="shared" si="371"/>
        <v/>
      </c>
      <c r="BZ122" s="3" t="str">
        <f t="shared" si="371"/>
        <v/>
      </c>
      <c r="CA122" s="3" t="str">
        <f t="shared" si="371"/>
        <v/>
      </c>
      <c r="CB122" s="3" t="str">
        <f t="shared" ref="CB122" si="372">IF(AK122=0,"",ROUNDUP(AK119/AK122,0))</f>
        <v/>
      </c>
      <c r="CC122" s="3" t="str">
        <f t="shared" ref="CC122" si="373">IF(AL122=0,"",ROUNDUP(AL119/AL122,0))</f>
        <v/>
      </c>
    </row>
    <row r="123" spans="1:81" ht="17.100000000000001" customHeight="1">
      <c r="A123" s="174"/>
      <c r="B123" s="30" t="s">
        <v>22</v>
      </c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  <c r="AK123" s="39"/>
      <c r="AL123" s="39"/>
      <c r="AM123" s="39"/>
      <c r="AN123" s="40" t="str">
        <f t="shared" ref="AN123:AN129" si="374">IF(AM123="","",SUM(C123:AL123)*AM123)</f>
        <v/>
      </c>
      <c r="AO123" s="39"/>
      <c r="AP123" s="39"/>
      <c r="AQ123" s="42">
        <f t="shared" ref="AQ123:AQ129" si="375">(AO123+AR123)*AM123</f>
        <v>0</v>
      </c>
      <c r="AR123" s="25">
        <f t="shared" ref="AR123:AR129" si="376">AP123/36</f>
        <v>0</v>
      </c>
      <c r="AT123" s="3" t="str">
        <f t="shared" ref="AT123:CA123" si="377">IF(C123=0,"",ROUNDUP(C119/C123,0))</f>
        <v/>
      </c>
      <c r="AU123" s="3" t="str">
        <f t="shared" si="377"/>
        <v/>
      </c>
      <c r="AV123" s="3" t="str">
        <f t="shared" si="377"/>
        <v/>
      </c>
      <c r="AW123" s="3" t="str">
        <f t="shared" si="377"/>
        <v/>
      </c>
      <c r="AX123" s="3" t="str">
        <f t="shared" si="377"/>
        <v/>
      </c>
      <c r="AY123" s="3" t="str">
        <f t="shared" si="377"/>
        <v/>
      </c>
      <c r="AZ123" s="3" t="str">
        <f t="shared" si="377"/>
        <v/>
      </c>
      <c r="BA123" s="3" t="str">
        <f t="shared" si="377"/>
        <v/>
      </c>
      <c r="BB123" s="3" t="str">
        <f t="shared" si="377"/>
        <v/>
      </c>
      <c r="BC123" s="3" t="str">
        <f t="shared" si="377"/>
        <v/>
      </c>
      <c r="BD123" s="3" t="str">
        <f t="shared" si="377"/>
        <v/>
      </c>
      <c r="BE123" s="3" t="str">
        <f t="shared" si="377"/>
        <v/>
      </c>
      <c r="BF123" s="3" t="str">
        <f t="shared" si="377"/>
        <v/>
      </c>
      <c r="BG123" s="3" t="str">
        <f t="shared" si="377"/>
        <v/>
      </c>
      <c r="BH123" s="3" t="str">
        <f t="shared" si="377"/>
        <v/>
      </c>
      <c r="BI123" s="3" t="str">
        <f t="shared" si="377"/>
        <v/>
      </c>
      <c r="BJ123" s="3" t="str">
        <f t="shared" si="377"/>
        <v/>
      </c>
      <c r="BK123" s="3" t="str">
        <f t="shared" si="377"/>
        <v/>
      </c>
      <c r="BL123" s="3" t="str">
        <f t="shared" si="377"/>
        <v/>
      </c>
      <c r="BM123" s="3" t="str">
        <f t="shared" si="377"/>
        <v/>
      </c>
      <c r="BN123" s="3" t="str">
        <f t="shared" si="377"/>
        <v/>
      </c>
      <c r="BO123" s="3" t="str">
        <f t="shared" si="377"/>
        <v/>
      </c>
      <c r="BP123" s="3" t="str">
        <f t="shared" si="377"/>
        <v/>
      </c>
      <c r="BQ123" s="3" t="str">
        <f t="shared" si="377"/>
        <v/>
      </c>
      <c r="BR123" s="3" t="str">
        <f t="shared" si="377"/>
        <v/>
      </c>
      <c r="BS123" s="3" t="str">
        <f t="shared" si="377"/>
        <v/>
      </c>
      <c r="BT123" s="3" t="str">
        <f t="shared" si="377"/>
        <v/>
      </c>
      <c r="BU123" s="3" t="str">
        <f t="shared" si="377"/>
        <v/>
      </c>
      <c r="BV123" s="3" t="str">
        <f t="shared" si="377"/>
        <v/>
      </c>
      <c r="BW123" s="3" t="str">
        <f t="shared" si="377"/>
        <v/>
      </c>
      <c r="BX123" s="3" t="str">
        <f t="shared" si="377"/>
        <v/>
      </c>
      <c r="BY123" s="3" t="str">
        <f t="shared" si="377"/>
        <v/>
      </c>
      <c r="BZ123" s="3" t="str">
        <f t="shared" si="377"/>
        <v/>
      </c>
      <c r="CA123" s="3" t="str">
        <f t="shared" si="377"/>
        <v/>
      </c>
      <c r="CB123" s="3" t="str">
        <f t="shared" ref="CB123" si="378">IF(AK123=0,"",ROUNDUP(AK119/AK123,0))</f>
        <v/>
      </c>
      <c r="CC123" s="3" t="str">
        <f t="shared" ref="CC123" si="379">IF(AL123=0,"",ROUNDUP(AL119/AL123,0))</f>
        <v/>
      </c>
    </row>
    <row r="124" spans="1:81" ht="17.100000000000001" customHeight="1">
      <c r="A124" s="174"/>
      <c r="B124" s="30" t="s">
        <v>23</v>
      </c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  <c r="AK124" s="39"/>
      <c r="AL124" s="39"/>
      <c r="AM124" s="39"/>
      <c r="AN124" s="40" t="str">
        <f t="shared" si="374"/>
        <v/>
      </c>
      <c r="AO124" s="39"/>
      <c r="AP124" s="39"/>
      <c r="AQ124" s="42">
        <f t="shared" si="375"/>
        <v>0</v>
      </c>
      <c r="AR124" s="25">
        <f t="shared" si="376"/>
        <v>0</v>
      </c>
      <c r="AT124" s="3" t="str">
        <f t="shared" ref="AT124:CA124" si="380">IF(C124=0,"",ROUNDUP(C119/C124,0))</f>
        <v/>
      </c>
      <c r="AU124" s="3" t="str">
        <f t="shared" si="380"/>
        <v/>
      </c>
      <c r="AV124" s="3" t="str">
        <f t="shared" si="380"/>
        <v/>
      </c>
      <c r="AW124" s="3" t="str">
        <f t="shared" si="380"/>
        <v/>
      </c>
      <c r="AX124" s="3" t="str">
        <f t="shared" si="380"/>
        <v/>
      </c>
      <c r="AY124" s="3" t="str">
        <f t="shared" si="380"/>
        <v/>
      </c>
      <c r="AZ124" s="3" t="str">
        <f t="shared" si="380"/>
        <v/>
      </c>
      <c r="BA124" s="3" t="str">
        <f t="shared" si="380"/>
        <v/>
      </c>
      <c r="BB124" s="3" t="str">
        <f t="shared" si="380"/>
        <v/>
      </c>
      <c r="BC124" s="3" t="str">
        <f t="shared" si="380"/>
        <v/>
      </c>
      <c r="BD124" s="3" t="str">
        <f t="shared" si="380"/>
        <v/>
      </c>
      <c r="BE124" s="3" t="str">
        <f t="shared" si="380"/>
        <v/>
      </c>
      <c r="BF124" s="3" t="str">
        <f t="shared" si="380"/>
        <v/>
      </c>
      <c r="BG124" s="3" t="str">
        <f t="shared" si="380"/>
        <v/>
      </c>
      <c r="BH124" s="3" t="str">
        <f t="shared" si="380"/>
        <v/>
      </c>
      <c r="BI124" s="3" t="str">
        <f t="shared" si="380"/>
        <v/>
      </c>
      <c r="BJ124" s="3" t="str">
        <f t="shared" si="380"/>
        <v/>
      </c>
      <c r="BK124" s="3" t="str">
        <f t="shared" si="380"/>
        <v/>
      </c>
      <c r="BL124" s="3" t="str">
        <f t="shared" si="380"/>
        <v/>
      </c>
      <c r="BM124" s="3" t="str">
        <f t="shared" si="380"/>
        <v/>
      </c>
      <c r="BN124" s="3" t="str">
        <f t="shared" si="380"/>
        <v/>
      </c>
      <c r="BO124" s="3" t="str">
        <f t="shared" si="380"/>
        <v/>
      </c>
      <c r="BP124" s="3" t="str">
        <f t="shared" si="380"/>
        <v/>
      </c>
      <c r="BQ124" s="3" t="str">
        <f t="shared" si="380"/>
        <v/>
      </c>
      <c r="BR124" s="3" t="str">
        <f t="shared" si="380"/>
        <v/>
      </c>
      <c r="BS124" s="3" t="str">
        <f t="shared" si="380"/>
        <v/>
      </c>
      <c r="BT124" s="3" t="str">
        <f t="shared" si="380"/>
        <v/>
      </c>
      <c r="BU124" s="3" t="str">
        <f t="shared" si="380"/>
        <v/>
      </c>
      <c r="BV124" s="3" t="str">
        <f t="shared" si="380"/>
        <v/>
      </c>
      <c r="BW124" s="3" t="str">
        <f t="shared" si="380"/>
        <v/>
      </c>
      <c r="BX124" s="3" t="str">
        <f t="shared" si="380"/>
        <v/>
      </c>
      <c r="BY124" s="3" t="str">
        <f t="shared" si="380"/>
        <v/>
      </c>
      <c r="BZ124" s="3" t="str">
        <f t="shared" si="380"/>
        <v/>
      </c>
      <c r="CA124" s="3" t="str">
        <f t="shared" si="380"/>
        <v/>
      </c>
      <c r="CB124" s="3" t="str">
        <f t="shared" ref="CB124" si="381">IF(AK124=0,"",ROUNDUP(AK119/AK124,0))</f>
        <v/>
      </c>
      <c r="CC124" s="3" t="str">
        <f t="shared" ref="CC124" si="382">IF(AL124=0,"",ROUNDUP(AL119/AL124,0))</f>
        <v/>
      </c>
    </row>
    <row r="125" spans="1:81" ht="17.100000000000001" customHeight="1">
      <c r="A125" s="174"/>
      <c r="B125" s="30" t="s">
        <v>24</v>
      </c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  <c r="AK125" s="39"/>
      <c r="AL125" s="39"/>
      <c r="AM125" s="39"/>
      <c r="AN125" s="40" t="str">
        <f t="shared" si="374"/>
        <v/>
      </c>
      <c r="AO125" s="39"/>
      <c r="AP125" s="39"/>
      <c r="AQ125" s="42">
        <f t="shared" si="375"/>
        <v>0</v>
      </c>
      <c r="AR125" s="25">
        <f t="shared" si="376"/>
        <v>0</v>
      </c>
      <c r="AT125" s="3" t="str">
        <f t="shared" ref="AT125:CA125" si="383">IF(C125=0,"",ROUNDUP(C119/C125,0))</f>
        <v/>
      </c>
      <c r="AU125" s="3" t="str">
        <f t="shared" si="383"/>
        <v/>
      </c>
      <c r="AV125" s="3" t="str">
        <f t="shared" si="383"/>
        <v/>
      </c>
      <c r="AW125" s="3" t="str">
        <f t="shared" si="383"/>
        <v/>
      </c>
      <c r="AX125" s="3" t="str">
        <f t="shared" si="383"/>
        <v/>
      </c>
      <c r="AY125" s="3" t="str">
        <f t="shared" si="383"/>
        <v/>
      </c>
      <c r="AZ125" s="3" t="str">
        <f t="shared" si="383"/>
        <v/>
      </c>
      <c r="BA125" s="3" t="str">
        <f t="shared" si="383"/>
        <v/>
      </c>
      <c r="BB125" s="3" t="str">
        <f t="shared" si="383"/>
        <v/>
      </c>
      <c r="BC125" s="3" t="str">
        <f t="shared" si="383"/>
        <v/>
      </c>
      <c r="BD125" s="3" t="str">
        <f t="shared" si="383"/>
        <v/>
      </c>
      <c r="BE125" s="3" t="str">
        <f t="shared" si="383"/>
        <v/>
      </c>
      <c r="BF125" s="3" t="str">
        <f t="shared" si="383"/>
        <v/>
      </c>
      <c r="BG125" s="3" t="str">
        <f t="shared" si="383"/>
        <v/>
      </c>
      <c r="BH125" s="3" t="str">
        <f t="shared" si="383"/>
        <v/>
      </c>
      <c r="BI125" s="3" t="str">
        <f t="shared" si="383"/>
        <v/>
      </c>
      <c r="BJ125" s="3" t="str">
        <f t="shared" si="383"/>
        <v/>
      </c>
      <c r="BK125" s="3" t="str">
        <f t="shared" si="383"/>
        <v/>
      </c>
      <c r="BL125" s="3" t="str">
        <f t="shared" si="383"/>
        <v/>
      </c>
      <c r="BM125" s="3" t="str">
        <f t="shared" si="383"/>
        <v/>
      </c>
      <c r="BN125" s="3" t="str">
        <f t="shared" si="383"/>
        <v/>
      </c>
      <c r="BO125" s="3" t="str">
        <f t="shared" si="383"/>
        <v/>
      </c>
      <c r="BP125" s="3" t="str">
        <f t="shared" si="383"/>
        <v/>
      </c>
      <c r="BQ125" s="3" t="str">
        <f t="shared" si="383"/>
        <v/>
      </c>
      <c r="BR125" s="3" t="str">
        <f t="shared" si="383"/>
        <v/>
      </c>
      <c r="BS125" s="3" t="str">
        <f t="shared" si="383"/>
        <v/>
      </c>
      <c r="BT125" s="3" t="str">
        <f t="shared" si="383"/>
        <v/>
      </c>
      <c r="BU125" s="3" t="str">
        <f t="shared" si="383"/>
        <v/>
      </c>
      <c r="BV125" s="3" t="str">
        <f t="shared" si="383"/>
        <v/>
      </c>
      <c r="BW125" s="3" t="str">
        <f t="shared" si="383"/>
        <v/>
      </c>
      <c r="BX125" s="3" t="str">
        <f t="shared" si="383"/>
        <v/>
      </c>
      <c r="BY125" s="3" t="str">
        <f t="shared" si="383"/>
        <v/>
      </c>
      <c r="BZ125" s="3" t="str">
        <f t="shared" si="383"/>
        <v/>
      </c>
      <c r="CA125" s="3" t="str">
        <f t="shared" si="383"/>
        <v/>
      </c>
      <c r="CB125" s="3" t="str">
        <f t="shared" ref="CB125" si="384">IF(AK125=0,"",ROUNDUP(AK119/AK125,0))</f>
        <v/>
      </c>
      <c r="CC125" s="3" t="str">
        <f t="shared" ref="CC125" si="385">IF(AL125=0,"",ROUNDUP(AL119/AL125,0))</f>
        <v/>
      </c>
    </row>
    <row r="126" spans="1:81" ht="17.100000000000001" customHeight="1">
      <c r="A126" s="174"/>
      <c r="B126" s="30" t="s">
        <v>25</v>
      </c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  <c r="AK126" s="39"/>
      <c r="AL126" s="39"/>
      <c r="AM126" s="39"/>
      <c r="AN126" s="40" t="str">
        <f t="shared" si="374"/>
        <v/>
      </c>
      <c r="AO126" s="39"/>
      <c r="AP126" s="39"/>
      <c r="AQ126" s="42">
        <f t="shared" si="375"/>
        <v>0</v>
      </c>
      <c r="AR126" s="25">
        <f t="shared" si="376"/>
        <v>0</v>
      </c>
      <c r="AT126" s="3" t="str">
        <f t="shared" ref="AT126:CA126" si="386">IF(C126=0,"",ROUNDUP(C119/C126,0))</f>
        <v/>
      </c>
      <c r="AU126" s="3" t="str">
        <f t="shared" si="386"/>
        <v/>
      </c>
      <c r="AV126" s="3" t="str">
        <f t="shared" si="386"/>
        <v/>
      </c>
      <c r="AW126" s="3" t="str">
        <f t="shared" si="386"/>
        <v/>
      </c>
      <c r="AX126" s="3" t="str">
        <f t="shared" si="386"/>
        <v/>
      </c>
      <c r="AY126" s="3" t="str">
        <f t="shared" si="386"/>
        <v/>
      </c>
      <c r="AZ126" s="3" t="str">
        <f t="shared" si="386"/>
        <v/>
      </c>
      <c r="BA126" s="3" t="str">
        <f t="shared" si="386"/>
        <v/>
      </c>
      <c r="BB126" s="3" t="str">
        <f t="shared" si="386"/>
        <v/>
      </c>
      <c r="BC126" s="3" t="str">
        <f t="shared" si="386"/>
        <v/>
      </c>
      <c r="BD126" s="3" t="str">
        <f t="shared" si="386"/>
        <v/>
      </c>
      <c r="BE126" s="3" t="str">
        <f t="shared" si="386"/>
        <v/>
      </c>
      <c r="BF126" s="3" t="str">
        <f t="shared" si="386"/>
        <v/>
      </c>
      <c r="BG126" s="3" t="str">
        <f t="shared" si="386"/>
        <v/>
      </c>
      <c r="BH126" s="3" t="str">
        <f t="shared" si="386"/>
        <v/>
      </c>
      <c r="BI126" s="3" t="str">
        <f t="shared" si="386"/>
        <v/>
      </c>
      <c r="BJ126" s="3" t="str">
        <f t="shared" si="386"/>
        <v/>
      </c>
      <c r="BK126" s="3" t="str">
        <f t="shared" si="386"/>
        <v/>
      </c>
      <c r="BL126" s="3" t="str">
        <f t="shared" si="386"/>
        <v/>
      </c>
      <c r="BM126" s="3" t="str">
        <f t="shared" si="386"/>
        <v/>
      </c>
      <c r="BN126" s="3" t="str">
        <f t="shared" si="386"/>
        <v/>
      </c>
      <c r="BO126" s="3" t="str">
        <f t="shared" si="386"/>
        <v/>
      </c>
      <c r="BP126" s="3" t="str">
        <f t="shared" si="386"/>
        <v/>
      </c>
      <c r="BQ126" s="3" t="str">
        <f t="shared" si="386"/>
        <v/>
      </c>
      <c r="BR126" s="3" t="str">
        <f t="shared" si="386"/>
        <v/>
      </c>
      <c r="BS126" s="3" t="str">
        <f t="shared" si="386"/>
        <v/>
      </c>
      <c r="BT126" s="3" t="str">
        <f t="shared" si="386"/>
        <v/>
      </c>
      <c r="BU126" s="3" t="str">
        <f t="shared" si="386"/>
        <v/>
      </c>
      <c r="BV126" s="3" t="str">
        <f t="shared" si="386"/>
        <v/>
      </c>
      <c r="BW126" s="3" t="str">
        <f t="shared" si="386"/>
        <v/>
      </c>
      <c r="BX126" s="3" t="str">
        <f t="shared" si="386"/>
        <v/>
      </c>
      <c r="BY126" s="3" t="str">
        <f t="shared" si="386"/>
        <v/>
      </c>
      <c r="BZ126" s="3" t="str">
        <f t="shared" si="386"/>
        <v/>
      </c>
      <c r="CA126" s="3" t="str">
        <f t="shared" si="386"/>
        <v/>
      </c>
      <c r="CB126" s="3" t="str">
        <f t="shared" ref="CB126" si="387">IF(AK126=0,"",ROUNDUP(AK119/AK126,0))</f>
        <v/>
      </c>
      <c r="CC126" s="3" t="str">
        <f t="shared" ref="CC126" si="388">IF(AL126=0,"",ROUNDUP(AL119/AL126,0))</f>
        <v/>
      </c>
    </row>
    <row r="127" spans="1:81" ht="17.100000000000001" customHeight="1">
      <c r="A127" s="174"/>
      <c r="B127" s="30" t="s">
        <v>26</v>
      </c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  <c r="AK127" s="39"/>
      <c r="AL127" s="39"/>
      <c r="AM127" s="39"/>
      <c r="AN127" s="40" t="str">
        <f>IF(AM127="","",SUM(C127:AL127)*AM127)</f>
        <v/>
      </c>
      <c r="AO127" s="39"/>
      <c r="AP127" s="39"/>
      <c r="AQ127" s="42">
        <f t="shared" si="375"/>
        <v>0</v>
      </c>
      <c r="AR127" s="25">
        <f t="shared" si="376"/>
        <v>0</v>
      </c>
      <c r="AT127" s="3" t="str">
        <f t="shared" ref="AT127:CA127" si="389">IF(C127=0,"",ROUNDUP(C119/C127,0))</f>
        <v/>
      </c>
      <c r="AU127" s="3" t="str">
        <f t="shared" si="389"/>
        <v/>
      </c>
      <c r="AV127" s="3" t="str">
        <f t="shared" si="389"/>
        <v/>
      </c>
      <c r="AW127" s="3" t="str">
        <f t="shared" si="389"/>
        <v/>
      </c>
      <c r="AX127" s="3" t="str">
        <f t="shared" si="389"/>
        <v/>
      </c>
      <c r="AY127" s="3" t="str">
        <f t="shared" si="389"/>
        <v/>
      </c>
      <c r="AZ127" s="3" t="str">
        <f t="shared" si="389"/>
        <v/>
      </c>
      <c r="BA127" s="3" t="str">
        <f t="shared" si="389"/>
        <v/>
      </c>
      <c r="BB127" s="3" t="str">
        <f t="shared" si="389"/>
        <v/>
      </c>
      <c r="BC127" s="3" t="str">
        <f t="shared" si="389"/>
        <v/>
      </c>
      <c r="BD127" s="3" t="str">
        <f t="shared" si="389"/>
        <v/>
      </c>
      <c r="BE127" s="3" t="str">
        <f t="shared" si="389"/>
        <v/>
      </c>
      <c r="BF127" s="3" t="str">
        <f t="shared" si="389"/>
        <v/>
      </c>
      <c r="BG127" s="3" t="str">
        <f t="shared" si="389"/>
        <v/>
      </c>
      <c r="BH127" s="3" t="str">
        <f t="shared" si="389"/>
        <v/>
      </c>
      <c r="BI127" s="3" t="str">
        <f t="shared" si="389"/>
        <v/>
      </c>
      <c r="BJ127" s="3" t="str">
        <f t="shared" si="389"/>
        <v/>
      </c>
      <c r="BK127" s="3" t="str">
        <f t="shared" si="389"/>
        <v/>
      </c>
      <c r="BL127" s="3" t="str">
        <f t="shared" si="389"/>
        <v/>
      </c>
      <c r="BM127" s="3" t="str">
        <f t="shared" si="389"/>
        <v/>
      </c>
      <c r="BN127" s="3" t="str">
        <f t="shared" si="389"/>
        <v/>
      </c>
      <c r="BO127" s="3" t="str">
        <f t="shared" si="389"/>
        <v/>
      </c>
      <c r="BP127" s="3" t="str">
        <f t="shared" si="389"/>
        <v/>
      </c>
      <c r="BQ127" s="3" t="str">
        <f t="shared" si="389"/>
        <v/>
      </c>
      <c r="BR127" s="3" t="str">
        <f t="shared" si="389"/>
        <v/>
      </c>
      <c r="BS127" s="3" t="str">
        <f t="shared" si="389"/>
        <v/>
      </c>
      <c r="BT127" s="3" t="str">
        <f t="shared" si="389"/>
        <v/>
      </c>
      <c r="BU127" s="3" t="str">
        <f t="shared" si="389"/>
        <v/>
      </c>
      <c r="BV127" s="3" t="str">
        <f t="shared" si="389"/>
        <v/>
      </c>
      <c r="BW127" s="3" t="str">
        <f t="shared" si="389"/>
        <v/>
      </c>
      <c r="BX127" s="3" t="str">
        <f t="shared" si="389"/>
        <v/>
      </c>
      <c r="BY127" s="3" t="str">
        <f t="shared" si="389"/>
        <v/>
      </c>
      <c r="BZ127" s="3" t="str">
        <f t="shared" si="389"/>
        <v/>
      </c>
      <c r="CA127" s="3" t="str">
        <f t="shared" si="389"/>
        <v/>
      </c>
      <c r="CB127" s="3" t="str">
        <f t="shared" ref="CB127" si="390">IF(AK127=0,"",ROUNDUP(AK119/AK127,0))</f>
        <v/>
      </c>
      <c r="CC127" s="3" t="str">
        <f t="shared" ref="CC127" si="391">IF(AL127=0,"",ROUNDUP(AL119/AL127,0))</f>
        <v/>
      </c>
    </row>
    <row r="128" spans="1:81" ht="17.100000000000001" customHeight="1">
      <c r="A128" s="174"/>
      <c r="B128" s="30" t="s">
        <v>27</v>
      </c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  <c r="AK128" s="39"/>
      <c r="AL128" s="39"/>
      <c r="AM128" s="39"/>
      <c r="AN128" s="40" t="str">
        <f t="shared" si="374"/>
        <v/>
      </c>
      <c r="AO128" s="39"/>
      <c r="AP128" s="39"/>
      <c r="AQ128" s="42">
        <f t="shared" si="375"/>
        <v>0</v>
      </c>
      <c r="AR128" s="25">
        <f t="shared" si="376"/>
        <v>0</v>
      </c>
      <c r="AT128" s="3" t="str">
        <f t="shared" ref="AT128:CA128" si="392">IF(C128=0,"",ROUNDUP(C119/C128,0))</f>
        <v/>
      </c>
      <c r="AU128" s="3" t="str">
        <f t="shared" si="392"/>
        <v/>
      </c>
      <c r="AV128" s="3" t="str">
        <f t="shared" si="392"/>
        <v/>
      </c>
      <c r="AW128" s="3" t="str">
        <f t="shared" si="392"/>
        <v/>
      </c>
      <c r="AX128" s="3" t="str">
        <f t="shared" si="392"/>
        <v/>
      </c>
      <c r="AY128" s="3" t="str">
        <f t="shared" si="392"/>
        <v/>
      </c>
      <c r="AZ128" s="3" t="str">
        <f t="shared" si="392"/>
        <v/>
      </c>
      <c r="BA128" s="3" t="str">
        <f t="shared" si="392"/>
        <v/>
      </c>
      <c r="BB128" s="3" t="str">
        <f t="shared" si="392"/>
        <v/>
      </c>
      <c r="BC128" s="3" t="str">
        <f t="shared" si="392"/>
        <v/>
      </c>
      <c r="BD128" s="3" t="str">
        <f t="shared" si="392"/>
        <v/>
      </c>
      <c r="BE128" s="3" t="str">
        <f t="shared" si="392"/>
        <v/>
      </c>
      <c r="BF128" s="3" t="str">
        <f t="shared" si="392"/>
        <v/>
      </c>
      <c r="BG128" s="3" t="str">
        <f t="shared" si="392"/>
        <v/>
      </c>
      <c r="BH128" s="3" t="str">
        <f t="shared" si="392"/>
        <v/>
      </c>
      <c r="BI128" s="3" t="str">
        <f t="shared" si="392"/>
        <v/>
      </c>
      <c r="BJ128" s="3" t="str">
        <f t="shared" si="392"/>
        <v/>
      </c>
      <c r="BK128" s="3" t="str">
        <f t="shared" si="392"/>
        <v/>
      </c>
      <c r="BL128" s="3" t="str">
        <f t="shared" si="392"/>
        <v/>
      </c>
      <c r="BM128" s="3" t="str">
        <f t="shared" si="392"/>
        <v/>
      </c>
      <c r="BN128" s="3" t="str">
        <f t="shared" si="392"/>
        <v/>
      </c>
      <c r="BO128" s="3" t="str">
        <f t="shared" si="392"/>
        <v/>
      </c>
      <c r="BP128" s="3" t="str">
        <f t="shared" si="392"/>
        <v/>
      </c>
      <c r="BQ128" s="3" t="str">
        <f t="shared" si="392"/>
        <v/>
      </c>
      <c r="BR128" s="3" t="str">
        <f t="shared" si="392"/>
        <v/>
      </c>
      <c r="BS128" s="3" t="str">
        <f t="shared" si="392"/>
        <v/>
      </c>
      <c r="BT128" s="3" t="str">
        <f t="shared" si="392"/>
        <v/>
      </c>
      <c r="BU128" s="3" t="str">
        <f t="shared" si="392"/>
        <v/>
      </c>
      <c r="BV128" s="3" t="str">
        <f t="shared" si="392"/>
        <v/>
      </c>
      <c r="BW128" s="3" t="str">
        <f t="shared" si="392"/>
        <v/>
      </c>
      <c r="BX128" s="3" t="str">
        <f t="shared" si="392"/>
        <v/>
      </c>
      <c r="BY128" s="3" t="str">
        <f t="shared" si="392"/>
        <v/>
      </c>
      <c r="BZ128" s="3" t="str">
        <f t="shared" si="392"/>
        <v/>
      </c>
      <c r="CA128" s="3" t="str">
        <f t="shared" si="392"/>
        <v/>
      </c>
      <c r="CB128" s="3" t="str">
        <f t="shared" ref="CB128" si="393">IF(AK128=0,"",ROUNDUP(AK119/AK128,0))</f>
        <v/>
      </c>
      <c r="CC128" s="3" t="str">
        <f t="shared" ref="CC128" si="394">IF(AL128=0,"",ROUNDUP(AL119/AL128,0))</f>
        <v/>
      </c>
    </row>
    <row r="129" spans="1:81" ht="17.100000000000001" customHeight="1">
      <c r="A129" s="175"/>
      <c r="B129" s="30" t="s">
        <v>28</v>
      </c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  <c r="AK129" s="39"/>
      <c r="AL129" s="39"/>
      <c r="AM129" s="39"/>
      <c r="AN129" s="41" t="str">
        <f t="shared" si="374"/>
        <v/>
      </c>
      <c r="AO129" s="39"/>
      <c r="AP129" s="39"/>
      <c r="AQ129" s="42">
        <f t="shared" si="375"/>
        <v>0</v>
      </c>
      <c r="AR129" s="25">
        <f t="shared" si="376"/>
        <v>0</v>
      </c>
      <c r="AT129" s="3" t="str">
        <f t="shared" ref="AT129:CA129" si="395">IF(C129=0,"",ROUNDUP(C119/C129,0))</f>
        <v/>
      </c>
      <c r="AU129" s="3" t="str">
        <f t="shared" si="395"/>
        <v/>
      </c>
      <c r="AV129" s="3" t="str">
        <f t="shared" si="395"/>
        <v/>
      </c>
      <c r="AW129" s="3" t="str">
        <f t="shared" si="395"/>
        <v/>
      </c>
      <c r="AX129" s="3" t="str">
        <f t="shared" si="395"/>
        <v/>
      </c>
      <c r="AY129" s="3" t="str">
        <f t="shared" si="395"/>
        <v/>
      </c>
      <c r="AZ129" s="3" t="str">
        <f t="shared" si="395"/>
        <v/>
      </c>
      <c r="BA129" s="3" t="str">
        <f t="shared" si="395"/>
        <v/>
      </c>
      <c r="BB129" s="3" t="str">
        <f t="shared" si="395"/>
        <v/>
      </c>
      <c r="BC129" s="3" t="str">
        <f t="shared" si="395"/>
        <v/>
      </c>
      <c r="BD129" s="3" t="str">
        <f t="shared" si="395"/>
        <v/>
      </c>
      <c r="BE129" s="3" t="str">
        <f t="shared" si="395"/>
        <v/>
      </c>
      <c r="BF129" s="3" t="str">
        <f t="shared" si="395"/>
        <v/>
      </c>
      <c r="BG129" s="3" t="str">
        <f t="shared" si="395"/>
        <v/>
      </c>
      <c r="BH129" s="3" t="str">
        <f t="shared" si="395"/>
        <v/>
      </c>
      <c r="BI129" s="3" t="str">
        <f t="shared" si="395"/>
        <v/>
      </c>
      <c r="BJ129" s="3" t="str">
        <f t="shared" si="395"/>
        <v/>
      </c>
      <c r="BK129" s="3" t="str">
        <f t="shared" si="395"/>
        <v/>
      </c>
      <c r="BL129" s="3" t="str">
        <f t="shared" si="395"/>
        <v/>
      </c>
      <c r="BM129" s="3" t="str">
        <f t="shared" si="395"/>
        <v/>
      </c>
      <c r="BN129" s="3" t="str">
        <f t="shared" si="395"/>
        <v/>
      </c>
      <c r="BO129" s="3" t="str">
        <f t="shared" si="395"/>
        <v/>
      </c>
      <c r="BP129" s="3" t="str">
        <f t="shared" si="395"/>
        <v/>
      </c>
      <c r="BQ129" s="3" t="str">
        <f t="shared" si="395"/>
        <v/>
      </c>
      <c r="BR129" s="3" t="str">
        <f t="shared" si="395"/>
        <v/>
      </c>
      <c r="BS129" s="3" t="str">
        <f t="shared" si="395"/>
        <v/>
      </c>
      <c r="BT129" s="3" t="str">
        <f t="shared" si="395"/>
        <v/>
      </c>
      <c r="BU129" s="3" t="str">
        <f t="shared" si="395"/>
        <v/>
      </c>
      <c r="BV129" s="3" t="str">
        <f t="shared" si="395"/>
        <v/>
      </c>
      <c r="BW129" s="3" t="str">
        <f t="shared" si="395"/>
        <v/>
      </c>
      <c r="BX129" s="3" t="str">
        <f t="shared" si="395"/>
        <v/>
      </c>
      <c r="BY129" s="3" t="str">
        <f t="shared" si="395"/>
        <v/>
      </c>
      <c r="BZ129" s="3" t="str">
        <f t="shared" si="395"/>
        <v/>
      </c>
      <c r="CA129" s="3" t="str">
        <f t="shared" si="395"/>
        <v/>
      </c>
      <c r="CB129" s="3" t="str">
        <f t="shared" ref="CB129" si="396">IF(AK129=0,"",ROUNDUP(AK119/AK129,0))</f>
        <v/>
      </c>
      <c r="CC129" s="3" t="str">
        <f t="shared" ref="CC129" si="397">IF(AL129=0,"",ROUNDUP(AL119/AL129,0))</f>
        <v/>
      </c>
    </row>
    <row r="130" spans="1:81" ht="17.100000000000001" customHeight="1" thickBot="1">
      <c r="AN130" s="7">
        <f>SUM(AN122:AN129)</f>
        <v>0</v>
      </c>
      <c r="AQ130" s="12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ht="21.95" customHeight="1" thickBot="1">
      <c r="A131" s="201">
        <v>9</v>
      </c>
      <c r="B131" s="202"/>
      <c r="C131" s="203"/>
      <c r="AQ131" s="12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ht="17.100000000000001" customHeight="1">
      <c r="A132" s="51" t="s">
        <v>29</v>
      </c>
      <c r="B132" s="50"/>
      <c r="C132" s="147" t="s">
        <v>10</v>
      </c>
      <c r="D132" s="148"/>
      <c r="E132" s="148"/>
      <c r="F132" s="148"/>
      <c r="G132" s="148"/>
      <c r="H132" s="148"/>
      <c r="I132" s="148"/>
      <c r="J132" s="148"/>
      <c r="K132" s="148"/>
      <c r="L132" s="148"/>
      <c r="M132" s="148"/>
      <c r="N132" s="148"/>
      <c r="O132" s="148"/>
      <c r="P132" s="148"/>
      <c r="Q132" s="148"/>
      <c r="R132" s="148"/>
      <c r="S132" s="148"/>
      <c r="T132" s="148"/>
      <c r="U132" s="148"/>
      <c r="V132" s="148"/>
      <c r="W132" s="148"/>
      <c r="X132" s="148"/>
      <c r="Y132" s="148"/>
      <c r="Z132" s="148"/>
      <c r="AA132" s="148"/>
      <c r="AB132" s="148"/>
      <c r="AC132" s="148"/>
      <c r="AD132" s="148"/>
      <c r="AE132" s="148"/>
      <c r="AF132" s="148"/>
      <c r="AG132" s="148"/>
      <c r="AH132" s="148"/>
      <c r="AI132" s="148"/>
      <c r="AJ132" s="148"/>
      <c r="AK132" s="148"/>
      <c r="AL132" s="148"/>
      <c r="AM132" s="10"/>
      <c r="AN132" s="31"/>
      <c r="AO132" s="35" t="s">
        <v>4</v>
      </c>
      <c r="AP132" s="149"/>
      <c r="AQ132" s="150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27">
      <c r="A133" s="52" t="s">
        <v>36</v>
      </c>
      <c r="B133" s="50"/>
      <c r="C133" s="26" t="str">
        <f>IF(C117=0,"",IF(C117&gt;0,C117))</f>
        <v/>
      </c>
      <c r="D133" s="26" t="str">
        <f t="shared" ref="D133:AL133" si="398">IF(D117=0,"",IF(D117&gt;0,D117))</f>
        <v/>
      </c>
      <c r="E133" s="26" t="str">
        <f t="shared" si="398"/>
        <v/>
      </c>
      <c r="F133" s="26" t="str">
        <f t="shared" si="398"/>
        <v/>
      </c>
      <c r="G133" s="26" t="str">
        <f t="shared" si="398"/>
        <v/>
      </c>
      <c r="H133" s="26" t="str">
        <f t="shared" si="398"/>
        <v/>
      </c>
      <c r="I133" s="26" t="str">
        <f t="shared" si="398"/>
        <v/>
      </c>
      <c r="J133" s="26" t="str">
        <f t="shared" si="398"/>
        <v/>
      </c>
      <c r="K133" s="26" t="str">
        <f t="shared" si="398"/>
        <v/>
      </c>
      <c r="L133" s="26" t="str">
        <f t="shared" si="398"/>
        <v/>
      </c>
      <c r="M133" s="26" t="str">
        <f t="shared" si="398"/>
        <v/>
      </c>
      <c r="N133" s="26" t="str">
        <f t="shared" si="398"/>
        <v/>
      </c>
      <c r="O133" s="26" t="str">
        <f t="shared" si="398"/>
        <v/>
      </c>
      <c r="P133" s="26" t="str">
        <f t="shared" si="398"/>
        <v/>
      </c>
      <c r="Q133" s="26" t="str">
        <f t="shared" si="398"/>
        <v/>
      </c>
      <c r="R133" s="26" t="str">
        <f t="shared" si="398"/>
        <v/>
      </c>
      <c r="S133" s="26" t="str">
        <f t="shared" si="398"/>
        <v/>
      </c>
      <c r="T133" s="26" t="str">
        <f t="shared" si="398"/>
        <v/>
      </c>
      <c r="U133" s="26" t="str">
        <f t="shared" si="398"/>
        <v/>
      </c>
      <c r="V133" s="26" t="str">
        <f t="shared" si="398"/>
        <v/>
      </c>
      <c r="W133" s="26" t="str">
        <f t="shared" si="398"/>
        <v/>
      </c>
      <c r="X133" s="26" t="str">
        <f t="shared" si="398"/>
        <v/>
      </c>
      <c r="Y133" s="26" t="str">
        <f t="shared" si="398"/>
        <v/>
      </c>
      <c r="Z133" s="26" t="str">
        <f t="shared" si="398"/>
        <v/>
      </c>
      <c r="AA133" s="26" t="str">
        <f t="shared" si="398"/>
        <v/>
      </c>
      <c r="AB133" s="26" t="str">
        <f t="shared" si="398"/>
        <v/>
      </c>
      <c r="AC133" s="26" t="str">
        <f t="shared" si="398"/>
        <v/>
      </c>
      <c r="AD133" s="26" t="str">
        <f t="shared" si="398"/>
        <v/>
      </c>
      <c r="AE133" s="26" t="str">
        <f t="shared" si="398"/>
        <v/>
      </c>
      <c r="AF133" s="26" t="str">
        <f t="shared" si="398"/>
        <v/>
      </c>
      <c r="AG133" s="26" t="str">
        <f t="shared" si="398"/>
        <v/>
      </c>
      <c r="AH133" s="26" t="str">
        <f t="shared" si="398"/>
        <v/>
      </c>
      <c r="AI133" s="26" t="str">
        <f t="shared" si="398"/>
        <v/>
      </c>
      <c r="AJ133" s="26" t="str">
        <f t="shared" si="398"/>
        <v/>
      </c>
      <c r="AK133" s="26" t="str">
        <f t="shared" si="398"/>
        <v/>
      </c>
      <c r="AL133" s="26" t="str">
        <f t="shared" si="398"/>
        <v/>
      </c>
      <c r="AM133" s="5" t="s">
        <v>2</v>
      </c>
      <c r="AN133" s="31"/>
      <c r="AO133" s="32" t="s">
        <v>5</v>
      </c>
      <c r="AP133" s="151">
        <f>SUM(AQ138:AQ145)</f>
        <v>0</v>
      </c>
      <c r="AQ133" s="151"/>
      <c r="AT133" s="2" t="str">
        <f t="shared" ref="AT133:BY133" si="399">IF(C133=0,"",IF(C133&gt;0,C133))</f>
        <v/>
      </c>
      <c r="AU133" s="2" t="str">
        <f t="shared" si="399"/>
        <v/>
      </c>
      <c r="AV133" s="2" t="str">
        <f t="shared" si="399"/>
        <v/>
      </c>
      <c r="AW133" s="2" t="str">
        <f t="shared" si="399"/>
        <v/>
      </c>
      <c r="AX133" s="2" t="str">
        <f t="shared" si="399"/>
        <v/>
      </c>
      <c r="AY133" s="2" t="str">
        <f t="shared" si="399"/>
        <v/>
      </c>
      <c r="AZ133" s="2" t="str">
        <f t="shared" si="399"/>
        <v/>
      </c>
      <c r="BA133" s="2" t="str">
        <f t="shared" si="399"/>
        <v/>
      </c>
      <c r="BB133" s="2" t="str">
        <f t="shared" si="399"/>
        <v/>
      </c>
      <c r="BC133" s="2" t="str">
        <f t="shared" si="399"/>
        <v/>
      </c>
      <c r="BD133" s="2" t="str">
        <f t="shared" si="399"/>
        <v/>
      </c>
      <c r="BE133" s="2" t="str">
        <f t="shared" si="399"/>
        <v/>
      </c>
      <c r="BF133" s="2" t="str">
        <f t="shared" si="399"/>
        <v/>
      </c>
      <c r="BG133" s="2" t="str">
        <f t="shared" si="399"/>
        <v/>
      </c>
      <c r="BH133" s="2" t="str">
        <f t="shared" si="399"/>
        <v/>
      </c>
      <c r="BI133" s="2" t="str">
        <f t="shared" si="399"/>
        <v/>
      </c>
      <c r="BJ133" s="2" t="str">
        <f t="shared" si="399"/>
        <v/>
      </c>
      <c r="BK133" s="2" t="str">
        <f t="shared" si="399"/>
        <v/>
      </c>
      <c r="BL133" s="2" t="str">
        <f t="shared" si="399"/>
        <v/>
      </c>
      <c r="BM133" s="2" t="str">
        <f t="shared" si="399"/>
        <v/>
      </c>
      <c r="BN133" s="2" t="str">
        <f t="shared" si="399"/>
        <v/>
      </c>
      <c r="BO133" s="2" t="str">
        <f t="shared" si="399"/>
        <v/>
      </c>
      <c r="BP133" s="2" t="str">
        <f t="shared" si="399"/>
        <v/>
      </c>
      <c r="BQ133" s="2" t="str">
        <f t="shared" si="399"/>
        <v/>
      </c>
      <c r="BR133" s="2" t="str">
        <f t="shared" si="399"/>
        <v/>
      </c>
      <c r="BS133" s="2" t="str">
        <f t="shared" si="399"/>
        <v/>
      </c>
      <c r="BT133" s="2" t="str">
        <f t="shared" si="399"/>
        <v/>
      </c>
      <c r="BU133" s="2" t="str">
        <f t="shared" si="399"/>
        <v/>
      </c>
      <c r="BV133" s="2" t="str">
        <f t="shared" si="399"/>
        <v/>
      </c>
      <c r="BW133" s="2" t="str">
        <f t="shared" si="399"/>
        <v/>
      </c>
      <c r="BX133" s="2" t="str">
        <f t="shared" si="399"/>
        <v/>
      </c>
      <c r="BY133" s="2" t="str">
        <f t="shared" si="399"/>
        <v/>
      </c>
      <c r="BZ133" s="2" t="str">
        <f t="shared" ref="BZ133" si="400">IF(AI133=0,"",IF(AI133&gt;0,AI133))</f>
        <v/>
      </c>
      <c r="CA133" s="2" t="str">
        <f t="shared" ref="CA133" si="401">IF(AJ133=0,"",IF(AJ133&gt;0,AJ133))</f>
        <v/>
      </c>
      <c r="CB133" s="2" t="str">
        <f t="shared" ref="CB133" si="402">IF(AK133=0,"",IF(AK133&gt;0,AK133))</f>
        <v/>
      </c>
      <c r="CC133" s="2" t="str">
        <f t="shared" ref="CC133" si="403">IF(AL133=0,"",IF(AL133&gt;0,AL133))</f>
        <v/>
      </c>
    </row>
    <row r="134" spans="1:81" ht="17.100000000000001" customHeight="1">
      <c r="A134" s="152" t="s">
        <v>30</v>
      </c>
      <c r="B134" s="153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  <c r="AI134" s="46"/>
      <c r="AJ134" s="46"/>
      <c r="AK134" s="46"/>
      <c r="AL134" s="46"/>
      <c r="AM134" s="45">
        <f>SUM(C134:AL134)</f>
        <v>0</v>
      </c>
      <c r="AN134" s="33"/>
      <c r="AO134" s="34" t="str">
        <f>IF(AP134&lt;5,"NO ",IF(AP134=5,"ok",IF(AP134&gt;5,"ok")))</f>
        <v xml:space="preserve">NO </v>
      </c>
      <c r="AP134" s="154">
        <f>AP132-AP133-AP135</f>
        <v>0</v>
      </c>
      <c r="AQ134" s="154"/>
      <c r="AR134" s="16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</row>
    <row r="135" spans="1:81" ht="17.100000000000001" customHeight="1">
      <c r="A135" s="152"/>
      <c r="B135" s="153"/>
      <c r="C135" s="47" t="str">
        <f>IF(C133="","",C134-C138*$AM138-C139*$AM139-C140*$AM140-C141*$AM141-C142*$AM142-C143*$AM143-C144*$AM144-C145*$AM145)</f>
        <v/>
      </c>
      <c r="D135" s="47" t="str">
        <f t="shared" ref="D135" si="404">IF(D133="","",D134-D138*$AM138-D139*$AM139-D140*$AM140-D141*$AM141-D142*$AM142-D143*$AM143-D144*$AM144-D145*$AM145)</f>
        <v/>
      </c>
      <c r="E135" s="47" t="str">
        <f t="shared" ref="E135" si="405">IF(E133="","",E134-E138*$AM138-E139*$AM139-E140*$AM140-E141*$AM141-E142*$AM142-E143*$AM143-E144*$AM144-E145*$AM145)</f>
        <v/>
      </c>
      <c r="F135" s="47" t="str">
        <f t="shared" ref="F135" si="406">IF(F133="","",F134-F138*$AM138-F139*$AM139-F140*$AM140-F141*$AM141-F142*$AM142-F143*$AM143-F144*$AM144-F145*$AM145)</f>
        <v/>
      </c>
      <c r="G135" s="47" t="str">
        <f t="shared" ref="G135" si="407">IF(G133="","",G134-G138*$AM138-G139*$AM139-G140*$AM140-G141*$AM141-G142*$AM142-G143*$AM143-G144*$AM144-G145*$AM145)</f>
        <v/>
      </c>
      <c r="H135" s="47" t="str">
        <f t="shared" ref="H135" si="408">IF(H133="","",H134-H138*$AM138-H139*$AM139-H140*$AM140-H141*$AM141-H142*$AM142-H143*$AM143-H144*$AM144-H145*$AM145)</f>
        <v/>
      </c>
      <c r="I135" s="47" t="str">
        <f t="shared" ref="I135" si="409">IF(I133="","",I134-I138*$AM138-I139*$AM139-I140*$AM140-I141*$AM141-I142*$AM142-I143*$AM143-I144*$AM144-I145*$AM145)</f>
        <v/>
      </c>
      <c r="J135" s="47" t="str">
        <f t="shared" ref="J135" si="410">IF(J133="","",J134-J138*$AM138-J139*$AM139-J140*$AM140-J141*$AM141-J142*$AM142-J143*$AM143-J144*$AM144-J145*$AM145)</f>
        <v/>
      </c>
      <c r="K135" s="47" t="str">
        <f t="shared" ref="K135" si="411">IF(K133="","",K134-K138*$AM138-K139*$AM139-K140*$AM140-K141*$AM141-K142*$AM142-K143*$AM143-K144*$AM144-K145*$AM145)</f>
        <v/>
      </c>
      <c r="L135" s="47" t="str">
        <f t="shared" ref="L135" si="412">IF(L133="","",L134-L138*$AM138-L139*$AM139-L140*$AM140-L141*$AM141-L142*$AM142-L143*$AM143-L144*$AM144-L145*$AM145)</f>
        <v/>
      </c>
      <c r="M135" s="47" t="str">
        <f t="shared" ref="M135" si="413">IF(M133="","",M134-M138*$AM138-M139*$AM139-M140*$AM140-M141*$AM141-M142*$AM142-M143*$AM143-M144*$AM144-M145*$AM145)</f>
        <v/>
      </c>
      <c r="N135" s="47" t="str">
        <f t="shared" ref="N135" si="414">IF(N133="","",N134-N138*$AM138-N139*$AM139-N140*$AM140-N141*$AM141-N142*$AM142-N143*$AM143-N144*$AM144-N145*$AM145)</f>
        <v/>
      </c>
      <c r="O135" s="47" t="str">
        <f t="shared" ref="O135" si="415">IF(O133="","",O134-O138*$AM138-O139*$AM139-O140*$AM140-O141*$AM141-O142*$AM142-O143*$AM143-O144*$AM144-O145*$AM145)</f>
        <v/>
      </c>
      <c r="P135" s="47" t="str">
        <f t="shared" ref="P135" si="416">IF(P133="","",P134-P138*$AM138-P139*$AM139-P140*$AM140-P141*$AM141-P142*$AM142-P143*$AM143-P144*$AM144-P145*$AM145)</f>
        <v/>
      </c>
      <c r="Q135" s="47" t="str">
        <f t="shared" ref="Q135" si="417">IF(Q133="","",Q134-Q138*$AM138-Q139*$AM139-Q140*$AM140-Q141*$AM141-Q142*$AM142-Q143*$AM143-Q144*$AM144-Q145*$AM145)</f>
        <v/>
      </c>
      <c r="R135" s="47" t="str">
        <f t="shared" ref="R135" si="418">IF(R133="","",R134-R138*$AM138-R139*$AM139-R140*$AM140-R141*$AM141-R142*$AM142-R143*$AM143-R144*$AM144-R145*$AM145)</f>
        <v/>
      </c>
      <c r="S135" s="47" t="str">
        <f t="shared" ref="S135" si="419">IF(S133="","",S134-S138*$AM138-S139*$AM139-S140*$AM140-S141*$AM141-S142*$AM142-S143*$AM143-S144*$AM144-S145*$AM145)</f>
        <v/>
      </c>
      <c r="T135" s="47" t="str">
        <f t="shared" ref="T135" si="420">IF(T133="","",T134-T138*$AM138-T139*$AM139-T140*$AM140-T141*$AM141-T142*$AM142-T143*$AM143-T144*$AM144-T145*$AM145)</f>
        <v/>
      </c>
      <c r="U135" s="47" t="str">
        <f t="shared" ref="U135" si="421">IF(U133="","",U134-U138*$AM138-U139*$AM139-U140*$AM140-U141*$AM141-U142*$AM142-U143*$AM143-U144*$AM144-U145*$AM145)</f>
        <v/>
      </c>
      <c r="V135" s="47" t="str">
        <f t="shared" ref="V135" si="422">IF(V133="","",V134-V138*$AM138-V139*$AM139-V140*$AM140-V141*$AM141-V142*$AM142-V143*$AM143-V144*$AM144-V145*$AM145)</f>
        <v/>
      </c>
      <c r="W135" s="47" t="str">
        <f t="shared" ref="W135" si="423">IF(W133="","",W134-W138*$AM138-W139*$AM139-W140*$AM140-W141*$AM141-W142*$AM142-W143*$AM143-W144*$AM144-W145*$AM145)</f>
        <v/>
      </c>
      <c r="X135" s="47" t="str">
        <f t="shared" ref="X135" si="424">IF(X133="","",X134-X138*$AM138-X139*$AM139-X140*$AM140-X141*$AM141-X142*$AM142-X143*$AM143-X144*$AM144-X145*$AM145)</f>
        <v/>
      </c>
      <c r="Y135" s="47" t="str">
        <f t="shared" ref="Y135" si="425">IF(Y133="","",Y134-Y138*$AM138-Y139*$AM139-Y140*$AM140-Y141*$AM141-Y142*$AM142-Y143*$AM143-Y144*$AM144-Y145*$AM145)</f>
        <v/>
      </c>
      <c r="Z135" s="47" t="str">
        <f t="shared" ref="Z135" si="426">IF(Z133="","",Z134-Z138*$AM138-Z139*$AM139-Z140*$AM140-Z141*$AM141-Z142*$AM142-Z143*$AM143-Z144*$AM144-Z145*$AM145)</f>
        <v/>
      </c>
      <c r="AA135" s="47" t="str">
        <f t="shared" ref="AA135" si="427">IF(AA133="","",AA134-AA138*$AM138-AA139*$AM139-AA140*$AM140-AA141*$AM141-AA142*$AM142-AA143*$AM143-AA144*$AM144-AA145*$AM145)</f>
        <v/>
      </c>
      <c r="AB135" s="47" t="str">
        <f t="shared" ref="AB135" si="428">IF(AB133="","",AB134-AB138*$AM138-AB139*$AM139-AB140*$AM140-AB141*$AM141-AB142*$AM142-AB143*$AM143-AB144*$AM144-AB145*$AM145)</f>
        <v/>
      </c>
      <c r="AC135" s="47" t="str">
        <f t="shared" ref="AC135" si="429">IF(AC133="","",AC134-AC138*$AM138-AC139*$AM139-AC140*$AM140-AC141*$AM141-AC142*$AM142-AC143*$AM143-AC144*$AM144-AC145*$AM145)</f>
        <v/>
      </c>
      <c r="AD135" s="47" t="str">
        <f t="shared" ref="AD135" si="430">IF(AD133="","",AD134-AD138*$AM138-AD139*$AM139-AD140*$AM140-AD141*$AM141-AD142*$AM142-AD143*$AM143-AD144*$AM144-AD145*$AM145)</f>
        <v/>
      </c>
      <c r="AE135" s="47" t="str">
        <f t="shared" ref="AE135" si="431">IF(AE133="","",AE134-AE138*$AM138-AE139*$AM139-AE140*$AM140-AE141*$AM141-AE142*$AM142-AE143*$AM143-AE144*$AM144-AE145*$AM145)</f>
        <v/>
      </c>
      <c r="AF135" s="47" t="str">
        <f t="shared" ref="AF135" si="432">IF(AF133="","",AF134-AF138*$AM138-AF139*$AM139-AF140*$AM140-AF141*$AM141-AF142*$AM142-AF143*$AM143-AF144*$AM144-AF145*$AM145)</f>
        <v/>
      </c>
      <c r="AG135" s="47" t="str">
        <f t="shared" ref="AG135" si="433">IF(AG133="","",AG134-AG138*$AM138-AG139*$AM139-AG140*$AM140-AG141*$AM141-AG142*$AM142-AG143*$AM143-AG144*$AM144-AG145*$AM145)</f>
        <v/>
      </c>
      <c r="AH135" s="47" t="str">
        <f t="shared" ref="AH135" si="434">IF(AH133="","",AH134-AH138*$AM138-AH139*$AM139-AH140*$AM140-AH141*$AM141-AH142*$AM142-AH143*$AM143-AH144*$AM144-AH145*$AM145)</f>
        <v/>
      </c>
      <c r="AI135" s="47" t="str">
        <f t="shared" ref="AI135" si="435">IF(AI133="","",AI134-AI138*$AM138-AI139*$AM139-AI140*$AM140-AI141*$AM141-AI142*$AM142-AI143*$AM143-AI144*$AM144-AI145*$AM145)</f>
        <v/>
      </c>
      <c r="AJ135" s="47" t="str">
        <f t="shared" ref="AJ135" si="436">IF(AJ133="","",AJ134-AJ138*$AM138-AJ139*$AM139-AJ140*$AM140-AJ141*$AM141-AJ142*$AM142-AJ143*$AM143-AJ144*$AM144-AJ145*$AM145)</f>
        <v/>
      </c>
      <c r="AK135" s="47" t="str">
        <f>IF(AK133="","",AK134-AK138*$AM138-AK139*$AM139-AK140*$AM140-AK141*$AM141-AK142*$AM142-AK143*$AM143-AK144*$AM144-AK145*$AM145)</f>
        <v/>
      </c>
      <c r="AL135" s="47" t="str">
        <f t="shared" ref="AL135" si="437">IF(AL133="","",AL134-AL138*$AM138-AL139*$AM139-AL140*$AM140-AL141*$AM141-AL142*$AM142-AL143*$AM143-AL144*$AM144-AL145*$AM145)</f>
        <v/>
      </c>
      <c r="AM135" s="45">
        <f>SUM(C135:AL135)</f>
        <v>0</v>
      </c>
      <c r="AN135" s="155" t="s">
        <v>33</v>
      </c>
      <c r="AO135" s="156"/>
      <c r="AP135" s="157"/>
      <c r="AQ135" s="158"/>
      <c r="AR135" s="17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</row>
    <row r="136" spans="1:81" ht="17.100000000000001" customHeight="1">
      <c r="A136" s="177" t="s">
        <v>20</v>
      </c>
      <c r="B136" s="178"/>
      <c r="C136" s="181" t="s">
        <v>0</v>
      </c>
      <c r="D136" s="182"/>
      <c r="E136" s="182"/>
      <c r="F136" s="182"/>
      <c r="G136" s="182"/>
      <c r="H136" s="182"/>
      <c r="I136" s="182"/>
      <c r="J136" s="182"/>
      <c r="K136" s="182"/>
      <c r="L136" s="182"/>
      <c r="M136" s="182"/>
      <c r="N136" s="182"/>
      <c r="O136" s="182"/>
      <c r="P136" s="182"/>
      <c r="Q136" s="182"/>
      <c r="R136" s="182"/>
      <c r="S136" s="182"/>
      <c r="T136" s="182"/>
      <c r="U136" s="182"/>
      <c r="V136" s="182"/>
      <c r="W136" s="182"/>
      <c r="X136" s="182"/>
      <c r="Y136" s="182"/>
      <c r="Z136" s="182"/>
      <c r="AA136" s="182"/>
      <c r="AB136" s="182"/>
      <c r="AC136" s="182"/>
      <c r="AD136" s="182"/>
      <c r="AE136" s="182"/>
      <c r="AF136" s="182"/>
      <c r="AG136" s="182"/>
      <c r="AH136" s="182"/>
      <c r="AI136" s="182"/>
      <c r="AJ136" s="182"/>
      <c r="AK136" s="182"/>
      <c r="AL136" s="183"/>
      <c r="AM136" s="187" t="s">
        <v>1</v>
      </c>
      <c r="AN136" s="200" t="s">
        <v>11</v>
      </c>
      <c r="AO136" s="196" t="s">
        <v>12</v>
      </c>
      <c r="AP136" s="197"/>
      <c r="AQ136" s="193" t="s">
        <v>6</v>
      </c>
      <c r="AR136" s="24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</row>
    <row r="137" spans="1:81" ht="17.100000000000001" customHeight="1">
      <c r="A137" s="179"/>
      <c r="B137" s="180"/>
      <c r="C137" s="184"/>
      <c r="D137" s="185"/>
      <c r="E137" s="185"/>
      <c r="F137" s="185"/>
      <c r="G137" s="185"/>
      <c r="H137" s="185"/>
      <c r="I137" s="185"/>
      <c r="J137" s="185"/>
      <c r="K137" s="185"/>
      <c r="L137" s="185"/>
      <c r="M137" s="185"/>
      <c r="N137" s="185"/>
      <c r="O137" s="185"/>
      <c r="P137" s="185"/>
      <c r="Q137" s="185"/>
      <c r="R137" s="185"/>
      <c r="S137" s="185"/>
      <c r="T137" s="185"/>
      <c r="U137" s="185"/>
      <c r="V137" s="185"/>
      <c r="W137" s="185"/>
      <c r="X137" s="185"/>
      <c r="Y137" s="185"/>
      <c r="Z137" s="185"/>
      <c r="AA137" s="185"/>
      <c r="AB137" s="185"/>
      <c r="AC137" s="185"/>
      <c r="AD137" s="185"/>
      <c r="AE137" s="185"/>
      <c r="AF137" s="185"/>
      <c r="AG137" s="185"/>
      <c r="AH137" s="185"/>
      <c r="AI137" s="185"/>
      <c r="AJ137" s="185"/>
      <c r="AK137" s="185"/>
      <c r="AL137" s="186"/>
      <c r="AM137" s="188"/>
      <c r="AN137" s="190"/>
      <c r="AO137" s="18" t="s">
        <v>3</v>
      </c>
      <c r="AP137" s="19" t="s">
        <v>13</v>
      </c>
      <c r="AQ137" s="172"/>
      <c r="AR137" s="27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</row>
    <row r="138" spans="1:81" ht="17.100000000000001" customHeight="1">
      <c r="A138" s="173"/>
      <c r="B138" s="30" t="s">
        <v>21</v>
      </c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  <c r="AK138" s="39"/>
      <c r="AL138" s="39"/>
      <c r="AM138" s="39"/>
      <c r="AN138" s="40" t="str">
        <f>IF(AM138="","",SUM(C138:AL138)*AM138)</f>
        <v/>
      </c>
      <c r="AO138" s="39"/>
      <c r="AP138" s="39"/>
      <c r="AQ138" s="42">
        <f>(AO138+AR138)*AM138</f>
        <v>0</v>
      </c>
      <c r="AR138" s="25">
        <f>AP138/36</f>
        <v>0</v>
      </c>
      <c r="AT138" s="3" t="str">
        <f t="shared" ref="AT138:CA138" si="438">IF(C138=0,"",ROUNDUP(C135/C138,0))</f>
        <v/>
      </c>
      <c r="AU138" s="3" t="str">
        <f t="shared" si="438"/>
        <v/>
      </c>
      <c r="AV138" s="3" t="str">
        <f t="shared" si="438"/>
        <v/>
      </c>
      <c r="AW138" s="3" t="str">
        <f t="shared" si="438"/>
        <v/>
      </c>
      <c r="AX138" s="3" t="str">
        <f t="shared" si="438"/>
        <v/>
      </c>
      <c r="AY138" s="3" t="str">
        <f t="shared" si="438"/>
        <v/>
      </c>
      <c r="AZ138" s="3" t="str">
        <f t="shared" si="438"/>
        <v/>
      </c>
      <c r="BA138" s="3" t="str">
        <f t="shared" si="438"/>
        <v/>
      </c>
      <c r="BB138" s="3" t="str">
        <f t="shared" si="438"/>
        <v/>
      </c>
      <c r="BC138" s="3" t="str">
        <f t="shared" si="438"/>
        <v/>
      </c>
      <c r="BD138" s="3" t="str">
        <f t="shared" si="438"/>
        <v/>
      </c>
      <c r="BE138" s="3" t="str">
        <f t="shared" si="438"/>
        <v/>
      </c>
      <c r="BF138" s="3" t="str">
        <f t="shared" si="438"/>
        <v/>
      </c>
      <c r="BG138" s="3" t="str">
        <f t="shared" si="438"/>
        <v/>
      </c>
      <c r="BH138" s="3" t="str">
        <f t="shared" si="438"/>
        <v/>
      </c>
      <c r="BI138" s="3" t="str">
        <f t="shared" si="438"/>
        <v/>
      </c>
      <c r="BJ138" s="3" t="str">
        <f t="shared" si="438"/>
        <v/>
      </c>
      <c r="BK138" s="3" t="str">
        <f t="shared" si="438"/>
        <v/>
      </c>
      <c r="BL138" s="3" t="str">
        <f t="shared" si="438"/>
        <v/>
      </c>
      <c r="BM138" s="3" t="str">
        <f t="shared" si="438"/>
        <v/>
      </c>
      <c r="BN138" s="3" t="str">
        <f t="shared" si="438"/>
        <v/>
      </c>
      <c r="BO138" s="3" t="str">
        <f t="shared" si="438"/>
        <v/>
      </c>
      <c r="BP138" s="3" t="str">
        <f t="shared" si="438"/>
        <v/>
      </c>
      <c r="BQ138" s="3" t="str">
        <f t="shared" si="438"/>
        <v/>
      </c>
      <c r="BR138" s="3" t="str">
        <f t="shared" si="438"/>
        <v/>
      </c>
      <c r="BS138" s="3" t="str">
        <f t="shared" si="438"/>
        <v/>
      </c>
      <c r="BT138" s="3" t="str">
        <f t="shared" si="438"/>
        <v/>
      </c>
      <c r="BU138" s="3" t="str">
        <f t="shared" si="438"/>
        <v/>
      </c>
      <c r="BV138" s="3" t="str">
        <f t="shared" si="438"/>
        <v/>
      </c>
      <c r="BW138" s="3" t="str">
        <f t="shared" si="438"/>
        <v/>
      </c>
      <c r="BX138" s="3" t="str">
        <f t="shared" si="438"/>
        <v/>
      </c>
      <c r="BY138" s="3" t="str">
        <f t="shared" si="438"/>
        <v/>
      </c>
      <c r="BZ138" s="3" t="str">
        <f t="shared" si="438"/>
        <v/>
      </c>
      <c r="CA138" s="3" t="str">
        <f t="shared" si="438"/>
        <v/>
      </c>
      <c r="CB138" s="3" t="str">
        <f t="shared" ref="CB138" si="439">IF(AK138=0,"",ROUNDUP(AK135/AK138,0))</f>
        <v/>
      </c>
      <c r="CC138" s="3" t="str">
        <f t="shared" ref="CC138" si="440">IF(AL138=0,"",ROUNDUP(AL135/AL138,0))</f>
        <v/>
      </c>
    </row>
    <row r="139" spans="1:81" ht="17.100000000000001" customHeight="1">
      <c r="A139" s="174"/>
      <c r="B139" s="30" t="s">
        <v>22</v>
      </c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39"/>
      <c r="S139" s="39"/>
      <c r="T139" s="39"/>
      <c r="U139" s="39"/>
      <c r="V139" s="39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  <c r="AK139" s="39"/>
      <c r="AL139" s="39"/>
      <c r="AM139" s="39"/>
      <c r="AN139" s="40" t="str">
        <f t="shared" ref="AN139:AN145" si="441">IF(AM139="","",SUM(C139:AL139)*AM139)</f>
        <v/>
      </c>
      <c r="AO139" s="39"/>
      <c r="AP139" s="39"/>
      <c r="AQ139" s="42">
        <f t="shared" ref="AQ139:AQ145" si="442">(AO139+AR139)*AM139</f>
        <v>0</v>
      </c>
      <c r="AR139" s="25">
        <f t="shared" ref="AR139:AR145" si="443">AP139/36</f>
        <v>0</v>
      </c>
      <c r="AT139" s="3" t="str">
        <f t="shared" ref="AT139:CA139" si="444">IF(C139=0,"",ROUNDUP(C135/C139,0))</f>
        <v/>
      </c>
      <c r="AU139" s="3" t="str">
        <f t="shared" si="444"/>
        <v/>
      </c>
      <c r="AV139" s="3" t="str">
        <f t="shared" si="444"/>
        <v/>
      </c>
      <c r="AW139" s="3" t="str">
        <f t="shared" si="444"/>
        <v/>
      </c>
      <c r="AX139" s="3" t="str">
        <f t="shared" si="444"/>
        <v/>
      </c>
      <c r="AY139" s="3" t="str">
        <f t="shared" si="444"/>
        <v/>
      </c>
      <c r="AZ139" s="3" t="str">
        <f t="shared" si="444"/>
        <v/>
      </c>
      <c r="BA139" s="3" t="str">
        <f t="shared" si="444"/>
        <v/>
      </c>
      <c r="BB139" s="3" t="str">
        <f t="shared" si="444"/>
        <v/>
      </c>
      <c r="BC139" s="3" t="str">
        <f t="shared" si="444"/>
        <v/>
      </c>
      <c r="BD139" s="3" t="str">
        <f t="shared" si="444"/>
        <v/>
      </c>
      <c r="BE139" s="3" t="str">
        <f t="shared" si="444"/>
        <v/>
      </c>
      <c r="BF139" s="3" t="str">
        <f t="shared" si="444"/>
        <v/>
      </c>
      <c r="BG139" s="3" t="str">
        <f t="shared" si="444"/>
        <v/>
      </c>
      <c r="BH139" s="3" t="str">
        <f t="shared" si="444"/>
        <v/>
      </c>
      <c r="BI139" s="3" t="str">
        <f t="shared" si="444"/>
        <v/>
      </c>
      <c r="BJ139" s="3" t="str">
        <f t="shared" si="444"/>
        <v/>
      </c>
      <c r="BK139" s="3" t="str">
        <f t="shared" si="444"/>
        <v/>
      </c>
      <c r="BL139" s="3" t="str">
        <f t="shared" si="444"/>
        <v/>
      </c>
      <c r="BM139" s="3" t="str">
        <f t="shared" si="444"/>
        <v/>
      </c>
      <c r="BN139" s="3" t="str">
        <f t="shared" si="444"/>
        <v/>
      </c>
      <c r="BO139" s="3" t="str">
        <f t="shared" si="444"/>
        <v/>
      </c>
      <c r="BP139" s="3" t="str">
        <f t="shared" si="444"/>
        <v/>
      </c>
      <c r="BQ139" s="3" t="str">
        <f t="shared" si="444"/>
        <v/>
      </c>
      <c r="BR139" s="3" t="str">
        <f t="shared" si="444"/>
        <v/>
      </c>
      <c r="BS139" s="3" t="str">
        <f t="shared" si="444"/>
        <v/>
      </c>
      <c r="BT139" s="3" t="str">
        <f t="shared" si="444"/>
        <v/>
      </c>
      <c r="BU139" s="3" t="str">
        <f t="shared" si="444"/>
        <v/>
      </c>
      <c r="BV139" s="3" t="str">
        <f t="shared" si="444"/>
        <v/>
      </c>
      <c r="BW139" s="3" t="str">
        <f t="shared" si="444"/>
        <v/>
      </c>
      <c r="BX139" s="3" t="str">
        <f t="shared" si="444"/>
        <v/>
      </c>
      <c r="BY139" s="3" t="str">
        <f t="shared" si="444"/>
        <v/>
      </c>
      <c r="BZ139" s="3" t="str">
        <f t="shared" si="444"/>
        <v/>
      </c>
      <c r="CA139" s="3" t="str">
        <f t="shared" si="444"/>
        <v/>
      </c>
      <c r="CB139" s="3" t="str">
        <f t="shared" ref="CB139" si="445">IF(AK139=0,"",ROUNDUP(AK135/AK139,0))</f>
        <v/>
      </c>
      <c r="CC139" s="3" t="str">
        <f t="shared" ref="CC139" si="446">IF(AL139=0,"",ROUNDUP(AL135/AL139,0))</f>
        <v/>
      </c>
    </row>
    <row r="140" spans="1:81" ht="17.100000000000001" customHeight="1">
      <c r="A140" s="174"/>
      <c r="B140" s="30" t="s">
        <v>23</v>
      </c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9"/>
      <c r="X140" s="39"/>
      <c r="Y140" s="39"/>
      <c r="Z140" s="39"/>
      <c r="AA140" s="39"/>
      <c r="AB140" s="39"/>
      <c r="AC140" s="39"/>
      <c r="AD140" s="39"/>
      <c r="AE140" s="39"/>
      <c r="AF140" s="39"/>
      <c r="AG140" s="39"/>
      <c r="AH140" s="39"/>
      <c r="AI140" s="39"/>
      <c r="AJ140" s="39"/>
      <c r="AK140" s="39"/>
      <c r="AL140" s="39"/>
      <c r="AM140" s="39"/>
      <c r="AN140" s="40" t="str">
        <f t="shared" si="441"/>
        <v/>
      </c>
      <c r="AO140" s="39"/>
      <c r="AP140" s="39"/>
      <c r="AQ140" s="42">
        <f t="shared" si="442"/>
        <v>0</v>
      </c>
      <c r="AR140" s="25">
        <f t="shared" si="443"/>
        <v>0</v>
      </c>
      <c r="AT140" s="3" t="str">
        <f t="shared" ref="AT140:CA140" si="447">IF(C140=0,"",ROUNDUP(C135/C140,0))</f>
        <v/>
      </c>
      <c r="AU140" s="3" t="str">
        <f t="shared" si="447"/>
        <v/>
      </c>
      <c r="AV140" s="3" t="str">
        <f t="shared" si="447"/>
        <v/>
      </c>
      <c r="AW140" s="3" t="str">
        <f t="shared" si="447"/>
        <v/>
      </c>
      <c r="AX140" s="3" t="str">
        <f t="shared" si="447"/>
        <v/>
      </c>
      <c r="AY140" s="3" t="str">
        <f t="shared" si="447"/>
        <v/>
      </c>
      <c r="AZ140" s="3" t="str">
        <f t="shared" si="447"/>
        <v/>
      </c>
      <c r="BA140" s="3" t="str">
        <f t="shared" si="447"/>
        <v/>
      </c>
      <c r="BB140" s="3" t="str">
        <f t="shared" si="447"/>
        <v/>
      </c>
      <c r="BC140" s="3" t="str">
        <f t="shared" si="447"/>
        <v/>
      </c>
      <c r="BD140" s="3" t="str">
        <f t="shared" si="447"/>
        <v/>
      </c>
      <c r="BE140" s="3" t="str">
        <f t="shared" si="447"/>
        <v/>
      </c>
      <c r="BF140" s="3" t="str">
        <f t="shared" si="447"/>
        <v/>
      </c>
      <c r="BG140" s="3" t="str">
        <f t="shared" si="447"/>
        <v/>
      </c>
      <c r="BH140" s="3" t="str">
        <f t="shared" si="447"/>
        <v/>
      </c>
      <c r="BI140" s="3" t="str">
        <f t="shared" si="447"/>
        <v/>
      </c>
      <c r="BJ140" s="3" t="str">
        <f t="shared" si="447"/>
        <v/>
      </c>
      <c r="BK140" s="3" t="str">
        <f t="shared" si="447"/>
        <v/>
      </c>
      <c r="BL140" s="3" t="str">
        <f t="shared" si="447"/>
        <v/>
      </c>
      <c r="BM140" s="3" t="str">
        <f t="shared" si="447"/>
        <v/>
      </c>
      <c r="BN140" s="3" t="str">
        <f t="shared" si="447"/>
        <v/>
      </c>
      <c r="BO140" s="3" t="str">
        <f t="shared" si="447"/>
        <v/>
      </c>
      <c r="BP140" s="3" t="str">
        <f t="shared" si="447"/>
        <v/>
      </c>
      <c r="BQ140" s="3" t="str">
        <f t="shared" si="447"/>
        <v/>
      </c>
      <c r="BR140" s="3" t="str">
        <f t="shared" si="447"/>
        <v/>
      </c>
      <c r="BS140" s="3" t="str">
        <f t="shared" si="447"/>
        <v/>
      </c>
      <c r="BT140" s="3" t="str">
        <f t="shared" si="447"/>
        <v/>
      </c>
      <c r="BU140" s="3" t="str">
        <f t="shared" si="447"/>
        <v/>
      </c>
      <c r="BV140" s="3" t="str">
        <f t="shared" si="447"/>
        <v/>
      </c>
      <c r="BW140" s="3" t="str">
        <f t="shared" si="447"/>
        <v/>
      </c>
      <c r="BX140" s="3" t="str">
        <f t="shared" si="447"/>
        <v/>
      </c>
      <c r="BY140" s="3" t="str">
        <f t="shared" si="447"/>
        <v/>
      </c>
      <c r="BZ140" s="3" t="str">
        <f t="shared" si="447"/>
        <v/>
      </c>
      <c r="CA140" s="3" t="str">
        <f t="shared" si="447"/>
        <v/>
      </c>
      <c r="CB140" s="3" t="str">
        <f t="shared" ref="CB140" si="448">IF(AK140=0,"",ROUNDUP(AK135/AK140,0))</f>
        <v/>
      </c>
      <c r="CC140" s="3" t="str">
        <f t="shared" ref="CC140" si="449">IF(AL140=0,"",ROUNDUP(AL135/AL140,0))</f>
        <v/>
      </c>
    </row>
    <row r="141" spans="1:81" ht="17.100000000000001" customHeight="1">
      <c r="A141" s="174"/>
      <c r="B141" s="30" t="s">
        <v>24</v>
      </c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  <c r="AC141" s="39"/>
      <c r="AD141" s="39"/>
      <c r="AE141" s="39"/>
      <c r="AF141" s="39"/>
      <c r="AG141" s="39"/>
      <c r="AH141" s="39"/>
      <c r="AI141" s="39"/>
      <c r="AJ141" s="39"/>
      <c r="AK141" s="39"/>
      <c r="AL141" s="39"/>
      <c r="AM141" s="39"/>
      <c r="AN141" s="40" t="str">
        <f t="shared" si="441"/>
        <v/>
      </c>
      <c r="AO141" s="39"/>
      <c r="AP141" s="39"/>
      <c r="AQ141" s="42">
        <f t="shared" si="442"/>
        <v>0</v>
      </c>
      <c r="AR141" s="25">
        <f t="shared" si="443"/>
        <v>0</v>
      </c>
      <c r="AT141" s="3" t="str">
        <f t="shared" ref="AT141:CA141" si="450">IF(C141=0,"",ROUNDUP(C135/C141,0))</f>
        <v/>
      </c>
      <c r="AU141" s="3" t="str">
        <f t="shared" si="450"/>
        <v/>
      </c>
      <c r="AV141" s="3" t="str">
        <f t="shared" si="450"/>
        <v/>
      </c>
      <c r="AW141" s="3" t="str">
        <f t="shared" si="450"/>
        <v/>
      </c>
      <c r="AX141" s="3" t="str">
        <f t="shared" si="450"/>
        <v/>
      </c>
      <c r="AY141" s="3" t="str">
        <f t="shared" si="450"/>
        <v/>
      </c>
      <c r="AZ141" s="3" t="str">
        <f t="shared" si="450"/>
        <v/>
      </c>
      <c r="BA141" s="3" t="str">
        <f t="shared" si="450"/>
        <v/>
      </c>
      <c r="BB141" s="3" t="str">
        <f t="shared" si="450"/>
        <v/>
      </c>
      <c r="BC141" s="3" t="str">
        <f t="shared" si="450"/>
        <v/>
      </c>
      <c r="BD141" s="3" t="str">
        <f t="shared" si="450"/>
        <v/>
      </c>
      <c r="BE141" s="3" t="str">
        <f t="shared" si="450"/>
        <v/>
      </c>
      <c r="BF141" s="3" t="str">
        <f t="shared" si="450"/>
        <v/>
      </c>
      <c r="BG141" s="3" t="str">
        <f t="shared" si="450"/>
        <v/>
      </c>
      <c r="BH141" s="3" t="str">
        <f t="shared" si="450"/>
        <v/>
      </c>
      <c r="BI141" s="3" t="str">
        <f t="shared" si="450"/>
        <v/>
      </c>
      <c r="BJ141" s="3" t="str">
        <f t="shared" si="450"/>
        <v/>
      </c>
      <c r="BK141" s="3" t="str">
        <f t="shared" si="450"/>
        <v/>
      </c>
      <c r="BL141" s="3" t="str">
        <f t="shared" si="450"/>
        <v/>
      </c>
      <c r="BM141" s="3" t="str">
        <f t="shared" si="450"/>
        <v/>
      </c>
      <c r="BN141" s="3" t="str">
        <f t="shared" si="450"/>
        <v/>
      </c>
      <c r="BO141" s="3" t="str">
        <f t="shared" si="450"/>
        <v/>
      </c>
      <c r="BP141" s="3" t="str">
        <f t="shared" si="450"/>
        <v/>
      </c>
      <c r="BQ141" s="3" t="str">
        <f t="shared" si="450"/>
        <v/>
      </c>
      <c r="BR141" s="3" t="str">
        <f t="shared" si="450"/>
        <v/>
      </c>
      <c r="BS141" s="3" t="str">
        <f t="shared" si="450"/>
        <v/>
      </c>
      <c r="BT141" s="3" t="str">
        <f t="shared" si="450"/>
        <v/>
      </c>
      <c r="BU141" s="3" t="str">
        <f t="shared" si="450"/>
        <v/>
      </c>
      <c r="BV141" s="3" t="str">
        <f t="shared" si="450"/>
        <v/>
      </c>
      <c r="BW141" s="3" t="str">
        <f t="shared" si="450"/>
        <v/>
      </c>
      <c r="BX141" s="3" t="str">
        <f t="shared" si="450"/>
        <v/>
      </c>
      <c r="BY141" s="3" t="str">
        <f t="shared" si="450"/>
        <v/>
      </c>
      <c r="BZ141" s="3" t="str">
        <f t="shared" si="450"/>
        <v/>
      </c>
      <c r="CA141" s="3" t="str">
        <f t="shared" si="450"/>
        <v/>
      </c>
      <c r="CB141" s="3" t="str">
        <f t="shared" ref="CB141" si="451">IF(AK141=0,"",ROUNDUP(AK135/AK141,0))</f>
        <v/>
      </c>
      <c r="CC141" s="3" t="str">
        <f t="shared" ref="CC141" si="452">IF(AL141=0,"",ROUNDUP(AL135/AL141,0))</f>
        <v/>
      </c>
    </row>
    <row r="142" spans="1:81" ht="17.100000000000001" customHeight="1">
      <c r="A142" s="174"/>
      <c r="B142" s="30" t="s">
        <v>25</v>
      </c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39"/>
      <c r="AA142" s="39"/>
      <c r="AB142" s="39"/>
      <c r="AC142" s="39"/>
      <c r="AD142" s="39"/>
      <c r="AE142" s="39"/>
      <c r="AF142" s="39"/>
      <c r="AG142" s="39"/>
      <c r="AH142" s="39"/>
      <c r="AI142" s="39"/>
      <c r="AJ142" s="39"/>
      <c r="AK142" s="39"/>
      <c r="AL142" s="39"/>
      <c r="AM142" s="39"/>
      <c r="AN142" s="40" t="str">
        <f t="shared" si="441"/>
        <v/>
      </c>
      <c r="AO142" s="39"/>
      <c r="AP142" s="39"/>
      <c r="AQ142" s="42">
        <f t="shared" si="442"/>
        <v>0</v>
      </c>
      <c r="AR142" s="25">
        <f t="shared" si="443"/>
        <v>0</v>
      </c>
      <c r="AT142" s="3" t="str">
        <f t="shared" ref="AT142:CA142" si="453">IF(C142=0,"",ROUNDUP(C135/C142,0))</f>
        <v/>
      </c>
      <c r="AU142" s="3" t="str">
        <f t="shared" si="453"/>
        <v/>
      </c>
      <c r="AV142" s="3" t="str">
        <f t="shared" si="453"/>
        <v/>
      </c>
      <c r="AW142" s="3" t="str">
        <f t="shared" si="453"/>
        <v/>
      </c>
      <c r="AX142" s="3" t="str">
        <f t="shared" si="453"/>
        <v/>
      </c>
      <c r="AY142" s="3" t="str">
        <f t="shared" si="453"/>
        <v/>
      </c>
      <c r="AZ142" s="3" t="str">
        <f t="shared" si="453"/>
        <v/>
      </c>
      <c r="BA142" s="3" t="str">
        <f t="shared" si="453"/>
        <v/>
      </c>
      <c r="BB142" s="3" t="str">
        <f t="shared" si="453"/>
        <v/>
      </c>
      <c r="BC142" s="3" t="str">
        <f t="shared" si="453"/>
        <v/>
      </c>
      <c r="BD142" s="3" t="str">
        <f t="shared" si="453"/>
        <v/>
      </c>
      <c r="BE142" s="3" t="str">
        <f t="shared" si="453"/>
        <v/>
      </c>
      <c r="BF142" s="3" t="str">
        <f t="shared" si="453"/>
        <v/>
      </c>
      <c r="BG142" s="3" t="str">
        <f t="shared" si="453"/>
        <v/>
      </c>
      <c r="BH142" s="3" t="str">
        <f t="shared" si="453"/>
        <v/>
      </c>
      <c r="BI142" s="3" t="str">
        <f t="shared" si="453"/>
        <v/>
      </c>
      <c r="BJ142" s="3" t="str">
        <f t="shared" si="453"/>
        <v/>
      </c>
      <c r="BK142" s="3" t="str">
        <f t="shared" si="453"/>
        <v/>
      </c>
      <c r="BL142" s="3" t="str">
        <f t="shared" si="453"/>
        <v/>
      </c>
      <c r="BM142" s="3" t="str">
        <f t="shared" si="453"/>
        <v/>
      </c>
      <c r="BN142" s="3" t="str">
        <f t="shared" si="453"/>
        <v/>
      </c>
      <c r="BO142" s="3" t="str">
        <f t="shared" si="453"/>
        <v/>
      </c>
      <c r="BP142" s="3" t="str">
        <f t="shared" si="453"/>
        <v/>
      </c>
      <c r="BQ142" s="3" t="str">
        <f t="shared" si="453"/>
        <v/>
      </c>
      <c r="BR142" s="3" t="str">
        <f t="shared" si="453"/>
        <v/>
      </c>
      <c r="BS142" s="3" t="str">
        <f t="shared" si="453"/>
        <v/>
      </c>
      <c r="BT142" s="3" t="str">
        <f t="shared" si="453"/>
        <v/>
      </c>
      <c r="BU142" s="3" t="str">
        <f t="shared" si="453"/>
        <v/>
      </c>
      <c r="BV142" s="3" t="str">
        <f t="shared" si="453"/>
        <v/>
      </c>
      <c r="BW142" s="3" t="str">
        <f t="shared" si="453"/>
        <v/>
      </c>
      <c r="BX142" s="3" t="str">
        <f t="shared" si="453"/>
        <v/>
      </c>
      <c r="BY142" s="3" t="str">
        <f t="shared" si="453"/>
        <v/>
      </c>
      <c r="BZ142" s="3" t="str">
        <f t="shared" si="453"/>
        <v/>
      </c>
      <c r="CA142" s="3" t="str">
        <f t="shared" si="453"/>
        <v/>
      </c>
      <c r="CB142" s="3" t="str">
        <f t="shared" ref="CB142" si="454">IF(AK142=0,"",ROUNDUP(AK135/AK142,0))</f>
        <v/>
      </c>
      <c r="CC142" s="3" t="str">
        <f t="shared" ref="CC142" si="455">IF(AL142=0,"",ROUNDUP(AL135/AL142,0))</f>
        <v/>
      </c>
    </row>
    <row r="143" spans="1:81" ht="17.100000000000001" customHeight="1">
      <c r="A143" s="174"/>
      <c r="B143" s="30" t="s">
        <v>26</v>
      </c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39"/>
      <c r="Z143" s="39"/>
      <c r="AA143" s="39"/>
      <c r="AB143" s="39"/>
      <c r="AC143" s="39"/>
      <c r="AD143" s="39"/>
      <c r="AE143" s="39"/>
      <c r="AF143" s="39"/>
      <c r="AG143" s="39"/>
      <c r="AH143" s="39"/>
      <c r="AI143" s="39"/>
      <c r="AJ143" s="39"/>
      <c r="AK143" s="39"/>
      <c r="AL143" s="39"/>
      <c r="AM143" s="39"/>
      <c r="AN143" s="40" t="str">
        <f>IF(AM143="","",SUM(C143:AL143)*AM143)</f>
        <v/>
      </c>
      <c r="AO143" s="39"/>
      <c r="AP143" s="39"/>
      <c r="AQ143" s="42">
        <f t="shared" si="442"/>
        <v>0</v>
      </c>
      <c r="AR143" s="25">
        <f t="shared" si="443"/>
        <v>0</v>
      </c>
      <c r="AT143" s="3" t="str">
        <f t="shared" ref="AT143:CA143" si="456">IF(C143=0,"",ROUNDUP(C135/C143,0))</f>
        <v/>
      </c>
      <c r="AU143" s="3" t="str">
        <f t="shared" si="456"/>
        <v/>
      </c>
      <c r="AV143" s="3" t="str">
        <f t="shared" si="456"/>
        <v/>
      </c>
      <c r="AW143" s="3" t="str">
        <f t="shared" si="456"/>
        <v/>
      </c>
      <c r="AX143" s="3" t="str">
        <f t="shared" si="456"/>
        <v/>
      </c>
      <c r="AY143" s="3" t="str">
        <f t="shared" si="456"/>
        <v/>
      </c>
      <c r="AZ143" s="3" t="str">
        <f t="shared" si="456"/>
        <v/>
      </c>
      <c r="BA143" s="3" t="str">
        <f t="shared" si="456"/>
        <v/>
      </c>
      <c r="BB143" s="3" t="str">
        <f t="shared" si="456"/>
        <v/>
      </c>
      <c r="BC143" s="3" t="str">
        <f t="shared" si="456"/>
        <v/>
      </c>
      <c r="BD143" s="3" t="str">
        <f t="shared" si="456"/>
        <v/>
      </c>
      <c r="BE143" s="3" t="str">
        <f t="shared" si="456"/>
        <v/>
      </c>
      <c r="BF143" s="3" t="str">
        <f t="shared" si="456"/>
        <v/>
      </c>
      <c r="BG143" s="3" t="str">
        <f t="shared" si="456"/>
        <v/>
      </c>
      <c r="BH143" s="3" t="str">
        <f t="shared" si="456"/>
        <v/>
      </c>
      <c r="BI143" s="3" t="str">
        <f t="shared" si="456"/>
        <v/>
      </c>
      <c r="BJ143" s="3" t="str">
        <f t="shared" si="456"/>
        <v/>
      </c>
      <c r="BK143" s="3" t="str">
        <f t="shared" si="456"/>
        <v/>
      </c>
      <c r="BL143" s="3" t="str">
        <f t="shared" si="456"/>
        <v/>
      </c>
      <c r="BM143" s="3" t="str">
        <f t="shared" si="456"/>
        <v/>
      </c>
      <c r="BN143" s="3" t="str">
        <f t="shared" si="456"/>
        <v/>
      </c>
      <c r="BO143" s="3" t="str">
        <f t="shared" si="456"/>
        <v/>
      </c>
      <c r="BP143" s="3" t="str">
        <f t="shared" si="456"/>
        <v/>
      </c>
      <c r="BQ143" s="3" t="str">
        <f t="shared" si="456"/>
        <v/>
      </c>
      <c r="BR143" s="3" t="str">
        <f t="shared" si="456"/>
        <v/>
      </c>
      <c r="BS143" s="3" t="str">
        <f t="shared" si="456"/>
        <v/>
      </c>
      <c r="BT143" s="3" t="str">
        <f t="shared" si="456"/>
        <v/>
      </c>
      <c r="BU143" s="3" t="str">
        <f t="shared" si="456"/>
        <v/>
      </c>
      <c r="BV143" s="3" t="str">
        <f t="shared" si="456"/>
        <v/>
      </c>
      <c r="BW143" s="3" t="str">
        <f t="shared" si="456"/>
        <v/>
      </c>
      <c r="BX143" s="3" t="str">
        <f t="shared" si="456"/>
        <v/>
      </c>
      <c r="BY143" s="3" t="str">
        <f t="shared" si="456"/>
        <v/>
      </c>
      <c r="BZ143" s="3" t="str">
        <f t="shared" si="456"/>
        <v/>
      </c>
      <c r="CA143" s="3" t="str">
        <f t="shared" si="456"/>
        <v/>
      </c>
      <c r="CB143" s="3" t="str">
        <f t="shared" ref="CB143" si="457">IF(AK143=0,"",ROUNDUP(AK135/AK143,0))</f>
        <v/>
      </c>
      <c r="CC143" s="3" t="str">
        <f t="shared" ref="CC143" si="458">IF(AL143=0,"",ROUNDUP(AL135/AL143,0))</f>
        <v/>
      </c>
    </row>
    <row r="144" spans="1:81" ht="17.100000000000001" customHeight="1">
      <c r="A144" s="174"/>
      <c r="B144" s="30" t="s">
        <v>27</v>
      </c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9"/>
      <c r="X144" s="39"/>
      <c r="Y144" s="39"/>
      <c r="Z144" s="39"/>
      <c r="AA144" s="39"/>
      <c r="AB144" s="39"/>
      <c r="AC144" s="39"/>
      <c r="AD144" s="39"/>
      <c r="AE144" s="39"/>
      <c r="AF144" s="39"/>
      <c r="AG144" s="39"/>
      <c r="AH144" s="39"/>
      <c r="AI144" s="39"/>
      <c r="AJ144" s="39"/>
      <c r="AK144" s="39"/>
      <c r="AL144" s="39"/>
      <c r="AM144" s="39"/>
      <c r="AN144" s="40" t="str">
        <f t="shared" si="441"/>
        <v/>
      </c>
      <c r="AO144" s="39"/>
      <c r="AP144" s="39"/>
      <c r="AQ144" s="42">
        <f t="shared" si="442"/>
        <v>0</v>
      </c>
      <c r="AR144" s="25">
        <f t="shared" si="443"/>
        <v>0</v>
      </c>
      <c r="AT144" s="3" t="str">
        <f t="shared" ref="AT144:CA144" si="459">IF(C144=0,"",ROUNDUP(C135/C144,0))</f>
        <v/>
      </c>
      <c r="AU144" s="3" t="str">
        <f t="shared" si="459"/>
        <v/>
      </c>
      <c r="AV144" s="3" t="str">
        <f t="shared" si="459"/>
        <v/>
      </c>
      <c r="AW144" s="3" t="str">
        <f t="shared" si="459"/>
        <v/>
      </c>
      <c r="AX144" s="3" t="str">
        <f t="shared" si="459"/>
        <v/>
      </c>
      <c r="AY144" s="3" t="str">
        <f t="shared" si="459"/>
        <v/>
      </c>
      <c r="AZ144" s="3" t="str">
        <f t="shared" si="459"/>
        <v/>
      </c>
      <c r="BA144" s="3" t="str">
        <f t="shared" si="459"/>
        <v/>
      </c>
      <c r="BB144" s="3" t="str">
        <f t="shared" si="459"/>
        <v/>
      </c>
      <c r="BC144" s="3" t="str">
        <f t="shared" si="459"/>
        <v/>
      </c>
      <c r="BD144" s="3" t="str">
        <f t="shared" si="459"/>
        <v/>
      </c>
      <c r="BE144" s="3" t="str">
        <f t="shared" si="459"/>
        <v/>
      </c>
      <c r="BF144" s="3" t="str">
        <f t="shared" si="459"/>
        <v/>
      </c>
      <c r="BG144" s="3" t="str">
        <f t="shared" si="459"/>
        <v/>
      </c>
      <c r="BH144" s="3" t="str">
        <f t="shared" si="459"/>
        <v/>
      </c>
      <c r="BI144" s="3" t="str">
        <f t="shared" si="459"/>
        <v/>
      </c>
      <c r="BJ144" s="3" t="str">
        <f t="shared" si="459"/>
        <v/>
      </c>
      <c r="BK144" s="3" t="str">
        <f t="shared" si="459"/>
        <v/>
      </c>
      <c r="BL144" s="3" t="str">
        <f t="shared" si="459"/>
        <v/>
      </c>
      <c r="BM144" s="3" t="str">
        <f t="shared" si="459"/>
        <v/>
      </c>
      <c r="BN144" s="3" t="str">
        <f t="shared" si="459"/>
        <v/>
      </c>
      <c r="BO144" s="3" t="str">
        <f t="shared" si="459"/>
        <v/>
      </c>
      <c r="BP144" s="3" t="str">
        <f t="shared" si="459"/>
        <v/>
      </c>
      <c r="BQ144" s="3" t="str">
        <f t="shared" si="459"/>
        <v/>
      </c>
      <c r="BR144" s="3" t="str">
        <f t="shared" si="459"/>
        <v/>
      </c>
      <c r="BS144" s="3" t="str">
        <f t="shared" si="459"/>
        <v/>
      </c>
      <c r="BT144" s="3" t="str">
        <f t="shared" si="459"/>
        <v/>
      </c>
      <c r="BU144" s="3" t="str">
        <f t="shared" si="459"/>
        <v/>
      </c>
      <c r="BV144" s="3" t="str">
        <f t="shared" si="459"/>
        <v/>
      </c>
      <c r="BW144" s="3" t="str">
        <f t="shared" si="459"/>
        <v/>
      </c>
      <c r="BX144" s="3" t="str">
        <f t="shared" si="459"/>
        <v/>
      </c>
      <c r="BY144" s="3" t="str">
        <f t="shared" si="459"/>
        <v/>
      </c>
      <c r="BZ144" s="3" t="str">
        <f t="shared" si="459"/>
        <v/>
      </c>
      <c r="CA144" s="3" t="str">
        <f t="shared" si="459"/>
        <v/>
      </c>
      <c r="CB144" s="3" t="str">
        <f t="shared" ref="CB144" si="460">IF(AK144=0,"",ROUNDUP(AK135/AK144,0))</f>
        <v/>
      </c>
      <c r="CC144" s="3" t="str">
        <f t="shared" ref="CC144" si="461">IF(AL144=0,"",ROUNDUP(AL135/AL144,0))</f>
        <v/>
      </c>
    </row>
    <row r="145" spans="1:81" ht="17.100000000000001" customHeight="1">
      <c r="A145" s="175"/>
      <c r="B145" s="30" t="s">
        <v>28</v>
      </c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39"/>
      <c r="Z145" s="39"/>
      <c r="AA145" s="39"/>
      <c r="AB145" s="39"/>
      <c r="AC145" s="39"/>
      <c r="AD145" s="39"/>
      <c r="AE145" s="39"/>
      <c r="AF145" s="39"/>
      <c r="AG145" s="39"/>
      <c r="AH145" s="39"/>
      <c r="AI145" s="39"/>
      <c r="AJ145" s="39"/>
      <c r="AK145" s="39"/>
      <c r="AL145" s="39"/>
      <c r="AM145" s="39"/>
      <c r="AN145" s="41" t="str">
        <f t="shared" si="441"/>
        <v/>
      </c>
      <c r="AO145" s="39"/>
      <c r="AP145" s="39"/>
      <c r="AQ145" s="42">
        <f t="shared" si="442"/>
        <v>0</v>
      </c>
      <c r="AR145" s="25">
        <f t="shared" si="443"/>
        <v>0</v>
      </c>
      <c r="AT145" s="3" t="str">
        <f t="shared" ref="AT145:CA145" si="462">IF(C145=0,"",ROUNDUP(C135/C145,0))</f>
        <v/>
      </c>
      <c r="AU145" s="3" t="str">
        <f t="shared" si="462"/>
        <v/>
      </c>
      <c r="AV145" s="3" t="str">
        <f t="shared" si="462"/>
        <v/>
      </c>
      <c r="AW145" s="3" t="str">
        <f t="shared" si="462"/>
        <v/>
      </c>
      <c r="AX145" s="3" t="str">
        <f t="shared" si="462"/>
        <v/>
      </c>
      <c r="AY145" s="3" t="str">
        <f t="shared" si="462"/>
        <v/>
      </c>
      <c r="AZ145" s="3" t="str">
        <f t="shared" si="462"/>
        <v/>
      </c>
      <c r="BA145" s="3" t="str">
        <f t="shared" si="462"/>
        <v/>
      </c>
      <c r="BB145" s="3" t="str">
        <f t="shared" si="462"/>
        <v/>
      </c>
      <c r="BC145" s="3" t="str">
        <f t="shared" si="462"/>
        <v/>
      </c>
      <c r="BD145" s="3" t="str">
        <f t="shared" si="462"/>
        <v/>
      </c>
      <c r="BE145" s="3" t="str">
        <f t="shared" si="462"/>
        <v/>
      </c>
      <c r="BF145" s="3" t="str">
        <f t="shared" si="462"/>
        <v/>
      </c>
      <c r="BG145" s="3" t="str">
        <f t="shared" si="462"/>
        <v/>
      </c>
      <c r="BH145" s="3" t="str">
        <f t="shared" si="462"/>
        <v/>
      </c>
      <c r="BI145" s="3" t="str">
        <f t="shared" si="462"/>
        <v/>
      </c>
      <c r="BJ145" s="3" t="str">
        <f t="shared" si="462"/>
        <v/>
      </c>
      <c r="BK145" s="3" t="str">
        <f t="shared" si="462"/>
        <v/>
      </c>
      <c r="BL145" s="3" t="str">
        <f t="shared" si="462"/>
        <v/>
      </c>
      <c r="BM145" s="3" t="str">
        <f t="shared" si="462"/>
        <v/>
      </c>
      <c r="BN145" s="3" t="str">
        <f t="shared" si="462"/>
        <v/>
      </c>
      <c r="BO145" s="3" t="str">
        <f t="shared" si="462"/>
        <v/>
      </c>
      <c r="BP145" s="3" t="str">
        <f t="shared" si="462"/>
        <v/>
      </c>
      <c r="BQ145" s="3" t="str">
        <f t="shared" si="462"/>
        <v/>
      </c>
      <c r="BR145" s="3" t="str">
        <f t="shared" si="462"/>
        <v/>
      </c>
      <c r="BS145" s="3" t="str">
        <f t="shared" si="462"/>
        <v/>
      </c>
      <c r="BT145" s="3" t="str">
        <f t="shared" si="462"/>
        <v/>
      </c>
      <c r="BU145" s="3" t="str">
        <f t="shared" si="462"/>
        <v/>
      </c>
      <c r="BV145" s="3" t="str">
        <f t="shared" si="462"/>
        <v/>
      </c>
      <c r="BW145" s="3" t="str">
        <f t="shared" si="462"/>
        <v/>
      </c>
      <c r="BX145" s="3" t="str">
        <f t="shared" si="462"/>
        <v/>
      </c>
      <c r="BY145" s="3" t="str">
        <f t="shared" si="462"/>
        <v/>
      </c>
      <c r="BZ145" s="3" t="str">
        <f t="shared" si="462"/>
        <v/>
      </c>
      <c r="CA145" s="3" t="str">
        <f t="shared" si="462"/>
        <v/>
      </c>
      <c r="CB145" s="3" t="str">
        <f t="shared" ref="CB145" si="463">IF(AK145=0,"",ROUNDUP(AK135/AK145,0))</f>
        <v/>
      </c>
      <c r="CC145" s="3" t="str">
        <f t="shared" ref="CC145" si="464">IF(AL145=0,"",ROUNDUP(AL135/AL145,0))</f>
        <v/>
      </c>
    </row>
    <row r="146" spans="1:81" ht="17.100000000000001" customHeight="1" thickBot="1">
      <c r="AN146" s="7">
        <f>SUM(AN138:AN145)</f>
        <v>0</v>
      </c>
      <c r="AQ146" s="12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ht="21.95" customHeight="1" thickBot="1">
      <c r="A147" s="201">
        <v>10</v>
      </c>
      <c r="B147" s="202"/>
      <c r="C147" s="203"/>
      <c r="AQ147" s="12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ht="17.100000000000001" customHeight="1">
      <c r="A148" s="51" t="s">
        <v>29</v>
      </c>
      <c r="B148" s="50"/>
      <c r="C148" s="147" t="s">
        <v>10</v>
      </c>
      <c r="D148" s="148"/>
      <c r="E148" s="148"/>
      <c r="F148" s="148"/>
      <c r="G148" s="148"/>
      <c r="H148" s="148"/>
      <c r="I148" s="148"/>
      <c r="J148" s="148"/>
      <c r="K148" s="148"/>
      <c r="L148" s="148"/>
      <c r="M148" s="148"/>
      <c r="N148" s="148"/>
      <c r="O148" s="148"/>
      <c r="P148" s="148"/>
      <c r="Q148" s="148"/>
      <c r="R148" s="148"/>
      <c r="S148" s="148"/>
      <c r="T148" s="148"/>
      <c r="U148" s="148"/>
      <c r="V148" s="148"/>
      <c r="W148" s="148"/>
      <c r="X148" s="148"/>
      <c r="Y148" s="148"/>
      <c r="Z148" s="148"/>
      <c r="AA148" s="148"/>
      <c r="AB148" s="148"/>
      <c r="AC148" s="148"/>
      <c r="AD148" s="148"/>
      <c r="AE148" s="148"/>
      <c r="AF148" s="148"/>
      <c r="AG148" s="148"/>
      <c r="AH148" s="148"/>
      <c r="AI148" s="148"/>
      <c r="AJ148" s="148"/>
      <c r="AK148" s="148"/>
      <c r="AL148" s="148"/>
      <c r="AM148" s="10"/>
      <c r="AN148" s="31"/>
      <c r="AO148" s="35" t="s">
        <v>4</v>
      </c>
      <c r="AP148" s="149"/>
      <c r="AQ148" s="150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ht="27">
      <c r="A149" s="52" t="s">
        <v>36</v>
      </c>
      <c r="B149" s="50"/>
      <c r="C149" s="26" t="str">
        <f>IF(C133=0,"",IF(C133&gt;0,C133))</f>
        <v/>
      </c>
      <c r="D149" s="26" t="str">
        <f t="shared" ref="D149:AL149" si="465">IF(D133=0,"",IF(D133&gt;0,D133))</f>
        <v/>
      </c>
      <c r="E149" s="26" t="str">
        <f t="shared" si="465"/>
        <v/>
      </c>
      <c r="F149" s="26" t="str">
        <f t="shared" si="465"/>
        <v/>
      </c>
      <c r="G149" s="26" t="str">
        <f t="shared" si="465"/>
        <v/>
      </c>
      <c r="H149" s="26" t="str">
        <f t="shared" si="465"/>
        <v/>
      </c>
      <c r="I149" s="26" t="str">
        <f t="shared" si="465"/>
        <v/>
      </c>
      <c r="J149" s="26" t="str">
        <f t="shared" si="465"/>
        <v/>
      </c>
      <c r="K149" s="26" t="str">
        <f t="shared" si="465"/>
        <v/>
      </c>
      <c r="L149" s="26" t="str">
        <f t="shared" si="465"/>
        <v/>
      </c>
      <c r="M149" s="26" t="str">
        <f t="shared" si="465"/>
        <v/>
      </c>
      <c r="N149" s="26" t="str">
        <f t="shared" si="465"/>
        <v/>
      </c>
      <c r="O149" s="26" t="str">
        <f t="shared" si="465"/>
        <v/>
      </c>
      <c r="P149" s="26" t="str">
        <f t="shared" si="465"/>
        <v/>
      </c>
      <c r="Q149" s="26" t="str">
        <f t="shared" si="465"/>
        <v/>
      </c>
      <c r="R149" s="26" t="str">
        <f t="shared" si="465"/>
        <v/>
      </c>
      <c r="S149" s="26" t="str">
        <f t="shared" si="465"/>
        <v/>
      </c>
      <c r="T149" s="26" t="str">
        <f t="shared" si="465"/>
        <v/>
      </c>
      <c r="U149" s="26" t="str">
        <f t="shared" si="465"/>
        <v/>
      </c>
      <c r="V149" s="26" t="str">
        <f t="shared" si="465"/>
        <v/>
      </c>
      <c r="W149" s="26" t="str">
        <f t="shared" si="465"/>
        <v/>
      </c>
      <c r="X149" s="26" t="str">
        <f t="shared" si="465"/>
        <v/>
      </c>
      <c r="Y149" s="26" t="str">
        <f t="shared" si="465"/>
        <v/>
      </c>
      <c r="Z149" s="26" t="str">
        <f t="shared" si="465"/>
        <v/>
      </c>
      <c r="AA149" s="26" t="str">
        <f t="shared" si="465"/>
        <v/>
      </c>
      <c r="AB149" s="26" t="str">
        <f t="shared" si="465"/>
        <v/>
      </c>
      <c r="AC149" s="26" t="str">
        <f t="shared" si="465"/>
        <v/>
      </c>
      <c r="AD149" s="26" t="str">
        <f t="shared" si="465"/>
        <v/>
      </c>
      <c r="AE149" s="26" t="str">
        <f t="shared" si="465"/>
        <v/>
      </c>
      <c r="AF149" s="26" t="str">
        <f t="shared" si="465"/>
        <v/>
      </c>
      <c r="AG149" s="26" t="str">
        <f t="shared" si="465"/>
        <v/>
      </c>
      <c r="AH149" s="26" t="str">
        <f t="shared" si="465"/>
        <v/>
      </c>
      <c r="AI149" s="26" t="str">
        <f t="shared" si="465"/>
        <v/>
      </c>
      <c r="AJ149" s="26" t="str">
        <f t="shared" si="465"/>
        <v/>
      </c>
      <c r="AK149" s="26" t="str">
        <f t="shared" si="465"/>
        <v/>
      </c>
      <c r="AL149" s="26" t="str">
        <f t="shared" si="465"/>
        <v/>
      </c>
      <c r="AM149" s="5" t="s">
        <v>2</v>
      </c>
      <c r="AN149" s="31"/>
      <c r="AO149" s="32" t="s">
        <v>5</v>
      </c>
      <c r="AP149" s="151">
        <f>SUM(AQ154:AQ161)</f>
        <v>0</v>
      </c>
      <c r="AQ149" s="151"/>
      <c r="AT149" s="2" t="str">
        <f t="shared" ref="AT149:BY149" si="466">IF(C149=0,"",IF(C149&gt;0,C149))</f>
        <v/>
      </c>
      <c r="AU149" s="2" t="str">
        <f t="shared" si="466"/>
        <v/>
      </c>
      <c r="AV149" s="2" t="str">
        <f t="shared" si="466"/>
        <v/>
      </c>
      <c r="AW149" s="2" t="str">
        <f t="shared" si="466"/>
        <v/>
      </c>
      <c r="AX149" s="2" t="str">
        <f t="shared" si="466"/>
        <v/>
      </c>
      <c r="AY149" s="2" t="str">
        <f t="shared" si="466"/>
        <v/>
      </c>
      <c r="AZ149" s="2" t="str">
        <f t="shared" si="466"/>
        <v/>
      </c>
      <c r="BA149" s="2" t="str">
        <f t="shared" si="466"/>
        <v/>
      </c>
      <c r="BB149" s="2" t="str">
        <f t="shared" si="466"/>
        <v/>
      </c>
      <c r="BC149" s="2" t="str">
        <f t="shared" si="466"/>
        <v/>
      </c>
      <c r="BD149" s="2" t="str">
        <f t="shared" si="466"/>
        <v/>
      </c>
      <c r="BE149" s="2" t="str">
        <f t="shared" si="466"/>
        <v/>
      </c>
      <c r="BF149" s="2" t="str">
        <f t="shared" si="466"/>
        <v/>
      </c>
      <c r="BG149" s="2" t="str">
        <f t="shared" si="466"/>
        <v/>
      </c>
      <c r="BH149" s="2" t="str">
        <f t="shared" si="466"/>
        <v/>
      </c>
      <c r="BI149" s="2" t="str">
        <f t="shared" si="466"/>
        <v/>
      </c>
      <c r="BJ149" s="2" t="str">
        <f t="shared" si="466"/>
        <v/>
      </c>
      <c r="BK149" s="2" t="str">
        <f t="shared" si="466"/>
        <v/>
      </c>
      <c r="BL149" s="2" t="str">
        <f t="shared" si="466"/>
        <v/>
      </c>
      <c r="BM149" s="2" t="str">
        <f t="shared" si="466"/>
        <v/>
      </c>
      <c r="BN149" s="2" t="str">
        <f t="shared" si="466"/>
        <v/>
      </c>
      <c r="BO149" s="2" t="str">
        <f t="shared" si="466"/>
        <v/>
      </c>
      <c r="BP149" s="2" t="str">
        <f t="shared" si="466"/>
        <v/>
      </c>
      <c r="BQ149" s="2" t="str">
        <f t="shared" si="466"/>
        <v/>
      </c>
      <c r="BR149" s="2" t="str">
        <f t="shared" si="466"/>
        <v/>
      </c>
      <c r="BS149" s="2" t="str">
        <f t="shared" si="466"/>
        <v/>
      </c>
      <c r="BT149" s="2" t="str">
        <f t="shared" si="466"/>
        <v/>
      </c>
      <c r="BU149" s="2" t="str">
        <f t="shared" si="466"/>
        <v/>
      </c>
      <c r="BV149" s="2" t="str">
        <f t="shared" si="466"/>
        <v/>
      </c>
      <c r="BW149" s="2" t="str">
        <f t="shared" si="466"/>
        <v/>
      </c>
      <c r="BX149" s="2" t="str">
        <f t="shared" si="466"/>
        <v/>
      </c>
      <c r="BY149" s="2" t="str">
        <f t="shared" si="466"/>
        <v/>
      </c>
      <c r="BZ149" s="2" t="str">
        <f t="shared" ref="BZ149" si="467">IF(AI149=0,"",IF(AI149&gt;0,AI149))</f>
        <v/>
      </c>
      <c r="CA149" s="2" t="str">
        <f t="shared" ref="CA149" si="468">IF(AJ149=0,"",IF(AJ149&gt;0,AJ149))</f>
        <v/>
      </c>
      <c r="CB149" s="2" t="str">
        <f t="shared" ref="CB149" si="469">IF(AK149=0,"",IF(AK149&gt;0,AK149))</f>
        <v/>
      </c>
      <c r="CC149" s="2" t="str">
        <f t="shared" ref="CC149" si="470">IF(AL149=0,"",IF(AL149&gt;0,AL149))</f>
        <v/>
      </c>
    </row>
    <row r="150" spans="1:81" ht="17.100000000000001" customHeight="1">
      <c r="A150" s="152" t="s">
        <v>30</v>
      </c>
      <c r="B150" s="153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6"/>
      <c r="AJ150" s="46"/>
      <c r="AK150" s="46"/>
      <c r="AL150" s="46"/>
      <c r="AM150" s="45">
        <f>SUM(C150:AL150)</f>
        <v>0</v>
      </c>
      <c r="AN150" s="33"/>
      <c r="AO150" s="34" t="str">
        <f>IF(AP150&lt;5,"NO ",IF(AP150=5,"ok",IF(AP150&gt;5,"ok")))</f>
        <v xml:space="preserve">NO </v>
      </c>
      <c r="AP150" s="154">
        <f>AP148-AP149-AP151</f>
        <v>0</v>
      </c>
      <c r="AQ150" s="154"/>
      <c r="AR150" s="16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</row>
    <row r="151" spans="1:81" ht="17.100000000000001" customHeight="1">
      <c r="A151" s="152"/>
      <c r="B151" s="153"/>
      <c r="C151" s="47" t="str">
        <f>IF(C149="","",C150-C154*$AM154-C155*$AM155-C156*$AM156-C157*$AM157-C158*$AM158-C159*$AM159-C160*$AM160-C161*$AM161)</f>
        <v/>
      </c>
      <c r="D151" s="47" t="str">
        <f t="shared" ref="D151" si="471">IF(D149="","",D150-D154*$AM154-D155*$AM155-D156*$AM156-D157*$AM157-D158*$AM158-D159*$AM159-D160*$AM160-D161*$AM161)</f>
        <v/>
      </c>
      <c r="E151" s="47" t="str">
        <f t="shared" ref="E151" si="472">IF(E149="","",E150-E154*$AM154-E155*$AM155-E156*$AM156-E157*$AM157-E158*$AM158-E159*$AM159-E160*$AM160-E161*$AM161)</f>
        <v/>
      </c>
      <c r="F151" s="47" t="str">
        <f t="shared" ref="F151" si="473">IF(F149="","",F150-F154*$AM154-F155*$AM155-F156*$AM156-F157*$AM157-F158*$AM158-F159*$AM159-F160*$AM160-F161*$AM161)</f>
        <v/>
      </c>
      <c r="G151" s="47" t="str">
        <f t="shared" ref="G151" si="474">IF(G149="","",G150-G154*$AM154-G155*$AM155-G156*$AM156-G157*$AM157-G158*$AM158-G159*$AM159-G160*$AM160-G161*$AM161)</f>
        <v/>
      </c>
      <c r="H151" s="47" t="str">
        <f t="shared" ref="H151" si="475">IF(H149="","",H150-H154*$AM154-H155*$AM155-H156*$AM156-H157*$AM157-H158*$AM158-H159*$AM159-H160*$AM160-H161*$AM161)</f>
        <v/>
      </c>
      <c r="I151" s="47" t="str">
        <f t="shared" ref="I151" si="476">IF(I149="","",I150-I154*$AM154-I155*$AM155-I156*$AM156-I157*$AM157-I158*$AM158-I159*$AM159-I160*$AM160-I161*$AM161)</f>
        <v/>
      </c>
      <c r="J151" s="47" t="str">
        <f t="shared" ref="J151" si="477">IF(J149="","",J150-J154*$AM154-J155*$AM155-J156*$AM156-J157*$AM157-J158*$AM158-J159*$AM159-J160*$AM160-J161*$AM161)</f>
        <v/>
      </c>
      <c r="K151" s="47" t="str">
        <f t="shared" ref="K151" si="478">IF(K149="","",K150-K154*$AM154-K155*$AM155-K156*$AM156-K157*$AM157-K158*$AM158-K159*$AM159-K160*$AM160-K161*$AM161)</f>
        <v/>
      </c>
      <c r="L151" s="47" t="str">
        <f t="shared" ref="L151" si="479">IF(L149="","",L150-L154*$AM154-L155*$AM155-L156*$AM156-L157*$AM157-L158*$AM158-L159*$AM159-L160*$AM160-L161*$AM161)</f>
        <v/>
      </c>
      <c r="M151" s="47" t="str">
        <f t="shared" ref="M151" si="480">IF(M149="","",M150-M154*$AM154-M155*$AM155-M156*$AM156-M157*$AM157-M158*$AM158-M159*$AM159-M160*$AM160-M161*$AM161)</f>
        <v/>
      </c>
      <c r="N151" s="47" t="str">
        <f t="shared" ref="N151" si="481">IF(N149="","",N150-N154*$AM154-N155*$AM155-N156*$AM156-N157*$AM157-N158*$AM158-N159*$AM159-N160*$AM160-N161*$AM161)</f>
        <v/>
      </c>
      <c r="O151" s="47" t="str">
        <f t="shared" ref="O151" si="482">IF(O149="","",O150-O154*$AM154-O155*$AM155-O156*$AM156-O157*$AM157-O158*$AM158-O159*$AM159-O160*$AM160-O161*$AM161)</f>
        <v/>
      </c>
      <c r="P151" s="47" t="str">
        <f t="shared" ref="P151" si="483">IF(P149="","",P150-P154*$AM154-P155*$AM155-P156*$AM156-P157*$AM157-P158*$AM158-P159*$AM159-P160*$AM160-P161*$AM161)</f>
        <v/>
      </c>
      <c r="Q151" s="47" t="str">
        <f t="shared" ref="Q151" si="484">IF(Q149="","",Q150-Q154*$AM154-Q155*$AM155-Q156*$AM156-Q157*$AM157-Q158*$AM158-Q159*$AM159-Q160*$AM160-Q161*$AM161)</f>
        <v/>
      </c>
      <c r="R151" s="47" t="str">
        <f t="shared" ref="R151" si="485">IF(R149="","",R150-R154*$AM154-R155*$AM155-R156*$AM156-R157*$AM157-R158*$AM158-R159*$AM159-R160*$AM160-R161*$AM161)</f>
        <v/>
      </c>
      <c r="S151" s="47" t="str">
        <f t="shared" ref="S151" si="486">IF(S149="","",S150-S154*$AM154-S155*$AM155-S156*$AM156-S157*$AM157-S158*$AM158-S159*$AM159-S160*$AM160-S161*$AM161)</f>
        <v/>
      </c>
      <c r="T151" s="47" t="str">
        <f t="shared" ref="T151" si="487">IF(T149="","",T150-T154*$AM154-T155*$AM155-T156*$AM156-T157*$AM157-T158*$AM158-T159*$AM159-T160*$AM160-T161*$AM161)</f>
        <v/>
      </c>
      <c r="U151" s="47" t="str">
        <f t="shared" ref="U151" si="488">IF(U149="","",U150-U154*$AM154-U155*$AM155-U156*$AM156-U157*$AM157-U158*$AM158-U159*$AM159-U160*$AM160-U161*$AM161)</f>
        <v/>
      </c>
      <c r="V151" s="47" t="str">
        <f t="shared" ref="V151" si="489">IF(V149="","",V150-V154*$AM154-V155*$AM155-V156*$AM156-V157*$AM157-V158*$AM158-V159*$AM159-V160*$AM160-V161*$AM161)</f>
        <v/>
      </c>
      <c r="W151" s="47" t="str">
        <f t="shared" ref="W151" si="490">IF(W149="","",W150-W154*$AM154-W155*$AM155-W156*$AM156-W157*$AM157-W158*$AM158-W159*$AM159-W160*$AM160-W161*$AM161)</f>
        <v/>
      </c>
      <c r="X151" s="47" t="str">
        <f t="shared" ref="X151" si="491">IF(X149="","",X150-X154*$AM154-X155*$AM155-X156*$AM156-X157*$AM157-X158*$AM158-X159*$AM159-X160*$AM160-X161*$AM161)</f>
        <v/>
      </c>
      <c r="Y151" s="47" t="str">
        <f t="shared" ref="Y151" si="492">IF(Y149="","",Y150-Y154*$AM154-Y155*$AM155-Y156*$AM156-Y157*$AM157-Y158*$AM158-Y159*$AM159-Y160*$AM160-Y161*$AM161)</f>
        <v/>
      </c>
      <c r="Z151" s="47" t="str">
        <f t="shared" ref="Z151" si="493">IF(Z149="","",Z150-Z154*$AM154-Z155*$AM155-Z156*$AM156-Z157*$AM157-Z158*$AM158-Z159*$AM159-Z160*$AM160-Z161*$AM161)</f>
        <v/>
      </c>
      <c r="AA151" s="47" t="str">
        <f t="shared" ref="AA151" si="494">IF(AA149="","",AA150-AA154*$AM154-AA155*$AM155-AA156*$AM156-AA157*$AM157-AA158*$AM158-AA159*$AM159-AA160*$AM160-AA161*$AM161)</f>
        <v/>
      </c>
      <c r="AB151" s="47" t="str">
        <f t="shared" ref="AB151" si="495">IF(AB149="","",AB150-AB154*$AM154-AB155*$AM155-AB156*$AM156-AB157*$AM157-AB158*$AM158-AB159*$AM159-AB160*$AM160-AB161*$AM161)</f>
        <v/>
      </c>
      <c r="AC151" s="47" t="str">
        <f t="shared" ref="AC151" si="496">IF(AC149="","",AC150-AC154*$AM154-AC155*$AM155-AC156*$AM156-AC157*$AM157-AC158*$AM158-AC159*$AM159-AC160*$AM160-AC161*$AM161)</f>
        <v/>
      </c>
      <c r="AD151" s="47" t="str">
        <f t="shared" ref="AD151" si="497">IF(AD149="","",AD150-AD154*$AM154-AD155*$AM155-AD156*$AM156-AD157*$AM157-AD158*$AM158-AD159*$AM159-AD160*$AM160-AD161*$AM161)</f>
        <v/>
      </c>
      <c r="AE151" s="47" t="str">
        <f t="shared" ref="AE151" si="498">IF(AE149="","",AE150-AE154*$AM154-AE155*$AM155-AE156*$AM156-AE157*$AM157-AE158*$AM158-AE159*$AM159-AE160*$AM160-AE161*$AM161)</f>
        <v/>
      </c>
      <c r="AF151" s="47" t="str">
        <f t="shared" ref="AF151" si="499">IF(AF149="","",AF150-AF154*$AM154-AF155*$AM155-AF156*$AM156-AF157*$AM157-AF158*$AM158-AF159*$AM159-AF160*$AM160-AF161*$AM161)</f>
        <v/>
      </c>
      <c r="AG151" s="47" t="str">
        <f t="shared" ref="AG151" si="500">IF(AG149="","",AG150-AG154*$AM154-AG155*$AM155-AG156*$AM156-AG157*$AM157-AG158*$AM158-AG159*$AM159-AG160*$AM160-AG161*$AM161)</f>
        <v/>
      </c>
      <c r="AH151" s="47" t="str">
        <f t="shared" ref="AH151" si="501">IF(AH149="","",AH150-AH154*$AM154-AH155*$AM155-AH156*$AM156-AH157*$AM157-AH158*$AM158-AH159*$AM159-AH160*$AM160-AH161*$AM161)</f>
        <v/>
      </c>
      <c r="AI151" s="47" t="str">
        <f t="shared" ref="AI151" si="502">IF(AI149="","",AI150-AI154*$AM154-AI155*$AM155-AI156*$AM156-AI157*$AM157-AI158*$AM158-AI159*$AM159-AI160*$AM160-AI161*$AM161)</f>
        <v/>
      </c>
      <c r="AJ151" s="47" t="str">
        <f t="shared" ref="AJ151" si="503">IF(AJ149="","",AJ150-AJ154*$AM154-AJ155*$AM155-AJ156*$AM156-AJ157*$AM157-AJ158*$AM158-AJ159*$AM159-AJ160*$AM160-AJ161*$AM161)</f>
        <v/>
      </c>
      <c r="AK151" s="47" t="str">
        <f>IF(AK149="","",AK150-AK154*$AM154-AK155*$AM155-AK156*$AM156-AK157*$AM157-AK158*$AM158-AK159*$AM159-AK160*$AM160-AK161*$AM161)</f>
        <v/>
      </c>
      <c r="AL151" s="47" t="str">
        <f t="shared" ref="AL151" si="504">IF(AL149="","",AL150-AL154*$AM154-AL155*$AM155-AL156*$AM156-AL157*$AM157-AL158*$AM158-AL159*$AM159-AL160*$AM160-AL161*$AM161)</f>
        <v/>
      </c>
      <c r="AM151" s="45">
        <f>SUM(C151:AL151)</f>
        <v>0</v>
      </c>
      <c r="AN151" s="155" t="s">
        <v>33</v>
      </c>
      <c r="AO151" s="156"/>
      <c r="AP151" s="157"/>
      <c r="AQ151" s="158"/>
      <c r="AR151" s="17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</row>
    <row r="152" spans="1:81" ht="17.100000000000001" customHeight="1">
      <c r="A152" s="177" t="s">
        <v>20</v>
      </c>
      <c r="B152" s="178"/>
      <c r="C152" s="181" t="s">
        <v>0</v>
      </c>
      <c r="D152" s="182"/>
      <c r="E152" s="182"/>
      <c r="F152" s="182"/>
      <c r="G152" s="182"/>
      <c r="H152" s="182"/>
      <c r="I152" s="182"/>
      <c r="J152" s="182"/>
      <c r="K152" s="182"/>
      <c r="L152" s="182"/>
      <c r="M152" s="182"/>
      <c r="N152" s="182"/>
      <c r="O152" s="182"/>
      <c r="P152" s="182"/>
      <c r="Q152" s="182"/>
      <c r="R152" s="182"/>
      <c r="S152" s="182"/>
      <c r="T152" s="182"/>
      <c r="U152" s="182"/>
      <c r="V152" s="182"/>
      <c r="W152" s="182"/>
      <c r="X152" s="182"/>
      <c r="Y152" s="182"/>
      <c r="Z152" s="182"/>
      <c r="AA152" s="182"/>
      <c r="AB152" s="182"/>
      <c r="AC152" s="182"/>
      <c r="AD152" s="182"/>
      <c r="AE152" s="182"/>
      <c r="AF152" s="182"/>
      <c r="AG152" s="182"/>
      <c r="AH152" s="182"/>
      <c r="AI152" s="182"/>
      <c r="AJ152" s="182"/>
      <c r="AK152" s="182"/>
      <c r="AL152" s="183"/>
      <c r="AM152" s="187" t="s">
        <v>1</v>
      </c>
      <c r="AN152" s="200" t="s">
        <v>11</v>
      </c>
      <c r="AO152" s="196" t="s">
        <v>12</v>
      </c>
      <c r="AP152" s="197"/>
      <c r="AQ152" s="193" t="s">
        <v>6</v>
      </c>
      <c r="AR152" s="24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</row>
    <row r="153" spans="1:81" ht="17.100000000000001" customHeight="1">
      <c r="A153" s="179"/>
      <c r="B153" s="180"/>
      <c r="C153" s="184"/>
      <c r="D153" s="185"/>
      <c r="E153" s="185"/>
      <c r="F153" s="185"/>
      <c r="G153" s="185"/>
      <c r="H153" s="185"/>
      <c r="I153" s="185"/>
      <c r="J153" s="185"/>
      <c r="K153" s="185"/>
      <c r="L153" s="185"/>
      <c r="M153" s="185"/>
      <c r="N153" s="185"/>
      <c r="O153" s="185"/>
      <c r="P153" s="185"/>
      <c r="Q153" s="185"/>
      <c r="R153" s="185"/>
      <c r="S153" s="185"/>
      <c r="T153" s="185"/>
      <c r="U153" s="185"/>
      <c r="V153" s="185"/>
      <c r="W153" s="185"/>
      <c r="X153" s="185"/>
      <c r="Y153" s="185"/>
      <c r="Z153" s="185"/>
      <c r="AA153" s="185"/>
      <c r="AB153" s="185"/>
      <c r="AC153" s="185"/>
      <c r="AD153" s="185"/>
      <c r="AE153" s="185"/>
      <c r="AF153" s="185"/>
      <c r="AG153" s="185"/>
      <c r="AH153" s="185"/>
      <c r="AI153" s="185"/>
      <c r="AJ153" s="185"/>
      <c r="AK153" s="185"/>
      <c r="AL153" s="186"/>
      <c r="AM153" s="188"/>
      <c r="AN153" s="190"/>
      <c r="AO153" s="18" t="s">
        <v>3</v>
      </c>
      <c r="AP153" s="19" t="s">
        <v>13</v>
      </c>
      <c r="AQ153" s="172"/>
      <c r="AR153" s="27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</row>
    <row r="154" spans="1:81" ht="17.100000000000001" customHeight="1">
      <c r="A154" s="173"/>
      <c r="B154" s="30" t="s">
        <v>21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  <c r="AA154" s="39"/>
      <c r="AB154" s="39"/>
      <c r="AC154" s="39"/>
      <c r="AD154" s="39"/>
      <c r="AE154" s="39"/>
      <c r="AF154" s="39"/>
      <c r="AG154" s="39"/>
      <c r="AH154" s="39"/>
      <c r="AI154" s="39"/>
      <c r="AJ154" s="39"/>
      <c r="AK154" s="39"/>
      <c r="AL154" s="39"/>
      <c r="AM154" s="39"/>
      <c r="AN154" s="40" t="str">
        <f>IF(AM154="","",SUM(C154:AL154)*AM154)</f>
        <v/>
      </c>
      <c r="AO154" s="39"/>
      <c r="AP154" s="39"/>
      <c r="AQ154" s="42">
        <f>(AO154+AR154)*AM154</f>
        <v>0</v>
      </c>
      <c r="AR154" s="25">
        <f>AP154/36</f>
        <v>0</v>
      </c>
      <c r="AT154" s="3" t="str">
        <f t="shared" ref="AT154:CA154" si="505">IF(C154=0,"",ROUNDUP(C151/C154,0))</f>
        <v/>
      </c>
      <c r="AU154" s="3" t="str">
        <f t="shared" si="505"/>
        <v/>
      </c>
      <c r="AV154" s="3" t="str">
        <f t="shared" si="505"/>
        <v/>
      </c>
      <c r="AW154" s="3" t="str">
        <f t="shared" si="505"/>
        <v/>
      </c>
      <c r="AX154" s="3" t="str">
        <f t="shared" si="505"/>
        <v/>
      </c>
      <c r="AY154" s="3" t="str">
        <f t="shared" si="505"/>
        <v/>
      </c>
      <c r="AZ154" s="3" t="str">
        <f t="shared" si="505"/>
        <v/>
      </c>
      <c r="BA154" s="3" t="str">
        <f t="shared" si="505"/>
        <v/>
      </c>
      <c r="BB154" s="3" t="str">
        <f t="shared" si="505"/>
        <v/>
      </c>
      <c r="BC154" s="3" t="str">
        <f t="shared" si="505"/>
        <v/>
      </c>
      <c r="BD154" s="3" t="str">
        <f t="shared" si="505"/>
        <v/>
      </c>
      <c r="BE154" s="3" t="str">
        <f t="shared" si="505"/>
        <v/>
      </c>
      <c r="BF154" s="3" t="str">
        <f t="shared" si="505"/>
        <v/>
      </c>
      <c r="BG154" s="3" t="str">
        <f t="shared" si="505"/>
        <v/>
      </c>
      <c r="BH154" s="3" t="str">
        <f t="shared" si="505"/>
        <v/>
      </c>
      <c r="BI154" s="3" t="str">
        <f t="shared" si="505"/>
        <v/>
      </c>
      <c r="BJ154" s="3" t="str">
        <f t="shared" si="505"/>
        <v/>
      </c>
      <c r="BK154" s="3" t="str">
        <f t="shared" si="505"/>
        <v/>
      </c>
      <c r="BL154" s="3" t="str">
        <f t="shared" si="505"/>
        <v/>
      </c>
      <c r="BM154" s="3" t="str">
        <f t="shared" si="505"/>
        <v/>
      </c>
      <c r="BN154" s="3" t="str">
        <f t="shared" si="505"/>
        <v/>
      </c>
      <c r="BO154" s="3" t="str">
        <f t="shared" si="505"/>
        <v/>
      </c>
      <c r="BP154" s="3" t="str">
        <f t="shared" si="505"/>
        <v/>
      </c>
      <c r="BQ154" s="3" t="str">
        <f t="shared" si="505"/>
        <v/>
      </c>
      <c r="BR154" s="3" t="str">
        <f t="shared" si="505"/>
        <v/>
      </c>
      <c r="BS154" s="3" t="str">
        <f t="shared" si="505"/>
        <v/>
      </c>
      <c r="BT154" s="3" t="str">
        <f t="shared" si="505"/>
        <v/>
      </c>
      <c r="BU154" s="3" t="str">
        <f t="shared" si="505"/>
        <v/>
      </c>
      <c r="BV154" s="3" t="str">
        <f t="shared" si="505"/>
        <v/>
      </c>
      <c r="BW154" s="3" t="str">
        <f t="shared" si="505"/>
        <v/>
      </c>
      <c r="BX154" s="3" t="str">
        <f t="shared" si="505"/>
        <v/>
      </c>
      <c r="BY154" s="3" t="str">
        <f t="shared" si="505"/>
        <v/>
      </c>
      <c r="BZ154" s="3" t="str">
        <f t="shared" si="505"/>
        <v/>
      </c>
      <c r="CA154" s="3" t="str">
        <f t="shared" si="505"/>
        <v/>
      </c>
      <c r="CB154" s="3" t="str">
        <f t="shared" ref="CB154" si="506">IF(AK154=0,"",ROUNDUP(AK151/AK154,0))</f>
        <v/>
      </c>
      <c r="CC154" s="3" t="str">
        <f t="shared" ref="CC154" si="507">IF(AL154=0,"",ROUNDUP(AL151/AL154,0))</f>
        <v/>
      </c>
    </row>
    <row r="155" spans="1:81" ht="17.100000000000001" customHeight="1">
      <c r="A155" s="174"/>
      <c r="B155" s="30" t="s">
        <v>22</v>
      </c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  <c r="AD155" s="39"/>
      <c r="AE155" s="39"/>
      <c r="AF155" s="39"/>
      <c r="AG155" s="39"/>
      <c r="AH155" s="39"/>
      <c r="AI155" s="39"/>
      <c r="AJ155" s="39"/>
      <c r="AK155" s="39"/>
      <c r="AL155" s="39"/>
      <c r="AM155" s="39"/>
      <c r="AN155" s="40" t="str">
        <f t="shared" ref="AN155:AN161" si="508">IF(AM155="","",SUM(C155:AL155)*AM155)</f>
        <v/>
      </c>
      <c r="AO155" s="39"/>
      <c r="AP155" s="39"/>
      <c r="AQ155" s="42">
        <f t="shared" ref="AQ155:AQ161" si="509">(AO155+AR155)*AM155</f>
        <v>0</v>
      </c>
      <c r="AR155" s="25">
        <f t="shared" ref="AR155:AR161" si="510">AP155/36</f>
        <v>0</v>
      </c>
      <c r="AT155" s="3" t="str">
        <f t="shared" ref="AT155:CA155" si="511">IF(C155=0,"",ROUNDUP(C151/C155,0))</f>
        <v/>
      </c>
      <c r="AU155" s="3" t="str">
        <f t="shared" si="511"/>
        <v/>
      </c>
      <c r="AV155" s="3" t="str">
        <f t="shared" si="511"/>
        <v/>
      </c>
      <c r="AW155" s="3" t="str">
        <f t="shared" si="511"/>
        <v/>
      </c>
      <c r="AX155" s="3" t="str">
        <f t="shared" si="511"/>
        <v/>
      </c>
      <c r="AY155" s="3" t="str">
        <f t="shared" si="511"/>
        <v/>
      </c>
      <c r="AZ155" s="3" t="str">
        <f t="shared" si="511"/>
        <v/>
      </c>
      <c r="BA155" s="3" t="str">
        <f t="shared" si="511"/>
        <v/>
      </c>
      <c r="BB155" s="3" t="str">
        <f t="shared" si="511"/>
        <v/>
      </c>
      <c r="BC155" s="3" t="str">
        <f t="shared" si="511"/>
        <v/>
      </c>
      <c r="BD155" s="3" t="str">
        <f t="shared" si="511"/>
        <v/>
      </c>
      <c r="BE155" s="3" t="str">
        <f t="shared" si="511"/>
        <v/>
      </c>
      <c r="BF155" s="3" t="str">
        <f t="shared" si="511"/>
        <v/>
      </c>
      <c r="BG155" s="3" t="str">
        <f t="shared" si="511"/>
        <v/>
      </c>
      <c r="BH155" s="3" t="str">
        <f t="shared" si="511"/>
        <v/>
      </c>
      <c r="BI155" s="3" t="str">
        <f t="shared" si="511"/>
        <v/>
      </c>
      <c r="BJ155" s="3" t="str">
        <f t="shared" si="511"/>
        <v/>
      </c>
      <c r="BK155" s="3" t="str">
        <f t="shared" si="511"/>
        <v/>
      </c>
      <c r="BL155" s="3" t="str">
        <f t="shared" si="511"/>
        <v/>
      </c>
      <c r="BM155" s="3" t="str">
        <f t="shared" si="511"/>
        <v/>
      </c>
      <c r="BN155" s="3" t="str">
        <f t="shared" si="511"/>
        <v/>
      </c>
      <c r="BO155" s="3" t="str">
        <f t="shared" si="511"/>
        <v/>
      </c>
      <c r="BP155" s="3" t="str">
        <f t="shared" si="511"/>
        <v/>
      </c>
      <c r="BQ155" s="3" t="str">
        <f t="shared" si="511"/>
        <v/>
      </c>
      <c r="BR155" s="3" t="str">
        <f t="shared" si="511"/>
        <v/>
      </c>
      <c r="BS155" s="3" t="str">
        <f t="shared" si="511"/>
        <v/>
      </c>
      <c r="BT155" s="3" t="str">
        <f t="shared" si="511"/>
        <v/>
      </c>
      <c r="BU155" s="3" t="str">
        <f t="shared" si="511"/>
        <v/>
      </c>
      <c r="BV155" s="3" t="str">
        <f t="shared" si="511"/>
        <v/>
      </c>
      <c r="BW155" s="3" t="str">
        <f t="shared" si="511"/>
        <v/>
      </c>
      <c r="BX155" s="3" t="str">
        <f t="shared" si="511"/>
        <v/>
      </c>
      <c r="BY155" s="3" t="str">
        <f t="shared" si="511"/>
        <v/>
      </c>
      <c r="BZ155" s="3" t="str">
        <f t="shared" si="511"/>
        <v/>
      </c>
      <c r="CA155" s="3" t="str">
        <f t="shared" si="511"/>
        <v/>
      </c>
      <c r="CB155" s="3" t="str">
        <f t="shared" ref="CB155" si="512">IF(AK155=0,"",ROUNDUP(AK151/AK155,0))</f>
        <v/>
      </c>
      <c r="CC155" s="3" t="str">
        <f t="shared" ref="CC155" si="513">IF(AL155=0,"",ROUNDUP(AL151/AL155,0))</f>
        <v/>
      </c>
    </row>
    <row r="156" spans="1:81" ht="17.100000000000001" customHeight="1">
      <c r="A156" s="174"/>
      <c r="B156" s="30" t="s">
        <v>23</v>
      </c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  <c r="AA156" s="39"/>
      <c r="AB156" s="39"/>
      <c r="AC156" s="39"/>
      <c r="AD156" s="39"/>
      <c r="AE156" s="39"/>
      <c r="AF156" s="39"/>
      <c r="AG156" s="39"/>
      <c r="AH156" s="39"/>
      <c r="AI156" s="39"/>
      <c r="AJ156" s="39"/>
      <c r="AK156" s="39"/>
      <c r="AL156" s="39"/>
      <c r="AM156" s="39"/>
      <c r="AN156" s="40" t="str">
        <f t="shared" si="508"/>
        <v/>
      </c>
      <c r="AO156" s="39"/>
      <c r="AP156" s="39"/>
      <c r="AQ156" s="42">
        <f t="shared" si="509"/>
        <v>0</v>
      </c>
      <c r="AR156" s="25">
        <f t="shared" si="510"/>
        <v>0</v>
      </c>
      <c r="AT156" s="3" t="str">
        <f t="shared" ref="AT156:CA156" si="514">IF(C156=0,"",ROUNDUP(C151/C156,0))</f>
        <v/>
      </c>
      <c r="AU156" s="3" t="str">
        <f t="shared" si="514"/>
        <v/>
      </c>
      <c r="AV156" s="3" t="str">
        <f t="shared" si="514"/>
        <v/>
      </c>
      <c r="AW156" s="3" t="str">
        <f t="shared" si="514"/>
        <v/>
      </c>
      <c r="AX156" s="3" t="str">
        <f t="shared" si="514"/>
        <v/>
      </c>
      <c r="AY156" s="3" t="str">
        <f t="shared" si="514"/>
        <v/>
      </c>
      <c r="AZ156" s="3" t="str">
        <f t="shared" si="514"/>
        <v/>
      </c>
      <c r="BA156" s="3" t="str">
        <f t="shared" si="514"/>
        <v/>
      </c>
      <c r="BB156" s="3" t="str">
        <f t="shared" si="514"/>
        <v/>
      </c>
      <c r="BC156" s="3" t="str">
        <f t="shared" si="514"/>
        <v/>
      </c>
      <c r="BD156" s="3" t="str">
        <f t="shared" si="514"/>
        <v/>
      </c>
      <c r="BE156" s="3" t="str">
        <f t="shared" si="514"/>
        <v/>
      </c>
      <c r="BF156" s="3" t="str">
        <f t="shared" si="514"/>
        <v/>
      </c>
      <c r="BG156" s="3" t="str">
        <f t="shared" si="514"/>
        <v/>
      </c>
      <c r="BH156" s="3" t="str">
        <f t="shared" si="514"/>
        <v/>
      </c>
      <c r="BI156" s="3" t="str">
        <f t="shared" si="514"/>
        <v/>
      </c>
      <c r="BJ156" s="3" t="str">
        <f t="shared" si="514"/>
        <v/>
      </c>
      <c r="BK156" s="3" t="str">
        <f t="shared" si="514"/>
        <v/>
      </c>
      <c r="BL156" s="3" t="str">
        <f t="shared" si="514"/>
        <v/>
      </c>
      <c r="BM156" s="3" t="str">
        <f t="shared" si="514"/>
        <v/>
      </c>
      <c r="BN156" s="3" t="str">
        <f t="shared" si="514"/>
        <v/>
      </c>
      <c r="BO156" s="3" t="str">
        <f t="shared" si="514"/>
        <v/>
      </c>
      <c r="BP156" s="3" t="str">
        <f t="shared" si="514"/>
        <v/>
      </c>
      <c r="BQ156" s="3" t="str">
        <f t="shared" si="514"/>
        <v/>
      </c>
      <c r="BR156" s="3" t="str">
        <f t="shared" si="514"/>
        <v/>
      </c>
      <c r="BS156" s="3" t="str">
        <f t="shared" si="514"/>
        <v/>
      </c>
      <c r="BT156" s="3" t="str">
        <f t="shared" si="514"/>
        <v/>
      </c>
      <c r="BU156" s="3" t="str">
        <f t="shared" si="514"/>
        <v/>
      </c>
      <c r="BV156" s="3" t="str">
        <f t="shared" si="514"/>
        <v/>
      </c>
      <c r="BW156" s="3" t="str">
        <f t="shared" si="514"/>
        <v/>
      </c>
      <c r="BX156" s="3" t="str">
        <f t="shared" si="514"/>
        <v/>
      </c>
      <c r="BY156" s="3" t="str">
        <f t="shared" si="514"/>
        <v/>
      </c>
      <c r="BZ156" s="3" t="str">
        <f t="shared" si="514"/>
        <v/>
      </c>
      <c r="CA156" s="3" t="str">
        <f t="shared" si="514"/>
        <v/>
      </c>
      <c r="CB156" s="3" t="str">
        <f t="shared" ref="CB156" si="515">IF(AK156=0,"",ROUNDUP(AK151/AK156,0))</f>
        <v/>
      </c>
      <c r="CC156" s="3" t="str">
        <f t="shared" ref="CC156" si="516">IF(AL156=0,"",ROUNDUP(AL151/AL156,0))</f>
        <v/>
      </c>
    </row>
    <row r="157" spans="1:81" ht="17.100000000000001" customHeight="1">
      <c r="A157" s="174"/>
      <c r="B157" s="30" t="s">
        <v>24</v>
      </c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39"/>
      <c r="X157" s="39"/>
      <c r="Y157" s="39"/>
      <c r="Z157" s="39"/>
      <c r="AA157" s="39"/>
      <c r="AB157" s="39"/>
      <c r="AC157" s="39"/>
      <c r="AD157" s="39"/>
      <c r="AE157" s="39"/>
      <c r="AF157" s="39"/>
      <c r="AG157" s="39"/>
      <c r="AH157" s="39"/>
      <c r="AI157" s="39"/>
      <c r="AJ157" s="39"/>
      <c r="AK157" s="39"/>
      <c r="AL157" s="39"/>
      <c r="AM157" s="39"/>
      <c r="AN157" s="40" t="str">
        <f t="shared" si="508"/>
        <v/>
      </c>
      <c r="AO157" s="39"/>
      <c r="AP157" s="39"/>
      <c r="AQ157" s="42">
        <f t="shared" si="509"/>
        <v>0</v>
      </c>
      <c r="AR157" s="25">
        <f t="shared" si="510"/>
        <v>0</v>
      </c>
      <c r="AT157" s="3" t="str">
        <f t="shared" ref="AT157:CA157" si="517">IF(C157=0,"",ROUNDUP(C151/C157,0))</f>
        <v/>
      </c>
      <c r="AU157" s="3" t="str">
        <f t="shared" si="517"/>
        <v/>
      </c>
      <c r="AV157" s="3" t="str">
        <f t="shared" si="517"/>
        <v/>
      </c>
      <c r="AW157" s="3" t="str">
        <f t="shared" si="517"/>
        <v/>
      </c>
      <c r="AX157" s="3" t="str">
        <f t="shared" si="517"/>
        <v/>
      </c>
      <c r="AY157" s="3" t="str">
        <f t="shared" si="517"/>
        <v/>
      </c>
      <c r="AZ157" s="3" t="str">
        <f t="shared" si="517"/>
        <v/>
      </c>
      <c r="BA157" s="3" t="str">
        <f t="shared" si="517"/>
        <v/>
      </c>
      <c r="BB157" s="3" t="str">
        <f t="shared" si="517"/>
        <v/>
      </c>
      <c r="BC157" s="3" t="str">
        <f t="shared" si="517"/>
        <v/>
      </c>
      <c r="BD157" s="3" t="str">
        <f t="shared" si="517"/>
        <v/>
      </c>
      <c r="BE157" s="3" t="str">
        <f t="shared" si="517"/>
        <v/>
      </c>
      <c r="BF157" s="3" t="str">
        <f t="shared" si="517"/>
        <v/>
      </c>
      <c r="BG157" s="3" t="str">
        <f t="shared" si="517"/>
        <v/>
      </c>
      <c r="BH157" s="3" t="str">
        <f t="shared" si="517"/>
        <v/>
      </c>
      <c r="BI157" s="3" t="str">
        <f t="shared" si="517"/>
        <v/>
      </c>
      <c r="BJ157" s="3" t="str">
        <f t="shared" si="517"/>
        <v/>
      </c>
      <c r="BK157" s="3" t="str">
        <f t="shared" si="517"/>
        <v/>
      </c>
      <c r="BL157" s="3" t="str">
        <f t="shared" si="517"/>
        <v/>
      </c>
      <c r="BM157" s="3" t="str">
        <f t="shared" si="517"/>
        <v/>
      </c>
      <c r="BN157" s="3" t="str">
        <f t="shared" si="517"/>
        <v/>
      </c>
      <c r="BO157" s="3" t="str">
        <f t="shared" si="517"/>
        <v/>
      </c>
      <c r="BP157" s="3" t="str">
        <f t="shared" si="517"/>
        <v/>
      </c>
      <c r="BQ157" s="3" t="str">
        <f t="shared" si="517"/>
        <v/>
      </c>
      <c r="BR157" s="3" t="str">
        <f t="shared" si="517"/>
        <v/>
      </c>
      <c r="BS157" s="3" t="str">
        <f t="shared" si="517"/>
        <v/>
      </c>
      <c r="BT157" s="3" t="str">
        <f t="shared" si="517"/>
        <v/>
      </c>
      <c r="BU157" s="3" t="str">
        <f t="shared" si="517"/>
        <v/>
      </c>
      <c r="BV157" s="3" t="str">
        <f t="shared" si="517"/>
        <v/>
      </c>
      <c r="BW157" s="3" t="str">
        <f t="shared" si="517"/>
        <v/>
      </c>
      <c r="BX157" s="3" t="str">
        <f t="shared" si="517"/>
        <v/>
      </c>
      <c r="BY157" s="3" t="str">
        <f t="shared" si="517"/>
        <v/>
      </c>
      <c r="BZ157" s="3" t="str">
        <f t="shared" si="517"/>
        <v/>
      </c>
      <c r="CA157" s="3" t="str">
        <f t="shared" si="517"/>
        <v/>
      </c>
      <c r="CB157" s="3" t="str">
        <f t="shared" ref="CB157" si="518">IF(AK157=0,"",ROUNDUP(AK151/AK157,0))</f>
        <v/>
      </c>
      <c r="CC157" s="3" t="str">
        <f t="shared" ref="CC157" si="519">IF(AL157=0,"",ROUNDUP(AL151/AL157,0))</f>
        <v/>
      </c>
    </row>
    <row r="158" spans="1:81" ht="17.100000000000001" customHeight="1">
      <c r="A158" s="174"/>
      <c r="B158" s="30" t="s">
        <v>25</v>
      </c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9"/>
      <c r="X158" s="39"/>
      <c r="Y158" s="39"/>
      <c r="Z158" s="39"/>
      <c r="AA158" s="39"/>
      <c r="AB158" s="39"/>
      <c r="AC158" s="39"/>
      <c r="AD158" s="39"/>
      <c r="AE158" s="39"/>
      <c r="AF158" s="39"/>
      <c r="AG158" s="39"/>
      <c r="AH158" s="39"/>
      <c r="AI158" s="39"/>
      <c r="AJ158" s="39"/>
      <c r="AK158" s="39"/>
      <c r="AL158" s="39"/>
      <c r="AM158" s="39"/>
      <c r="AN158" s="40" t="str">
        <f t="shared" si="508"/>
        <v/>
      </c>
      <c r="AO158" s="39"/>
      <c r="AP158" s="39"/>
      <c r="AQ158" s="42">
        <f t="shared" si="509"/>
        <v>0</v>
      </c>
      <c r="AR158" s="25">
        <f t="shared" si="510"/>
        <v>0</v>
      </c>
      <c r="AT158" s="3" t="str">
        <f t="shared" ref="AT158:CA158" si="520">IF(C158=0,"",ROUNDUP(C151/C158,0))</f>
        <v/>
      </c>
      <c r="AU158" s="3" t="str">
        <f t="shared" si="520"/>
        <v/>
      </c>
      <c r="AV158" s="3" t="str">
        <f t="shared" si="520"/>
        <v/>
      </c>
      <c r="AW158" s="3" t="str">
        <f t="shared" si="520"/>
        <v/>
      </c>
      <c r="AX158" s="3" t="str">
        <f t="shared" si="520"/>
        <v/>
      </c>
      <c r="AY158" s="3" t="str">
        <f t="shared" si="520"/>
        <v/>
      </c>
      <c r="AZ158" s="3" t="str">
        <f t="shared" si="520"/>
        <v/>
      </c>
      <c r="BA158" s="3" t="str">
        <f t="shared" si="520"/>
        <v/>
      </c>
      <c r="BB158" s="3" t="str">
        <f t="shared" si="520"/>
        <v/>
      </c>
      <c r="BC158" s="3" t="str">
        <f t="shared" si="520"/>
        <v/>
      </c>
      <c r="BD158" s="3" t="str">
        <f t="shared" si="520"/>
        <v/>
      </c>
      <c r="BE158" s="3" t="str">
        <f t="shared" si="520"/>
        <v/>
      </c>
      <c r="BF158" s="3" t="str">
        <f t="shared" si="520"/>
        <v/>
      </c>
      <c r="BG158" s="3" t="str">
        <f t="shared" si="520"/>
        <v/>
      </c>
      <c r="BH158" s="3" t="str">
        <f t="shared" si="520"/>
        <v/>
      </c>
      <c r="BI158" s="3" t="str">
        <f t="shared" si="520"/>
        <v/>
      </c>
      <c r="BJ158" s="3" t="str">
        <f t="shared" si="520"/>
        <v/>
      </c>
      <c r="BK158" s="3" t="str">
        <f t="shared" si="520"/>
        <v/>
      </c>
      <c r="BL158" s="3" t="str">
        <f t="shared" si="520"/>
        <v/>
      </c>
      <c r="BM158" s="3" t="str">
        <f t="shared" si="520"/>
        <v/>
      </c>
      <c r="BN158" s="3" t="str">
        <f t="shared" si="520"/>
        <v/>
      </c>
      <c r="BO158" s="3" t="str">
        <f t="shared" si="520"/>
        <v/>
      </c>
      <c r="BP158" s="3" t="str">
        <f t="shared" si="520"/>
        <v/>
      </c>
      <c r="BQ158" s="3" t="str">
        <f t="shared" si="520"/>
        <v/>
      </c>
      <c r="BR158" s="3" t="str">
        <f t="shared" si="520"/>
        <v/>
      </c>
      <c r="BS158" s="3" t="str">
        <f t="shared" si="520"/>
        <v/>
      </c>
      <c r="BT158" s="3" t="str">
        <f t="shared" si="520"/>
        <v/>
      </c>
      <c r="BU158" s="3" t="str">
        <f t="shared" si="520"/>
        <v/>
      </c>
      <c r="BV158" s="3" t="str">
        <f t="shared" si="520"/>
        <v/>
      </c>
      <c r="BW158" s="3" t="str">
        <f t="shared" si="520"/>
        <v/>
      </c>
      <c r="BX158" s="3" t="str">
        <f t="shared" si="520"/>
        <v/>
      </c>
      <c r="BY158" s="3" t="str">
        <f t="shared" si="520"/>
        <v/>
      </c>
      <c r="BZ158" s="3" t="str">
        <f t="shared" si="520"/>
        <v/>
      </c>
      <c r="CA158" s="3" t="str">
        <f t="shared" si="520"/>
        <v/>
      </c>
      <c r="CB158" s="3" t="str">
        <f t="shared" ref="CB158" si="521">IF(AK158=0,"",ROUNDUP(AK151/AK158,0))</f>
        <v/>
      </c>
      <c r="CC158" s="3" t="str">
        <f t="shared" ref="CC158" si="522">IF(AL158=0,"",ROUNDUP(AL151/AL158,0))</f>
        <v/>
      </c>
    </row>
    <row r="159" spans="1:81" ht="17.100000000000001" customHeight="1">
      <c r="A159" s="174"/>
      <c r="B159" s="30" t="s">
        <v>26</v>
      </c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  <c r="AA159" s="39"/>
      <c r="AB159" s="39"/>
      <c r="AC159" s="39"/>
      <c r="AD159" s="39"/>
      <c r="AE159" s="39"/>
      <c r="AF159" s="39"/>
      <c r="AG159" s="39"/>
      <c r="AH159" s="39"/>
      <c r="AI159" s="39"/>
      <c r="AJ159" s="39"/>
      <c r="AK159" s="39"/>
      <c r="AL159" s="39"/>
      <c r="AM159" s="39"/>
      <c r="AN159" s="40" t="str">
        <f>IF(AM159="","",SUM(C159:AL159)*AM159)</f>
        <v/>
      </c>
      <c r="AO159" s="39"/>
      <c r="AP159" s="39"/>
      <c r="AQ159" s="42">
        <f t="shared" si="509"/>
        <v>0</v>
      </c>
      <c r="AR159" s="25">
        <f t="shared" si="510"/>
        <v>0</v>
      </c>
      <c r="AT159" s="3" t="str">
        <f t="shared" ref="AT159:CA159" si="523">IF(C159=0,"",ROUNDUP(C151/C159,0))</f>
        <v/>
      </c>
      <c r="AU159" s="3" t="str">
        <f t="shared" si="523"/>
        <v/>
      </c>
      <c r="AV159" s="3" t="str">
        <f t="shared" si="523"/>
        <v/>
      </c>
      <c r="AW159" s="3" t="str">
        <f t="shared" si="523"/>
        <v/>
      </c>
      <c r="AX159" s="3" t="str">
        <f t="shared" si="523"/>
        <v/>
      </c>
      <c r="AY159" s="3" t="str">
        <f t="shared" si="523"/>
        <v/>
      </c>
      <c r="AZ159" s="3" t="str">
        <f t="shared" si="523"/>
        <v/>
      </c>
      <c r="BA159" s="3" t="str">
        <f t="shared" si="523"/>
        <v/>
      </c>
      <c r="BB159" s="3" t="str">
        <f t="shared" si="523"/>
        <v/>
      </c>
      <c r="BC159" s="3" t="str">
        <f t="shared" si="523"/>
        <v/>
      </c>
      <c r="BD159" s="3" t="str">
        <f t="shared" si="523"/>
        <v/>
      </c>
      <c r="BE159" s="3" t="str">
        <f t="shared" si="523"/>
        <v/>
      </c>
      <c r="BF159" s="3" t="str">
        <f t="shared" si="523"/>
        <v/>
      </c>
      <c r="BG159" s="3" t="str">
        <f t="shared" si="523"/>
        <v/>
      </c>
      <c r="BH159" s="3" t="str">
        <f t="shared" si="523"/>
        <v/>
      </c>
      <c r="BI159" s="3" t="str">
        <f t="shared" si="523"/>
        <v/>
      </c>
      <c r="BJ159" s="3" t="str">
        <f t="shared" si="523"/>
        <v/>
      </c>
      <c r="BK159" s="3" t="str">
        <f t="shared" si="523"/>
        <v/>
      </c>
      <c r="BL159" s="3" t="str">
        <f t="shared" si="523"/>
        <v/>
      </c>
      <c r="BM159" s="3" t="str">
        <f t="shared" si="523"/>
        <v/>
      </c>
      <c r="BN159" s="3" t="str">
        <f t="shared" si="523"/>
        <v/>
      </c>
      <c r="BO159" s="3" t="str">
        <f t="shared" si="523"/>
        <v/>
      </c>
      <c r="BP159" s="3" t="str">
        <f t="shared" si="523"/>
        <v/>
      </c>
      <c r="BQ159" s="3" t="str">
        <f t="shared" si="523"/>
        <v/>
      </c>
      <c r="BR159" s="3" t="str">
        <f t="shared" si="523"/>
        <v/>
      </c>
      <c r="BS159" s="3" t="str">
        <f t="shared" si="523"/>
        <v/>
      </c>
      <c r="BT159" s="3" t="str">
        <f t="shared" si="523"/>
        <v/>
      </c>
      <c r="BU159" s="3" t="str">
        <f t="shared" si="523"/>
        <v/>
      </c>
      <c r="BV159" s="3" t="str">
        <f t="shared" si="523"/>
        <v/>
      </c>
      <c r="BW159" s="3" t="str">
        <f t="shared" si="523"/>
        <v/>
      </c>
      <c r="BX159" s="3" t="str">
        <f t="shared" si="523"/>
        <v/>
      </c>
      <c r="BY159" s="3" t="str">
        <f t="shared" si="523"/>
        <v/>
      </c>
      <c r="BZ159" s="3" t="str">
        <f t="shared" si="523"/>
        <v/>
      </c>
      <c r="CA159" s="3" t="str">
        <f t="shared" si="523"/>
        <v/>
      </c>
      <c r="CB159" s="3" t="str">
        <f t="shared" ref="CB159" si="524">IF(AK159=0,"",ROUNDUP(AK151/AK159,0))</f>
        <v/>
      </c>
      <c r="CC159" s="3" t="str">
        <f t="shared" ref="CC159" si="525">IF(AL159=0,"",ROUNDUP(AL151/AL159,0))</f>
        <v/>
      </c>
    </row>
    <row r="160" spans="1:81" ht="17.100000000000001" customHeight="1">
      <c r="A160" s="174"/>
      <c r="B160" s="30" t="s">
        <v>27</v>
      </c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9"/>
      <c r="AC160" s="39"/>
      <c r="AD160" s="39"/>
      <c r="AE160" s="39"/>
      <c r="AF160" s="39"/>
      <c r="AG160" s="39"/>
      <c r="AH160" s="39"/>
      <c r="AI160" s="39"/>
      <c r="AJ160" s="39"/>
      <c r="AK160" s="39"/>
      <c r="AL160" s="39"/>
      <c r="AM160" s="39"/>
      <c r="AN160" s="40" t="str">
        <f t="shared" si="508"/>
        <v/>
      </c>
      <c r="AO160" s="39"/>
      <c r="AP160" s="39"/>
      <c r="AQ160" s="42">
        <f t="shared" si="509"/>
        <v>0</v>
      </c>
      <c r="AR160" s="25">
        <f t="shared" si="510"/>
        <v>0</v>
      </c>
      <c r="AT160" s="3" t="str">
        <f t="shared" ref="AT160:CA160" si="526">IF(C160=0,"",ROUNDUP(C151/C160,0))</f>
        <v/>
      </c>
      <c r="AU160" s="3" t="str">
        <f t="shared" si="526"/>
        <v/>
      </c>
      <c r="AV160" s="3" t="str">
        <f t="shared" si="526"/>
        <v/>
      </c>
      <c r="AW160" s="3" t="str">
        <f t="shared" si="526"/>
        <v/>
      </c>
      <c r="AX160" s="3" t="str">
        <f t="shared" si="526"/>
        <v/>
      </c>
      <c r="AY160" s="3" t="str">
        <f t="shared" si="526"/>
        <v/>
      </c>
      <c r="AZ160" s="3" t="str">
        <f t="shared" si="526"/>
        <v/>
      </c>
      <c r="BA160" s="3" t="str">
        <f t="shared" si="526"/>
        <v/>
      </c>
      <c r="BB160" s="3" t="str">
        <f t="shared" si="526"/>
        <v/>
      </c>
      <c r="BC160" s="3" t="str">
        <f t="shared" si="526"/>
        <v/>
      </c>
      <c r="BD160" s="3" t="str">
        <f t="shared" si="526"/>
        <v/>
      </c>
      <c r="BE160" s="3" t="str">
        <f t="shared" si="526"/>
        <v/>
      </c>
      <c r="BF160" s="3" t="str">
        <f t="shared" si="526"/>
        <v/>
      </c>
      <c r="BG160" s="3" t="str">
        <f t="shared" si="526"/>
        <v/>
      </c>
      <c r="BH160" s="3" t="str">
        <f t="shared" si="526"/>
        <v/>
      </c>
      <c r="BI160" s="3" t="str">
        <f t="shared" si="526"/>
        <v/>
      </c>
      <c r="BJ160" s="3" t="str">
        <f t="shared" si="526"/>
        <v/>
      </c>
      <c r="BK160" s="3" t="str">
        <f t="shared" si="526"/>
        <v/>
      </c>
      <c r="BL160" s="3" t="str">
        <f t="shared" si="526"/>
        <v/>
      </c>
      <c r="BM160" s="3" t="str">
        <f t="shared" si="526"/>
        <v/>
      </c>
      <c r="BN160" s="3" t="str">
        <f t="shared" si="526"/>
        <v/>
      </c>
      <c r="BO160" s="3" t="str">
        <f t="shared" si="526"/>
        <v/>
      </c>
      <c r="BP160" s="3" t="str">
        <f t="shared" si="526"/>
        <v/>
      </c>
      <c r="BQ160" s="3" t="str">
        <f t="shared" si="526"/>
        <v/>
      </c>
      <c r="BR160" s="3" t="str">
        <f t="shared" si="526"/>
        <v/>
      </c>
      <c r="BS160" s="3" t="str">
        <f t="shared" si="526"/>
        <v/>
      </c>
      <c r="BT160" s="3" t="str">
        <f t="shared" si="526"/>
        <v/>
      </c>
      <c r="BU160" s="3" t="str">
        <f t="shared" si="526"/>
        <v/>
      </c>
      <c r="BV160" s="3" t="str">
        <f t="shared" si="526"/>
        <v/>
      </c>
      <c r="BW160" s="3" t="str">
        <f t="shared" si="526"/>
        <v/>
      </c>
      <c r="BX160" s="3" t="str">
        <f t="shared" si="526"/>
        <v/>
      </c>
      <c r="BY160" s="3" t="str">
        <f t="shared" si="526"/>
        <v/>
      </c>
      <c r="BZ160" s="3" t="str">
        <f t="shared" si="526"/>
        <v/>
      </c>
      <c r="CA160" s="3" t="str">
        <f t="shared" si="526"/>
        <v/>
      </c>
      <c r="CB160" s="3" t="str">
        <f t="shared" ref="CB160" si="527">IF(AK160=0,"",ROUNDUP(AK151/AK160,0))</f>
        <v/>
      </c>
      <c r="CC160" s="3" t="str">
        <f t="shared" ref="CC160" si="528">IF(AL160=0,"",ROUNDUP(AL151/AL160,0))</f>
        <v/>
      </c>
    </row>
    <row r="161" spans="1:81" ht="17.100000000000001" customHeight="1">
      <c r="A161" s="175"/>
      <c r="B161" s="30" t="s">
        <v>28</v>
      </c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  <c r="AA161" s="39"/>
      <c r="AB161" s="39"/>
      <c r="AC161" s="39"/>
      <c r="AD161" s="39"/>
      <c r="AE161" s="39"/>
      <c r="AF161" s="39"/>
      <c r="AG161" s="39"/>
      <c r="AH161" s="39"/>
      <c r="AI161" s="39"/>
      <c r="AJ161" s="39"/>
      <c r="AK161" s="39"/>
      <c r="AL161" s="39"/>
      <c r="AM161" s="39"/>
      <c r="AN161" s="41" t="str">
        <f t="shared" si="508"/>
        <v/>
      </c>
      <c r="AO161" s="39"/>
      <c r="AP161" s="39"/>
      <c r="AQ161" s="42">
        <f t="shared" si="509"/>
        <v>0</v>
      </c>
      <c r="AR161" s="25">
        <f t="shared" si="510"/>
        <v>0</v>
      </c>
      <c r="AT161" s="3" t="str">
        <f t="shared" ref="AT161:CA161" si="529">IF(C161=0,"",ROUNDUP(C151/C161,0))</f>
        <v/>
      </c>
      <c r="AU161" s="3" t="str">
        <f t="shared" si="529"/>
        <v/>
      </c>
      <c r="AV161" s="3" t="str">
        <f t="shared" si="529"/>
        <v/>
      </c>
      <c r="AW161" s="3" t="str">
        <f t="shared" si="529"/>
        <v/>
      </c>
      <c r="AX161" s="3" t="str">
        <f t="shared" si="529"/>
        <v/>
      </c>
      <c r="AY161" s="3" t="str">
        <f t="shared" si="529"/>
        <v/>
      </c>
      <c r="AZ161" s="3" t="str">
        <f t="shared" si="529"/>
        <v/>
      </c>
      <c r="BA161" s="3" t="str">
        <f t="shared" si="529"/>
        <v/>
      </c>
      <c r="BB161" s="3" t="str">
        <f t="shared" si="529"/>
        <v/>
      </c>
      <c r="BC161" s="3" t="str">
        <f t="shared" si="529"/>
        <v/>
      </c>
      <c r="BD161" s="3" t="str">
        <f t="shared" si="529"/>
        <v/>
      </c>
      <c r="BE161" s="3" t="str">
        <f t="shared" si="529"/>
        <v/>
      </c>
      <c r="BF161" s="3" t="str">
        <f t="shared" si="529"/>
        <v/>
      </c>
      <c r="BG161" s="3" t="str">
        <f t="shared" si="529"/>
        <v/>
      </c>
      <c r="BH161" s="3" t="str">
        <f t="shared" si="529"/>
        <v/>
      </c>
      <c r="BI161" s="3" t="str">
        <f t="shared" si="529"/>
        <v/>
      </c>
      <c r="BJ161" s="3" t="str">
        <f t="shared" si="529"/>
        <v/>
      </c>
      <c r="BK161" s="3" t="str">
        <f t="shared" si="529"/>
        <v/>
      </c>
      <c r="BL161" s="3" t="str">
        <f t="shared" si="529"/>
        <v/>
      </c>
      <c r="BM161" s="3" t="str">
        <f t="shared" si="529"/>
        <v/>
      </c>
      <c r="BN161" s="3" t="str">
        <f t="shared" si="529"/>
        <v/>
      </c>
      <c r="BO161" s="3" t="str">
        <f t="shared" si="529"/>
        <v/>
      </c>
      <c r="BP161" s="3" t="str">
        <f t="shared" si="529"/>
        <v/>
      </c>
      <c r="BQ161" s="3" t="str">
        <f t="shared" si="529"/>
        <v/>
      </c>
      <c r="BR161" s="3" t="str">
        <f t="shared" si="529"/>
        <v/>
      </c>
      <c r="BS161" s="3" t="str">
        <f t="shared" si="529"/>
        <v/>
      </c>
      <c r="BT161" s="3" t="str">
        <f t="shared" si="529"/>
        <v/>
      </c>
      <c r="BU161" s="3" t="str">
        <f t="shared" si="529"/>
        <v/>
      </c>
      <c r="BV161" s="3" t="str">
        <f t="shared" si="529"/>
        <v/>
      </c>
      <c r="BW161" s="3" t="str">
        <f t="shared" si="529"/>
        <v/>
      </c>
      <c r="BX161" s="3" t="str">
        <f t="shared" si="529"/>
        <v/>
      </c>
      <c r="BY161" s="3" t="str">
        <f t="shared" si="529"/>
        <v/>
      </c>
      <c r="BZ161" s="3" t="str">
        <f t="shared" si="529"/>
        <v/>
      </c>
      <c r="CA161" s="3" t="str">
        <f t="shared" si="529"/>
        <v/>
      </c>
      <c r="CB161" s="3" t="str">
        <f t="shared" ref="CB161" si="530">IF(AK161=0,"",ROUNDUP(AK151/AK161,0))</f>
        <v/>
      </c>
      <c r="CC161" s="3" t="str">
        <f t="shared" ref="CC161" si="531">IF(AL161=0,"",ROUNDUP(AL151/AL161,0))</f>
        <v/>
      </c>
    </row>
    <row r="162" spans="1:81" ht="17.100000000000001" customHeight="1" thickBot="1">
      <c r="AN162" s="7">
        <f>SUM(AN154:AN161)</f>
        <v>0</v>
      </c>
      <c r="AQ162" s="12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ht="21.95" customHeight="1" thickBot="1">
      <c r="A163" s="201">
        <v>11</v>
      </c>
      <c r="B163" s="202"/>
      <c r="C163" s="203"/>
      <c r="AQ163" s="12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ht="17.100000000000001" customHeight="1">
      <c r="A164" s="51" t="s">
        <v>29</v>
      </c>
      <c r="B164" s="50"/>
      <c r="C164" s="147" t="s">
        <v>10</v>
      </c>
      <c r="D164" s="148"/>
      <c r="E164" s="148"/>
      <c r="F164" s="148"/>
      <c r="G164" s="148"/>
      <c r="H164" s="148"/>
      <c r="I164" s="148"/>
      <c r="J164" s="148"/>
      <c r="K164" s="148"/>
      <c r="L164" s="148"/>
      <c r="M164" s="148"/>
      <c r="N164" s="148"/>
      <c r="O164" s="148"/>
      <c r="P164" s="148"/>
      <c r="Q164" s="148"/>
      <c r="R164" s="148"/>
      <c r="S164" s="148"/>
      <c r="T164" s="148"/>
      <c r="U164" s="148"/>
      <c r="V164" s="148"/>
      <c r="W164" s="148"/>
      <c r="X164" s="148"/>
      <c r="Y164" s="148"/>
      <c r="Z164" s="148"/>
      <c r="AA164" s="148"/>
      <c r="AB164" s="148"/>
      <c r="AC164" s="148"/>
      <c r="AD164" s="148"/>
      <c r="AE164" s="148"/>
      <c r="AF164" s="148"/>
      <c r="AG164" s="148"/>
      <c r="AH164" s="148"/>
      <c r="AI164" s="148"/>
      <c r="AJ164" s="148"/>
      <c r="AK164" s="148"/>
      <c r="AL164" s="148"/>
      <c r="AM164" s="10"/>
      <c r="AN164" s="31"/>
      <c r="AO164" s="35" t="s">
        <v>4</v>
      </c>
      <c r="AP164" s="149"/>
      <c r="AQ164" s="150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ht="27">
      <c r="A165" s="52" t="s">
        <v>36</v>
      </c>
      <c r="B165" s="50"/>
      <c r="C165" s="26" t="str">
        <f>IF(C149=0,"",IF(C149&gt;0,C149))</f>
        <v/>
      </c>
      <c r="D165" s="26" t="str">
        <f t="shared" ref="D165:AL165" si="532">IF(D149=0,"",IF(D149&gt;0,D149))</f>
        <v/>
      </c>
      <c r="E165" s="26" t="str">
        <f t="shared" si="532"/>
        <v/>
      </c>
      <c r="F165" s="26" t="str">
        <f t="shared" si="532"/>
        <v/>
      </c>
      <c r="G165" s="26" t="str">
        <f t="shared" si="532"/>
        <v/>
      </c>
      <c r="H165" s="26" t="str">
        <f t="shared" si="532"/>
        <v/>
      </c>
      <c r="I165" s="26" t="str">
        <f t="shared" si="532"/>
        <v/>
      </c>
      <c r="J165" s="26" t="str">
        <f t="shared" si="532"/>
        <v/>
      </c>
      <c r="K165" s="26" t="str">
        <f t="shared" si="532"/>
        <v/>
      </c>
      <c r="L165" s="26" t="str">
        <f t="shared" si="532"/>
        <v/>
      </c>
      <c r="M165" s="26" t="str">
        <f t="shared" si="532"/>
        <v/>
      </c>
      <c r="N165" s="26" t="str">
        <f t="shared" si="532"/>
        <v/>
      </c>
      <c r="O165" s="26" t="str">
        <f t="shared" si="532"/>
        <v/>
      </c>
      <c r="P165" s="26" t="str">
        <f t="shared" si="532"/>
        <v/>
      </c>
      <c r="Q165" s="26" t="str">
        <f t="shared" si="532"/>
        <v/>
      </c>
      <c r="R165" s="26" t="str">
        <f t="shared" si="532"/>
        <v/>
      </c>
      <c r="S165" s="26" t="str">
        <f t="shared" si="532"/>
        <v/>
      </c>
      <c r="T165" s="26" t="str">
        <f t="shared" si="532"/>
        <v/>
      </c>
      <c r="U165" s="26" t="str">
        <f t="shared" si="532"/>
        <v/>
      </c>
      <c r="V165" s="26" t="str">
        <f t="shared" si="532"/>
        <v/>
      </c>
      <c r="W165" s="26" t="str">
        <f t="shared" si="532"/>
        <v/>
      </c>
      <c r="X165" s="26" t="str">
        <f t="shared" si="532"/>
        <v/>
      </c>
      <c r="Y165" s="26" t="str">
        <f t="shared" si="532"/>
        <v/>
      </c>
      <c r="Z165" s="26" t="str">
        <f t="shared" si="532"/>
        <v/>
      </c>
      <c r="AA165" s="26" t="str">
        <f t="shared" si="532"/>
        <v/>
      </c>
      <c r="AB165" s="26" t="str">
        <f t="shared" si="532"/>
        <v/>
      </c>
      <c r="AC165" s="26" t="str">
        <f t="shared" si="532"/>
        <v/>
      </c>
      <c r="AD165" s="26" t="str">
        <f t="shared" si="532"/>
        <v/>
      </c>
      <c r="AE165" s="26" t="str">
        <f t="shared" si="532"/>
        <v/>
      </c>
      <c r="AF165" s="26" t="str">
        <f t="shared" si="532"/>
        <v/>
      </c>
      <c r="AG165" s="26" t="str">
        <f t="shared" si="532"/>
        <v/>
      </c>
      <c r="AH165" s="26" t="str">
        <f t="shared" si="532"/>
        <v/>
      </c>
      <c r="AI165" s="26" t="str">
        <f t="shared" si="532"/>
        <v/>
      </c>
      <c r="AJ165" s="26" t="str">
        <f t="shared" si="532"/>
        <v/>
      </c>
      <c r="AK165" s="26" t="str">
        <f t="shared" si="532"/>
        <v/>
      </c>
      <c r="AL165" s="26" t="str">
        <f t="shared" si="532"/>
        <v/>
      </c>
      <c r="AM165" s="5" t="s">
        <v>2</v>
      </c>
      <c r="AN165" s="31"/>
      <c r="AO165" s="32" t="s">
        <v>5</v>
      </c>
      <c r="AP165" s="151">
        <f>SUM(AQ170:AQ177)</f>
        <v>0</v>
      </c>
      <c r="AQ165" s="151"/>
      <c r="AT165" s="2" t="str">
        <f t="shared" ref="AT165:BY165" si="533">IF(C165=0,"",IF(C165&gt;0,C165))</f>
        <v/>
      </c>
      <c r="AU165" s="2" t="str">
        <f t="shared" si="533"/>
        <v/>
      </c>
      <c r="AV165" s="2" t="str">
        <f t="shared" si="533"/>
        <v/>
      </c>
      <c r="AW165" s="2" t="str">
        <f t="shared" si="533"/>
        <v/>
      </c>
      <c r="AX165" s="2" t="str">
        <f t="shared" si="533"/>
        <v/>
      </c>
      <c r="AY165" s="2" t="str">
        <f t="shared" si="533"/>
        <v/>
      </c>
      <c r="AZ165" s="2" t="str">
        <f t="shared" si="533"/>
        <v/>
      </c>
      <c r="BA165" s="2" t="str">
        <f t="shared" si="533"/>
        <v/>
      </c>
      <c r="BB165" s="2" t="str">
        <f t="shared" si="533"/>
        <v/>
      </c>
      <c r="BC165" s="2" t="str">
        <f t="shared" si="533"/>
        <v/>
      </c>
      <c r="BD165" s="2" t="str">
        <f t="shared" si="533"/>
        <v/>
      </c>
      <c r="BE165" s="2" t="str">
        <f t="shared" si="533"/>
        <v/>
      </c>
      <c r="BF165" s="2" t="str">
        <f t="shared" si="533"/>
        <v/>
      </c>
      <c r="BG165" s="2" t="str">
        <f t="shared" si="533"/>
        <v/>
      </c>
      <c r="BH165" s="2" t="str">
        <f t="shared" si="533"/>
        <v/>
      </c>
      <c r="BI165" s="2" t="str">
        <f t="shared" si="533"/>
        <v/>
      </c>
      <c r="BJ165" s="2" t="str">
        <f t="shared" si="533"/>
        <v/>
      </c>
      <c r="BK165" s="2" t="str">
        <f t="shared" si="533"/>
        <v/>
      </c>
      <c r="BL165" s="2" t="str">
        <f t="shared" si="533"/>
        <v/>
      </c>
      <c r="BM165" s="2" t="str">
        <f t="shared" si="533"/>
        <v/>
      </c>
      <c r="BN165" s="2" t="str">
        <f t="shared" si="533"/>
        <v/>
      </c>
      <c r="BO165" s="2" t="str">
        <f t="shared" si="533"/>
        <v/>
      </c>
      <c r="BP165" s="2" t="str">
        <f t="shared" si="533"/>
        <v/>
      </c>
      <c r="BQ165" s="2" t="str">
        <f t="shared" si="533"/>
        <v/>
      </c>
      <c r="BR165" s="2" t="str">
        <f t="shared" si="533"/>
        <v/>
      </c>
      <c r="BS165" s="2" t="str">
        <f t="shared" si="533"/>
        <v/>
      </c>
      <c r="BT165" s="2" t="str">
        <f t="shared" si="533"/>
        <v/>
      </c>
      <c r="BU165" s="2" t="str">
        <f t="shared" si="533"/>
        <v/>
      </c>
      <c r="BV165" s="2" t="str">
        <f t="shared" si="533"/>
        <v/>
      </c>
      <c r="BW165" s="2" t="str">
        <f t="shared" si="533"/>
        <v/>
      </c>
      <c r="BX165" s="2" t="str">
        <f t="shared" si="533"/>
        <v/>
      </c>
      <c r="BY165" s="2" t="str">
        <f t="shared" si="533"/>
        <v/>
      </c>
      <c r="BZ165" s="2" t="str">
        <f t="shared" ref="BZ165" si="534">IF(AI165=0,"",IF(AI165&gt;0,AI165))</f>
        <v/>
      </c>
      <c r="CA165" s="2" t="str">
        <f t="shared" ref="CA165" si="535">IF(AJ165=0,"",IF(AJ165&gt;0,AJ165))</f>
        <v/>
      </c>
      <c r="CB165" s="2" t="str">
        <f t="shared" ref="CB165" si="536">IF(AK165=0,"",IF(AK165&gt;0,AK165))</f>
        <v/>
      </c>
      <c r="CC165" s="2" t="str">
        <f t="shared" ref="CC165" si="537">IF(AL165=0,"",IF(AL165&gt;0,AL165))</f>
        <v/>
      </c>
    </row>
    <row r="166" spans="1:81" ht="17.100000000000001" customHeight="1">
      <c r="A166" s="152" t="s">
        <v>30</v>
      </c>
      <c r="B166" s="153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  <c r="AG166" s="46"/>
      <c r="AH166" s="46"/>
      <c r="AI166" s="46"/>
      <c r="AJ166" s="46"/>
      <c r="AK166" s="46"/>
      <c r="AL166" s="46"/>
      <c r="AM166" s="45">
        <f>SUM(C166:AL166)</f>
        <v>0</v>
      </c>
      <c r="AN166" s="33"/>
      <c r="AO166" s="34" t="str">
        <f>IF(AP166&lt;5,"NO ",IF(AP166=5,"ok",IF(AP166&gt;5,"ok")))</f>
        <v xml:space="preserve">NO </v>
      </c>
      <c r="AP166" s="154">
        <f>AP164-AP165-AP167</f>
        <v>0</v>
      </c>
      <c r="AQ166" s="154"/>
      <c r="AR166" s="16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</row>
    <row r="167" spans="1:81" ht="17.100000000000001" customHeight="1">
      <c r="A167" s="152"/>
      <c r="B167" s="153"/>
      <c r="C167" s="47" t="str">
        <f>IF(C165="","",C166-C170*$AM170-C171*$AM171-C172*$AM172-C173*$AM173-C174*$AM174-C175*$AM175-C176*$AM176-C177*$AM177)</f>
        <v/>
      </c>
      <c r="D167" s="47" t="str">
        <f t="shared" ref="D167" si="538">IF(D165="","",D166-D170*$AM170-D171*$AM171-D172*$AM172-D173*$AM173-D174*$AM174-D175*$AM175-D176*$AM176-D177*$AM177)</f>
        <v/>
      </c>
      <c r="E167" s="47" t="str">
        <f t="shared" ref="E167" si="539">IF(E165="","",E166-E170*$AM170-E171*$AM171-E172*$AM172-E173*$AM173-E174*$AM174-E175*$AM175-E176*$AM176-E177*$AM177)</f>
        <v/>
      </c>
      <c r="F167" s="47" t="str">
        <f t="shared" ref="F167" si="540">IF(F165="","",F166-F170*$AM170-F171*$AM171-F172*$AM172-F173*$AM173-F174*$AM174-F175*$AM175-F176*$AM176-F177*$AM177)</f>
        <v/>
      </c>
      <c r="G167" s="47" t="str">
        <f t="shared" ref="G167" si="541">IF(G165="","",G166-G170*$AM170-G171*$AM171-G172*$AM172-G173*$AM173-G174*$AM174-G175*$AM175-G176*$AM176-G177*$AM177)</f>
        <v/>
      </c>
      <c r="H167" s="47" t="str">
        <f t="shared" ref="H167" si="542">IF(H165="","",H166-H170*$AM170-H171*$AM171-H172*$AM172-H173*$AM173-H174*$AM174-H175*$AM175-H176*$AM176-H177*$AM177)</f>
        <v/>
      </c>
      <c r="I167" s="47" t="str">
        <f t="shared" ref="I167" si="543">IF(I165="","",I166-I170*$AM170-I171*$AM171-I172*$AM172-I173*$AM173-I174*$AM174-I175*$AM175-I176*$AM176-I177*$AM177)</f>
        <v/>
      </c>
      <c r="J167" s="47" t="str">
        <f t="shared" ref="J167" si="544">IF(J165="","",J166-J170*$AM170-J171*$AM171-J172*$AM172-J173*$AM173-J174*$AM174-J175*$AM175-J176*$AM176-J177*$AM177)</f>
        <v/>
      </c>
      <c r="K167" s="47" t="str">
        <f t="shared" ref="K167" si="545">IF(K165="","",K166-K170*$AM170-K171*$AM171-K172*$AM172-K173*$AM173-K174*$AM174-K175*$AM175-K176*$AM176-K177*$AM177)</f>
        <v/>
      </c>
      <c r="L167" s="47" t="str">
        <f t="shared" ref="L167" si="546">IF(L165="","",L166-L170*$AM170-L171*$AM171-L172*$AM172-L173*$AM173-L174*$AM174-L175*$AM175-L176*$AM176-L177*$AM177)</f>
        <v/>
      </c>
      <c r="M167" s="47" t="str">
        <f t="shared" ref="M167" si="547">IF(M165="","",M166-M170*$AM170-M171*$AM171-M172*$AM172-M173*$AM173-M174*$AM174-M175*$AM175-M176*$AM176-M177*$AM177)</f>
        <v/>
      </c>
      <c r="N167" s="47" t="str">
        <f t="shared" ref="N167" si="548">IF(N165="","",N166-N170*$AM170-N171*$AM171-N172*$AM172-N173*$AM173-N174*$AM174-N175*$AM175-N176*$AM176-N177*$AM177)</f>
        <v/>
      </c>
      <c r="O167" s="47" t="str">
        <f t="shared" ref="O167" si="549">IF(O165="","",O166-O170*$AM170-O171*$AM171-O172*$AM172-O173*$AM173-O174*$AM174-O175*$AM175-O176*$AM176-O177*$AM177)</f>
        <v/>
      </c>
      <c r="P167" s="47" t="str">
        <f t="shared" ref="P167" si="550">IF(P165="","",P166-P170*$AM170-P171*$AM171-P172*$AM172-P173*$AM173-P174*$AM174-P175*$AM175-P176*$AM176-P177*$AM177)</f>
        <v/>
      </c>
      <c r="Q167" s="47" t="str">
        <f t="shared" ref="Q167" si="551">IF(Q165="","",Q166-Q170*$AM170-Q171*$AM171-Q172*$AM172-Q173*$AM173-Q174*$AM174-Q175*$AM175-Q176*$AM176-Q177*$AM177)</f>
        <v/>
      </c>
      <c r="R167" s="47" t="str">
        <f t="shared" ref="R167" si="552">IF(R165="","",R166-R170*$AM170-R171*$AM171-R172*$AM172-R173*$AM173-R174*$AM174-R175*$AM175-R176*$AM176-R177*$AM177)</f>
        <v/>
      </c>
      <c r="S167" s="47" t="str">
        <f t="shared" ref="S167" si="553">IF(S165="","",S166-S170*$AM170-S171*$AM171-S172*$AM172-S173*$AM173-S174*$AM174-S175*$AM175-S176*$AM176-S177*$AM177)</f>
        <v/>
      </c>
      <c r="T167" s="47" t="str">
        <f t="shared" ref="T167" si="554">IF(T165="","",T166-T170*$AM170-T171*$AM171-T172*$AM172-T173*$AM173-T174*$AM174-T175*$AM175-T176*$AM176-T177*$AM177)</f>
        <v/>
      </c>
      <c r="U167" s="47" t="str">
        <f t="shared" ref="U167" si="555">IF(U165="","",U166-U170*$AM170-U171*$AM171-U172*$AM172-U173*$AM173-U174*$AM174-U175*$AM175-U176*$AM176-U177*$AM177)</f>
        <v/>
      </c>
      <c r="V167" s="47" t="str">
        <f t="shared" ref="V167" si="556">IF(V165="","",V166-V170*$AM170-V171*$AM171-V172*$AM172-V173*$AM173-V174*$AM174-V175*$AM175-V176*$AM176-V177*$AM177)</f>
        <v/>
      </c>
      <c r="W167" s="47" t="str">
        <f t="shared" ref="W167" si="557">IF(W165="","",W166-W170*$AM170-W171*$AM171-W172*$AM172-W173*$AM173-W174*$AM174-W175*$AM175-W176*$AM176-W177*$AM177)</f>
        <v/>
      </c>
      <c r="X167" s="47" t="str">
        <f t="shared" ref="X167" si="558">IF(X165="","",X166-X170*$AM170-X171*$AM171-X172*$AM172-X173*$AM173-X174*$AM174-X175*$AM175-X176*$AM176-X177*$AM177)</f>
        <v/>
      </c>
      <c r="Y167" s="47" t="str">
        <f t="shared" ref="Y167" si="559">IF(Y165="","",Y166-Y170*$AM170-Y171*$AM171-Y172*$AM172-Y173*$AM173-Y174*$AM174-Y175*$AM175-Y176*$AM176-Y177*$AM177)</f>
        <v/>
      </c>
      <c r="Z167" s="47" t="str">
        <f t="shared" ref="Z167" si="560">IF(Z165="","",Z166-Z170*$AM170-Z171*$AM171-Z172*$AM172-Z173*$AM173-Z174*$AM174-Z175*$AM175-Z176*$AM176-Z177*$AM177)</f>
        <v/>
      </c>
      <c r="AA167" s="47" t="str">
        <f t="shared" ref="AA167" si="561">IF(AA165="","",AA166-AA170*$AM170-AA171*$AM171-AA172*$AM172-AA173*$AM173-AA174*$AM174-AA175*$AM175-AA176*$AM176-AA177*$AM177)</f>
        <v/>
      </c>
      <c r="AB167" s="47" t="str">
        <f t="shared" ref="AB167" si="562">IF(AB165="","",AB166-AB170*$AM170-AB171*$AM171-AB172*$AM172-AB173*$AM173-AB174*$AM174-AB175*$AM175-AB176*$AM176-AB177*$AM177)</f>
        <v/>
      </c>
      <c r="AC167" s="47" t="str">
        <f t="shared" ref="AC167" si="563">IF(AC165="","",AC166-AC170*$AM170-AC171*$AM171-AC172*$AM172-AC173*$AM173-AC174*$AM174-AC175*$AM175-AC176*$AM176-AC177*$AM177)</f>
        <v/>
      </c>
      <c r="AD167" s="47" t="str">
        <f t="shared" ref="AD167" si="564">IF(AD165="","",AD166-AD170*$AM170-AD171*$AM171-AD172*$AM172-AD173*$AM173-AD174*$AM174-AD175*$AM175-AD176*$AM176-AD177*$AM177)</f>
        <v/>
      </c>
      <c r="AE167" s="47" t="str">
        <f t="shared" ref="AE167" si="565">IF(AE165="","",AE166-AE170*$AM170-AE171*$AM171-AE172*$AM172-AE173*$AM173-AE174*$AM174-AE175*$AM175-AE176*$AM176-AE177*$AM177)</f>
        <v/>
      </c>
      <c r="AF167" s="47" t="str">
        <f t="shared" ref="AF167" si="566">IF(AF165="","",AF166-AF170*$AM170-AF171*$AM171-AF172*$AM172-AF173*$AM173-AF174*$AM174-AF175*$AM175-AF176*$AM176-AF177*$AM177)</f>
        <v/>
      </c>
      <c r="AG167" s="47" t="str">
        <f t="shared" ref="AG167" si="567">IF(AG165="","",AG166-AG170*$AM170-AG171*$AM171-AG172*$AM172-AG173*$AM173-AG174*$AM174-AG175*$AM175-AG176*$AM176-AG177*$AM177)</f>
        <v/>
      </c>
      <c r="AH167" s="47" t="str">
        <f t="shared" ref="AH167" si="568">IF(AH165="","",AH166-AH170*$AM170-AH171*$AM171-AH172*$AM172-AH173*$AM173-AH174*$AM174-AH175*$AM175-AH176*$AM176-AH177*$AM177)</f>
        <v/>
      </c>
      <c r="AI167" s="47" t="str">
        <f t="shared" ref="AI167" si="569">IF(AI165="","",AI166-AI170*$AM170-AI171*$AM171-AI172*$AM172-AI173*$AM173-AI174*$AM174-AI175*$AM175-AI176*$AM176-AI177*$AM177)</f>
        <v/>
      </c>
      <c r="AJ167" s="47" t="str">
        <f t="shared" ref="AJ167" si="570">IF(AJ165="","",AJ166-AJ170*$AM170-AJ171*$AM171-AJ172*$AM172-AJ173*$AM173-AJ174*$AM174-AJ175*$AM175-AJ176*$AM176-AJ177*$AM177)</f>
        <v/>
      </c>
      <c r="AK167" s="47" t="str">
        <f>IF(AK165="","",AK166-AK170*$AM170-AK171*$AM171-AK172*$AM172-AK173*$AM173-AK174*$AM174-AK175*$AM175-AK176*$AM176-AK177*$AM177)</f>
        <v/>
      </c>
      <c r="AL167" s="47" t="str">
        <f t="shared" ref="AL167" si="571">IF(AL165="","",AL166-AL170*$AM170-AL171*$AM171-AL172*$AM172-AL173*$AM173-AL174*$AM174-AL175*$AM175-AL176*$AM176-AL177*$AM177)</f>
        <v/>
      </c>
      <c r="AM167" s="45">
        <f>SUM(C167:AL167)</f>
        <v>0</v>
      </c>
      <c r="AN167" s="155" t="s">
        <v>33</v>
      </c>
      <c r="AO167" s="156"/>
      <c r="AP167" s="157"/>
      <c r="AQ167" s="158"/>
      <c r="AR167" s="17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</row>
    <row r="168" spans="1:81" ht="17.100000000000001" customHeight="1">
      <c r="A168" s="177" t="s">
        <v>20</v>
      </c>
      <c r="B168" s="178"/>
      <c r="C168" s="181" t="s">
        <v>0</v>
      </c>
      <c r="D168" s="182"/>
      <c r="E168" s="182"/>
      <c r="F168" s="182"/>
      <c r="G168" s="182"/>
      <c r="H168" s="182"/>
      <c r="I168" s="182"/>
      <c r="J168" s="182"/>
      <c r="K168" s="182"/>
      <c r="L168" s="182"/>
      <c r="M168" s="182"/>
      <c r="N168" s="182"/>
      <c r="O168" s="182"/>
      <c r="P168" s="182"/>
      <c r="Q168" s="182"/>
      <c r="R168" s="182"/>
      <c r="S168" s="182"/>
      <c r="T168" s="182"/>
      <c r="U168" s="182"/>
      <c r="V168" s="182"/>
      <c r="W168" s="182"/>
      <c r="X168" s="182"/>
      <c r="Y168" s="182"/>
      <c r="Z168" s="182"/>
      <c r="AA168" s="182"/>
      <c r="AB168" s="182"/>
      <c r="AC168" s="182"/>
      <c r="AD168" s="182"/>
      <c r="AE168" s="182"/>
      <c r="AF168" s="182"/>
      <c r="AG168" s="182"/>
      <c r="AH168" s="182"/>
      <c r="AI168" s="182"/>
      <c r="AJ168" s="182"/>
      <c r="AK168" s="182"/>
      <c r="AL168" s="183"/>
      <c r="AM168" s="187" t="s">
        <v>1</v>
      </c>
      <c r="AN168" s="200" t="s">
        <v>11</v>
      </c>
      <c r="AO168" s="196" t="s">
        <v>12</v>
      </c>
      <c r="AP168" s="197"/>
      <c r="AQ168" s="193" t="s">
        <v>6</v>
      </c>
      <c r="AR168" s="24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</row>
    <row r="169" spans="1:81" ht="17.100000000000001" customHeight="1">
      <c r="A169" s="179"/>
      <c r="B169" s="180"/>
      <c r="C169" s="184"/>
      <c r="D169" s="185"/>
      <c r="E169" s="185"/>
      <c r="F169" s="185"/>
      <c r="G169" s="185"/>
      <c r="H169" s="185"/>
      <c r="I169" s="185"/>
      <c r="J169" s="185"/>
      <c r="K169" s="185"/>
      <c r="L169" s="185"/>
      <c r="M169" s="185"/>
      <c r="N169" s="185"/>
      <c r="O169" s="185"/>
      <c r="P169" s="185"/>
      <c r="Q169" s="185"/>
      <c r="R169" s="185"/>
      <c r="S169" s="185"/>
      <c r="T169" s="185"/>
      <c r="U169" s="185"/>
      <c r="V169" s="185"/>
      <c r="W169" s="185"/>
      <c r="X169" s="185"/>
      <c r="Y169" s="185"/>
      <c r="Z169" s="185"/>
      <c r="AA169" s="185"/>
      <c r="AB169" s="185"/>
      <c r="AC169" s="185"/>
      <c r="AD169" s="185"/>
      <c r="AE169" s="185"/>
      <c r="AF169" s="185"/>
      <c r="AG169" s="185"/>
      <c r="AH169" s="185"/>
      <c r="AI169" s="185"/>
      <c r="AJ169" s="185"/>
      <c r="AK169" s="185"/>
      <c r="AL169" s="186"/>
      <c r="AM169" s="188"/>
      <c r="AN169" s="190"/>
      <c r="AO169" s="18" t="s">
        <v>3</v>
      </c>
      <c r="AP169" s="19" t="s">
        <v>13</v>
      </c>
      <c r="AQ169" s="172"/>
      <c r="AR169" s="27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</row>
    <row r="170" spans="1:81" ht="17.100000000000001" customHeight="1">
      <c r="A170" s="173"/>
      <c r="B170" s="30" t="s">
        <v>21</v>
      </c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  <c r="AA170" s="39"/>
      <c r="AB170" s="39"/>
      <c r="AC170" s="39"/>
      <c r="AD170" s="39"/>
      <c r="AE170" s="39"/>
      <c r="AF170" s="39"/>
      <c r="AG170" s="39"/>
      <c r="AH170" s="39"/>
      <c r="AI170" s="39"/>
      <c r="AJ170" s="39"/>
      <c r="AK170" s="39"/>
      <c r="AL170" s="39"/>
      <c r="AM170" s="39"/>
      <c r="AN170" s="40" t="str">
        <f>IF(AM170="","",SUM(C170:AL170)*AM170)</f>
        <v/>
      </c>
      <c r="AO170" s="39"/>
      <c r="AP170" s="39"/>
      <c r="AQ170" s="42">
        <f>(AO170+AR170)*AM170</f>
        <v>0</v>
      </c>
      <c r="AR170" s="25">
        <f>AP170/36</f>
        <v>0</v>
      </c>
      <c r="AT170" s="3" t="str">
        <f t="shared" ref="AT170:CA170" si="572">IF(C170=0,"",ROUNDUP(C167/C170,0))</f>
        <v/>
      </c>
      <c r="AU170" s="3" t="str">
        <f t="shared" si="572"/>
        <v/>
      </c>
      <c r="AV170" s="3" t="str">
        <f t="shared" si="572"/>
        <v/>
      </c>
      <c r="AW170" s="3" t="str">
        <f t="shared" si="572"/>
        <v/>
      </c>
      <c r="AX170" s="3" t="str">
        <f t="shared" si="572"/>
        <v/>
      </c>
      <c r="AY170" s="3" t="str">
        <f t="shared" si="572"/>
        <v/>
      </c>
      <c r="AZ170" s="3" t="str">
        <f t="shared" si="572"/>
        <v/>
      </c>
      <c r="BA170" s="3" t="str">
        <f t="shared" si="572"/>
        <v/>
      </c>
      <c r="BB170" s="3" t="str">
        <f t="shared" si="572"/>
        <v/>
      </c>
      <c r="BC170" s="3" t="str">
        <f t="shared" si="572"/>
        <v/>
      </c>
      <c r="BD170" s="3" t="str">
        <f t="shared" si="572"/>
        <v/>
      </c>
      <c r="BE170" s="3" t="str">
        <f t="shared" si="572"/>
        <v/>
      </c>
      <c r="BF170" s="3" t="str">
        <f t="shared" si="572"/>
        <v/>
      </c>
      <c r="BG170" s="3" t="str">
        <f t="shared" si="572"/>
        <v/>
      </c>
      <c r="BH170" s="3" t="str">
        <f t="shared" si="572"/>
        <v/>
      </c>
      <c r="BI170" s="3" t="str">
        <f t="shared" si="572"/>
        <v/>
      </c>
      <c r="BJ170" s="3" t="str">
        <f t="shared" si="572"/>
        <v/>
      </c>
      <c r="BK170" s="3" t="str">
        <f t="shared" si="572"/>
        <v/>
      </c>
      <c r="BL170" s="3" t="str">
        <f t="shared" si="572"/>
        <v/>
      </c>
      <c r="BM170" s="3" t="str">
        <f t="shared" si="572"/>
        <v/>
      </c>
      <c r="BN170" s="3" t="str">
        <f t="shared" si="572"/>
        <v/>
      </c>
      <c r="BO170" s="3" t="str">
        <f t="shared" si="572"/>
        <v/>
      </c>
      <c r="BP170" s="3" t="str">
        <f t="shared" si="572"/>
        <v/>
      </c>
      <c r="BQ170" s="3" t="str">
        <f t="shared" si="572"/>
        <v/>
      </c>
      <c r="BR170" s="3" t="str">
        <f t="shared" si="572"/>
        <v/>
      </c>
      <c r="BS170" s="3" t="str">
        <f t="shared" si="572"/>
        <v/>
      </c>
      <c r="BT170" s="3" t="str">
        <f t="shared" si="572"/>
        <v/>
      </c>
      <c r="BU170" s="3" t="str">
        <f t="shared" si="572"/>
        <v/>
      </c>
      <c r="BV170" s="3" t="str">
        <f t="shared" si="572"/>
        <v/>
      </c>
      <c r="BW170" s="3" t="str">
        <f t="shared" si="572"/>
        <v/>
      </c>
      <c r="BX170" s="3" t="str">
        <f t="shared" si="572"/>
        <v/>
      </c>
      <c r="BY170" s="3" t="str">
        <f t="shared" si="572"/>
        <v/>
      </c>
      <c r="BZ170" s="3" t="str">
        <f t="shared" si="572"/>
        <v/>
      </c>
      <c r="CA170" s="3" t="str">
        <f t="shared" si="572"/>
        <v/>
      </c>
      <c r="CB170" s="3" t="str">
        <f t="shared" ref="CB170" si="573">IF(AK170=0,"",ROUNDUP(AK167/AK170,0))</f>
        <v/>
      </c>
      <c r="CC170" s="3" t="str">
        <f t="shared" ref="CC170" si="574">IF(AL170=0,"",ROUNDUP(AL167/AL170,0))</f>
        <v/>
      </c>
    </row>
    <row r="171" spans="1:81" ht="17.100000000000001" customHeight="1">
      <c r="A171" s="174"/>
      <c r="B171" s="30" t="s">
        <v>22</v>
      </c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  <c r="AA171" s="39"/>
      <c r="AB171" s="39"/>
      <c r="AC171" s="39"/>
      <c r="AD171" s="39"/>
      <c r="AE171" s="39"/>
      <c r="AF171" s="39"/>
      <c r="AG171" s="39"/>
      <c r="AH171" s="39"/>
      <c r="AI171" s="39"/>
      <c r="AJ171" s="39"/>
      <c r="AK171" s="39"/>
      <c r="AL171" s="39"/>
      <c r="AM171" s="39"/>
      <c r="AN171" s="40" t="str">
        <f t="shared" ref="AN171:AN177" si="575">IF(AM171="","",SUM(C171:AL171)*AM171)</f>
        <v/>
      </c>
      <c r="AO171" s="39"/>
      <c r="AP171" s="39"/>
      <c r="AQ171" s="42">
        <f t="shared" ref="AQ171:AQ177" si="576">(AO171+AR171)*AM171</f>
        <v>0</v>
      </c>
      <c r="AR171" s="25">
        <f t="shared" ref="AR171:AR177" si="577">AP171/36</f>
        <v>0</v>
      </c>
      <c r="AT171" s="3" t="str">
        <f t="shared" ref="AT171:CA171" si="578">IF(C171=0,"",ROUNDUP(C167/C171,0))</f>
        <v/>
      </c>
      <c r="AU171" s="3" t="str">
        <f t="shared" si="578"/>
        <v/>
      </c>
      <c r="AV171" s="3" t="str">
        <f t="shared" si="578"/>
        <v/>
      </c>
      <c r="AW171" s="3" t="str">
        <f t="shared" si="578"/>
        <v/>
      </c>
      <c r="AX171" s="3" t="str">
        <f t="shared" si="578"/>
        <v/>
      </c>
      <c r="AY171" s="3" t="str">
        <f t="shared" si="578"/>
        <v/>
      </c>
      <c r="AZ171" s="3" t="str">
        <f t="shared" si="578"/>
        <v/>
      </c>
      <c r="BA171" s="3" t="str">
        <f t="shared" si="578"/>
        <v/>
      </c>
      <c r="BB171" s="3" t="str">
        <f t="shared" si="578"/>
        <v/>
      </c>
      <c r="BC171" s="3" t="str">
        <f t="shared" si="578"/>
        <v/>
      </c>
      <c r="BD171" s="3" t="str">
        <f t="shared" si="578"/>
        <v/>
      </c>
      <c r="BE171" s="3" t="str">
        <f t="shared" si="578"/>
        <v/>
      </c>
      <c r="BF171" s="3" t="str">
        <f t="shared" si="578"/>
        <v/>
      </c>
      <c r="BG171" s="3" t="str">
        <f t="shared" si="578"/>
        <v/>
      </c>
      <c r="BH171" s="3" t="str">
        <f t="shared" si="578"/>
        <v/>
      </c>
      <c r="BI171" s="3" t="str">
        <f t="shared" si="578"/>
        <v/>
      </c>
      <c r="BJ171" s="3" t="str">
        <f t="shared" si="578"/>
        <v/>
      </c>
      <c r="BK171" s="3" t="str">
        <f t="shared" si="578"/>
        <v/>
      </c>
      <c r="BL171" s="3" t="str">
        <f t="shared" si="578"/>
        <v/>
      </c>
      <c r="BM171" s="3" t="str">
        <f t="shared" si="578"/>
        <v/>
      </c>
      <c r="BN171" s="3" t="str">
        <f t="shared" si="578"/>
        <v/>
      </c>
      <c r="BO171" s="3" t="str">
        <f t="shared" si="578"/>
        <v/>
      </c>
      <c r="BP171" s="3" t="str">
        <f t="shared" si="578"/>
        <v/>
      </c>
      <c r="BQ171" s="3" t="str">
        <f t="shared" si="578"/>
        <v/>
      </c>
      <c r="BR171" s="3" t="str">
        <f t="shared" si="578"/>
        <v/>
      </c>
      <c r="BS171" s="3" t="str">
        <f t="shared" si="578"/>
        <v/>
      </c>
      <c r="BT171" s="3" t="str">
        <f t="shared" si="578"/>
        <v/>
      </c>
      <c r="BU171" s="3" t="str">
        <f t="shared" si="578"/>
        <v/>
      </c>
      <c r="BV171" s="3" t="str">
        <f t="shared" si="578"/>
        <v/>
      </c>
      <c r="BW171" s="3" t="str">
        <f t="shared" si="578"/>
        <v/>
      </c>
      <c r="BX171" s="3" t="str">
        <f t="shared" si="578"/>
        <v/>
      </c>
      <c r="BY171" s="3" t="str">
        <f t="shared" si="578"/>
        <v/>
      </c>
      <c r="BZ171" s="3" t="str">
        <f t="shared" si="578"/>
        <v/>
      </c>
      <c r="CA171" s="3" t="str">
        <f t="shared" si="578"/>
        <v/>
      </c>
      <c r="CB171" s="3" t="str">
        <f t="shared" ref="CB171" si="579">IF(AK171=0,"",ROUNDUP(AK167/AK171,0))</f>
        <v/>
      </c>
      <c r="CC171" s="3" t="str">
        <f t="shared" ref="CC171" si="580">IF(AL171=0,"",ROUNDUP(AL167/AL171,0))</f>
        <v/>
      </c>
    </row>
    <row r="172" spans="1:81" ht="17.100000000000001" customHeight="1">
      <c r="A172" s="174"/>
      <c r="B172" s="30" t="s">
        <v>23</v>
      </c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39"/>
      <c r="X172" s="39"/>
      <c r="Y172" s="39"/>
      <c r="Z172" s="39"/>
      <c r="AA172" s="39"/>
      <c r="AB172" s="39"/>
      <c r="AC172" s="39"/>
      <c r="AD172" s="39"/>
      <c r="AE172" s="39"/>
      <c r="AF172" s="39"/>
      <c r="AG172" s="39"/>
      <c r="AH172" s="39"/>
      <c r="AI172" s="39"/>
      <c r="AJ172" s="39"/>
      <c r="AK172" s="39"/>
      <c r="AL172" s="39"/>
      <c r="AM172" s="39"/>
      <c r="AN172" s="40" t="str">
        <f t="shared" si="575"/>
        <v/>
      </c>
      <c r="AO172" s="39"/>
      <c r="AP172" s="39"/>
      <c r="AQ172" s="42">
        <f t="shared" si="576"/>
        <v>0</v>
      </c>
      <c r="AR172" s="25">
        <f t="shared" si="577"/>
        <v>0</v>
      </c>
      <c r="AT172" s="3" t="str">
        <f t="shared" ref="AT172:CA172" si="581">IF(C172=0,"",ROUNDUP(C167/C172,0))</f>
        <v/>
      </c>
      <c r="AU172" s="3" t="str">
        <f t="shared" si="581"/>
        <v/>
      </c>
      <c r="AV172" s="3" t="str">
        <f t="shared" si="581"/>
        <v/>
      </c>
      <c r="AW172" s="3" t="str">
        <f t="shared" si="581"/>
        <v/>
      </c>
      <c r="AX172" s="3" t="str">
        <f t="shared" si="581"/>
        <v/>
      </c>
      <c r="AY172" s="3" t="str">
        <f t="shared" si="581"/>
        <v/>
      </c>
      <c r="AZ172" s="3" t="str">
        <f t="shared" si="581"/>
        <v/>
      </c>
      <c r="BA172" s="3" t="str">
        <f t="shared" si="581"/>
        <v/>
      </c>
      <c r="BB172" s="3" t="str">
        <f t="shared" si="581"/>
        <v/>
      </c>
      <c r="BC172" s="3" t="str">
        <f t="shared" si="581"/>
        <v/>
      </c>
      <c r="BD172" s="3" t="str">
        <f t="shared" si="581"/>
        <v/>
      </c>
      <c r="BE172" s="3" t="str">
        <f t="shared" si="581"/>
        <v/>
      </c>
      <c r="BF172" s="3" t="str">
        <f t="shared" si="581"/>
        <v/>
      </c>
      <c r="BG172" s="3" t="str">
        <f t="shared" si="581"/>
        <v/>
      </c>
      <c r="BH172" s="3" t="str">
        <f t="shared" si="581"/>
        <v/>
      </c>
      <c r="BI172" s="3" t="str">
        <f t="shared" si="581"/>
        <v/>
      </c>
      <c r="BJ172" s="3" t="str">
        <f t="shared" si="581"/>
        <v/>
      </c>
      <c r="BK172" s="3" t="str">
        <f t="shared" si="581"/>
        <v/>
      </c>
      <c r="BL172" s="3" t="str">
        <f t="shared" si="581"/>
        <v/>
      </c>
      <c r="BM172" s="3" t="str">
        <f t="shared" si="581"/>
        <v/>
      </c>
      <c r="BN172" s="3" t="str">
        <f t="shared" si="581"/>
        <v/>
      </c>
      <c r="BO172" s="3" t="str">
        <f t="shared" si="581"/>
        <v/>
      </c>
      <c r="BP172" s="3" t="str">
        <f t="shared" si="581"/>
        <v/>
      </c>
      <c r="BQ172" s="3" t="str">
        <f t="shared" si="581"/>
        <v/>
      </c>
      <c r="BR172" s="3" t="str">
        <f t="shared" si="581"/>
        <v/>
      </c>
      <c r="BS172" s="3" t="str">
        <f t="shared" si="581"/>
        <v/>
      </c>
      <c r="BT172" s="3" t="str">
        <f t="shared" si="581"/>
        <v/>
      </c>
      <c r="BU172" s="3" t="str">
        <f t="shared" si="581"/>
        <v/>
      </c>
      <c r="BV172" s="3" t="str">
        <f t="shared" si="581"/>
        <v/>
      </c>
      <c r="BW172" s="3" t="str">
        <f t="shared" si="581"/>
        <v/>
      </c>
      <c r="BX172" s="3" t="str">
        <f t="shared" si="581"/>
        <v/>
      </c>
      <c r="BY172" s="3" t="str">
        <f t="shared" si="581"/>
        <v/>
      </c>
      <c r="BZ172" s="3" t="str">
        <f t="shared" si="581"/>
        <v/>
      </c>
      <c r="CA172" s="3" t="str">
        <f t="shared" si="581"/>
        <v/>
      </c>
      <c r="CB172" s="3" t="str">
        <f t="shared" ref="CB172" si="582">IF(AK172=0,"",ROUNDUP(AK167/AK172,0))</f>
        <v/>
      </c>
      <c r="CC172" s="3" t="str">
        <f t="shared" ref="CC172" si="583">IF(AL172=0,"",ROUNDUP(AL167/AL172,0))</f>
        <v/>
      </c>
    </row>
    <row r="173" spans="1:81" ht="17.100000000000001" customHeight="1">
      <c r="A173" s="174"/>
      <c r="B173" s="30" t="s">
        <v>24</v>
      </c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  <c r="AA173" s="39"/>
      <c r="AB173" s="39"/>
      <c r="AC173" s="39"/>
      <c r="AD173" s="39"/>
      <c r="AE173" s="39"/>
      <c r="AF173" s="39"/>
      <c r="AG173" s="39"/>
      <c r="AH173" s="39"/>
      <c r="AI173" s="39"/>
      <c r="AJ173" s="39"/>
      <c r="AK173" s="39"/>
      <c r="AL173" s="39"/>
      <c r="AM173" s="39"/>
      <c r="AN173" s="40" t="str">
        <f t="shared" si="575"/>
        <v/>
      </c>
      <c r="AO173" s="39"/>
      <c r="AP173" s="39"/>
      <c r="AQ173" s="42">
        <f t="shared" si="576"/>
        <v>0</v>
      </c>
      <c r="AR173" s="25">
        <f t="shared" si="577"/>
        <v>0</v>
      </c>
      <c r="AT173" s="3" t="str">
        <f t="shared" ref="AT173:CA173" si="584">IF(C173=0,"",ROUNDUP(C167/C173,0))</f>
        <v/>
      </c>
      <c r="AU173" s="3" t="str">
        <f t="shared" si="584"/>
        <v/>
      </c>
      <c r="AV173" s="3" t="str">
        <f t="shared" si="584"/>
        <v/>
      </c>
      <c r="AW173" s="3" t="str">
        <f t="shared" si="584"/>
        <v/>
      </c>
      <c r="AX173" s="3" t="str">
        <f t="shared" si="584"/>
        <v/>
      </c>
      <c r="AY173" s="3" t="str">
        <f t="shared" si="584"/>
        <v/>
      </c>
      <c r="AZ173" s="3" t="str">
        <f t="shared" si="584"/>
        <v/>
      </c>
      <c r="BA173" s="3" t="str">
        <f t="shared" si="584"/>
        <v/>
      </c>
      <c r="BB173" s="3" t="str">
        <f t="shared" si="584"/>
        <v/>
      </c>
      <c r="BC173" s="3" t="str">
        <f t="shared" si="584"/>
        <v/>
      </c>
      <c r="BD173" s="3" t="str">
        <f t="shared" si="584"/>
        <v/>
      </c>
      <c r="BE173" s="3" t="str">
        <f t="shared" si="584"/>
        <v/>
      </c>
      <c r="BF173" s="3" t="str">
        <f t="shared" si="584"/>
        <v/>
      </c>
      <c r="BG173" s="3" t="str">
        <f t="shared" si="584"/>
        <v/>
      </c>
      <c r="BH173" s="3" t="str">
        <f t="shared" si="584"/>
        <v/>
      </c>
      <c r="BI173" s="3" t="str">
        <f t="shared" si="584"/>
        <v/>
      </c>
      <c r="BJ173" s="3" t="str">
        <f t="shared" si="584"/>
        <v/>
      </c>
      <c r="BK173" s="3" t="str">
        <f t="shared" si="584"/>
        <v/>
      </c>
      <c r="BL173" s="3" t="str">
        <f t="shared" si="584"/>
        <v/>
      </c>
      <c r="BM173" s="3" t="str">
        <f t="shared" si="584"/>
        <v/>
      </c>
      <c r="BN173" s="3" t="str">
        <f t="shared" si="584"/>
        <v/>
      </c>
      <c r="BO173" s="3" t="str">
        <f t="shared" si="584"/>
        <v/>
      </c>
      <c r="BP173" s="3" t="str">
        <f t="shared" si="584"/>
        <v/>
      </c>
      <c r="BQ173" s="3" t="str">
        <f t="shared" si="584"/>
        <v/>
      </c>
      <c r="BR173" s="3" t="str">
        <f t="shared" si="584"/>
        <v/>
      </c>
      <c r="BS173" s="3" t="str">
        <f t="shared" si="584"/>
        <v/>
      </c>
      <c r="BT173" s="3" t="str">
        <f t="shared" si="584"/>
        <v/>
      </c>
      <c r="BU173" s="3" t="str">
        <f t="shared" si="584"/>
        <v/>
      </c>
      <c r="BV173" s="3" t="str">
        <f t="shared" si="584"/>
        <v/>
      </c>
      <c r="BW173" s="3" t="str">
        <f t="shared" si="584"/>
        <v/>
      </c>
      <c r="BX173" s="3" t="str">
        <f t="shared" si="584"/>
        <v/>
      </c>
      <c r="BY173" s="3" t="str">
        <f t="shared" si="584"/>
        <v/>
      </c>
      <c r="BZ173" s="3" t="str">
        <f t="shared" si="584"/>
        <v/>
      </c>
      <c r="CA173" s="3" t="str">
        <f t="shared" si="584"/>
        <v/>
      </c>
      <c r="CB173" s="3" t="str">
        <f t="shared" ref="CB173" si="585">IF(AK173=0,"",ROUNDUP(AK167/AK173,0))</f>
        <v/>
      </c>
      <c r="CC173" s="3" t="str">
        <f t="shared" ref="CC173" si="586">IF(AL173=0,"",ROUNDUP(AL167/AL173,0))</f>
        <v/>
      </c>
    </row>
    <row r="174" spans="1:81" ht="17.100000000000001" customHeight="1">
      <c r="A174" s="174"/>
      <c r="B174" s="30" t="s">
        <v>25</v>
      </c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9"/>
      <c r="X174" s="39"/>
      <c r="Y174" s="39"/>
      <c r="Z174" s="39"/>
      <c r="AA174" s="39"/>
      <c r="AB174" s="39"/>
      <c r="AC174" s="39"/>
      <c r="AD174" s="39"/>
      <c r="AE174" s="39"/>
      <c r="AF174" s="39"/>
      <c r="AG174" s="39"/>
      <c r="AH174" s="39"/>
      <c r="AI174" s="39"/>
      <c r="AJ174" s="39"/>
      <c r="AK174" s="39"/>
      <c r="AL174" s="39"/>
      <c r="AM174" s="39"/>
      <c r="AN174" s="40" t="str">
        <f t="shared" si="575"/>
        <v/>
      </c>
      <c r="AO174" s="39"/>
      <c r="AP174" s="39"/>
      <c r="AQ174" s="42">
        <f t="shared" si="576"/>
        <v>0</v>
      </c>
      <c r="AR174" s="25">
        <f t="shared" si="577"/>
        <v>0</v>
      </c>
      <c r="AT174" s="3" t="str">
        <f t="shared" ref="AT174:CA174" si="587">IF(C174=0,"",ROUNDUP(C167/C174,0))</f>
        <v/>
      </c>
      <c r="AU174" s="3" t="str">
        <f t="shared" si="587"/>
        <v/>
      </c>
      <c r="AV174" s="3" t="str">
        <f t="shared" si="587"/>
        <v/>
      </c>
      <c r="AW174" s="3" t="str">
        <f t="shared" si="587"/>
        <v/>
      </c>
      <c r="AX174" s="3" t="str">
        <f t="shared" si="587"/>
        <v/>
      </c>
      <c r="AY174" s="3" t="str">
        <f t="shared" si="587"/>
        <v/>
      </c>
      <c r="AZ174" s="3" t="str">
        <f t="shared" si="587"/>
        <v/>
      </c>
      <c r="BA174" s="3" t="str">
        <f t="shared" si="587"/>
        <v/>
      </c>
      <c r="BB174" s="3" t="str">
        <f t="shared" si="587"/>
        <v/>
      </c>
      <c r="BC174" s="3" t="str">
        <f t="shared" si="587"/>
        <v/>
      </c>
      <c r="BD174" s="3" t="str">
        <f t="shared" si="587"/>
        <v/>
      </c>
      <c r="BE174" s="3" t="str">
        <f t="shared" si="587"/>
        <v/>
      </c>
      <c r="BF174" s="3" t="str">
        <f t="shared" si="587"/>
        <v/>
      </c>
      <c r="BG174" s="3" t="str">
        <f t="shared" si="587"/>
        <v/>
      </c>
      <c r="BH174" s="3" t="str">
        <f t="shared" si="587"/>
        <v/>
      </c>
      <c r="BI174" s="3" t="str">
        <f t="shared" si="587"/>
        <v/>
      </c>
      <c r="BJ174" s="3" t="str">
        <f t="shared" si="587"/>
        <v/>
      </c>
      <c r="BK174" s="3" t="str">
        <f t="shared" si="587"/>
        <v/>
      </c>
      <c r="BL174" s="3" t="str">
        <f t="shared" si="587"/>
        <v/>
      </c>
      <c r="BM174" s="3" t="str">
        <f t="shared" si="587"/>
        <v/>
      </c>
      <c r="BN174" s="3" t="str">
        <f t="shared" si="587"/>
        <v/>
      </c>
      <c r="BO174" s="3" t="str">
        <f t="shared" si="587"/>
        <v/>
      </c>
      <c r="BP174" s="3" t="str">
        <f t="shared" si="587"/>
        <v/>
      </c>
      <c r="BQ174" s="3" t="str">
        <f t="shared" si="587"/>
        <v/>
      </c>
      <c r="BR174" s="3" t="str">
        <f t="shared" si="587"/>
        <v/>
      </c>
      <c r="BS174" s="3" t="str">
        <f t="shared" si="587"/>
        <v/>
      </c>
      <c r="BT174" s="3" t="str">
        <f t="shared" si="587"/>
        <v/>
      </c>
      <c r="BU174" s="3" t="str">
        <f t="shared" si="587"/>
        <v/>
      </c>
      <c r="BV174" s="3" t="str">
        <f t="shared" si="587"/>
        <v/>
      </c>
      <c r="BW174" s="3" t="str">
        <f t="shared" si="587"/>
        <v/>
      </c>
      <c r="BX174" s="3" t="str">
        <f t="shared" si="587"/>
        <v/>
      </c>
      <c r="BY174" s="3" t="str">
        <f t="shared" si="587"/>
        <v/>
      </c>
      <c r="BZ174" s="3" t="str">
        <f t="shared" si="587"/>
        <v/>
      </c>
      <c r="CA174" s="3" t="str">
        <f t="shared" si="587"/>
        <v/>
      </c>
      <c r="CB174" s="3" t="str">
        <f t="shared" ref="CB174" si="588">IF(AK174=0,"",ROUNDUP(AK167/AK174,0))</f>
        <v/>
      </c>
      <c r="CC174" s="3" t="str">
        <f t="shared" ref="CC174" si="589">IF(AL174=0,"",ROUNDUP(AL167/AL174,0))</f>
        <v/>
      </c>
    </row>
    <row r="175" spans="1:81" ht="17.100000000000001" customHeight="1">
      <c r="A175" s="174"/>
      <c r="B175" s="30" t="s">
        <v>26</v>
      </c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39"/>
      <c r="X175" s="39"/>
      <c r="Y175" s="39"/>
      <c r="Z175" s="39"/>
      <c r="AA175" s="39"/>
      <c r="AB175" s="39"/>
      <c r="AC175" s="39"/>
      <c r="AD175" s="39"/>
      <c r="AE175" s="39"/>
      <c r="AF175" s="39"/>
      <c r="AG175" s="39"/>
      <c r="AH175" s="39"/>
      <c r="AI175" s="39"/>
      <c r="AJ175" s="39"/>
      <c r="AK175" s="39"/>
      <c r="AL175" s="39"/>
      <c r="AM175" s="39"/>
      <c r="AN175" s="40" t="str">
        <f>IF(AM175="","",SUM(C175:AL175)*AM175)</f>
        <v/>
      </c>
      <c r="AO175" s="39"/>
      <c r="AP175" s="39"/>
      <c r="AQ175" s="42">
        <f t="shared" si="576"/>
        <v>0</v>
      </c>
      <c r="AR175" s="25">
        <f t="shared" si="577"/>
        <v>0</v>
      </c>
      <c r="AT175" s="3" t="str">
        <f t="shared" ref="AT175:CA175" si="590">IF(C175=0,"",ROUNDUP(C167/C175,0))</f>
        <v/>
      </c>
      <c r="AU175" s="3" t="str">
        <f t="shared" si="590"/>
        <v/>
      </c>
      <c r="AV175" s="3" t="str">
        <f t="shared" si="590"/>
        <v/>
      </c>
      <c r="AW175" s="3" t="str">
        <f t="shared" si="590"/>
        <v/>
      </c>
      <c r="AX175" s="3" t="str">
        <f t="shared" si="590"/>
        <v/>
      </c>
      <c r="AY175" s="3" t="str">
        <f t="shared" si="590"/>
        <v/>
      </c>
      <c r="AZ175" s="3" t="str">
        <f t="shared" si="590"/>
        <v/>
      </c>
      <c r="BA175" s="3" t="str">
        <f t="shared" si="590"/>
        <v/>
      </c>
      <c r="BB175" s="3" t="str">
        <f t="shared" si="590"/>
        <v/>
      </c>
      <c r="BC175" s="3" t="str">
        <f t="shared" si="590"/>
        <v/>
      </c>
      <c r="BD175" s="3" t="str">
        <f t="shared" si="590"/>
        <v/>
      </c>
      <c r="BE175" s="3" t="str">
        <f t="shared" si="590"/>
        <v/>
      </c>
      <c r="BF175" s="3" t="str">
        <f t="shared" si="590"/>
        <v/>
      </c>
      <c r="BG175" s="3" t="str">
        <f t="shared" si="590"/>
        <v/>
      </c>
      <c r="BH175" s="3" t="str">
        <f t="shared" si="590"/>
        <v/>
      </c>
      <c r="BI175" s="3" t="str">
        <f t="shared" si="590"/>
        <v/>
      </c>
      <c r="BJ175" s="3" t="str">
        <f t="shared" si="590"/>
        <v/>
      </c>
      <c r="BK175" s="3" t="str">
        <f t="shared" si="590"/>
        <v/>
      </c>
      <c r="BL175" s="3" t="str">
        <f t="shared" si="590"/>
        <v/>
      </c>
      <c r="BM175" s="3" t="str">
        <f t="shared" si="590"/>
        <v/>
      </c>
      <c r="BN175" s="3" t="str">
        <f t="shared" si="590"/>
        <v/>
      </c>
      <c r="BO175" s="3" t="str">
        <f t="shared" si="590"/>
        <v/>
      </c>
      <c r="BP175" s="3" t="str">
        <f t="shared" si="590"/>
        <v/>
      </c>
      <c r="BQ175" s="3" t="str">
        <f t="shared" si="590"/>
        <v/>
      </c>
      <c r="BR175" s="3" t="str">
        <f t="shared" si="590"/>
        <v/>
      </c>
      <c r="BS175" s="3" t="str">
        <f t="shared" si="590"/>
        <v/>
      </c>
      <c r="BT175" s="3" t="str">
        <f t="shared" si="590"/>
        <v/>
      </c>
      <c r="BU175" s="3" t="str">
        <f t="shared" si="590"/>
        <v/>
      </c>
      <c r="BV175" s="3" t="str">
        <f t="shared" si="590"/>
        <v/>
      </c>
      <c r="BW175" s="3" t="str">
        <f t="shared" si="590"/>
        <v/>
      </c>
      <c r="BX175" s="3" t="str">
        <f t="shared" si="590"/>
        <v/>
      </c>
      <c r="BY175" s="3" t="str">
        <f t="shared" si="590"/>
        <v/>
      </c>
      <c r="BZ175" s="3" t="str">
        <f t="shared" si="590"/>
        <v/>
      </c>
      <c r="CA175" s="3" t="str">
        <f t="shared" si="590"/>
        <v/>
      </c>
      <c r="CB175" s="3" t="str">
        <f t="shared" ref="CB175" si="591">IF(AK175=0,"",ROUNDUP(AK167/AK175,0))</f>
        <v/>
      </c>
      <c r="CC175" s="3" t="str">
        <f t="shared" ref="CC175" si="592">IF(AL175=0,"",ROUNDUP(AL167/AL175,0))</f>
        <v/>
      </c>
    </row>
    <row r="176" spans="1:81" ht="17.100000000000001" customHeight="1">
      <c r="A176" s="174"/>
      <c r="B176" s="30" t="s">
        <v>27</v>
      </c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9"/>
      <c r="X176" s="39"/>
      <c r="Y176" s="39"/>
      <c r="Z176" s="39"/>
      <c r="AA176" s="39"/>
      <c r="AB176" s="39"/>
      <c r="AC176" s="39"/>
      <c r="AD176" s="39"/>
      <c r="AE176" s="39"/>
      <c r="AF176" s="39"/>
      <c r="AG176" s="39"/>
      <c r="AH176" s="39"/>
      <c r="AI176" s="39"/>
      <c r="AJ176" s="39"/>
      <c r="AK176" s="39"/>
      <c r="AL176" s="39"/>
      <c r="AM176" s="39"/>
      <c r="AN176" s="40" t="str">
        <f t="shared" si="575"/>
        <v/>
      </c>
      <c r="AO176" s="39"/>
      <c r="AP176" s="39"/>
      <c r="AQ176" s="42">
        <f t="shared" si="576"/>
        <v>0</v>
      </c>
      <c r="AR176" s="25">
        <f t="shared" si="577"/>
        <v>0</v>
      </c>
      <c r="AT176" s="3" t="str">
        <f t="shared" ref="AT176:CA176" si="593">IF(C176=0,"",ROUNDUP(C167/C176,0))</f>
        <v/>
      </c>
      <c r="AU176" s="3" t="str">
        <f t="shared" si="593"/>
        <v/>
      </c>
      <c r="AV176" s="3" t="str">
        <f t="shared" si="593"/>
        <v/>
      </c>
      <c r="AW176" s="3" t="str">
        <f t="shared" si="593"/>
        <v/>
      </c>
      <c r="AX176" s="3" t="str">
        <f t="shared" si="593"/>
        <v/>
      </c>
      <c r="AY176" s="3" t="str">
        <f t="shared" si="593"/>
        <v/>
      </c>
      <c r="AZ176" s="3" t="str">
        <f t="shared" si="593"/>
        <v/>
      </c>
      <c r="BA176" s="3" t="str">
        <f t="shared" si="593"/>
        <v/>
      </c>
      <c r="BB176" s="3" t="str">
        <f t="shared" si="593"/>
        <v/>
      </c>
      <c r="BC176" s="3" t="str">
        <f t="shared" si="593"/>
        <v/>
      </c>
      <c r="BD176" s="3" t="str">
        <f t="shared" si="593"/>
        <v/>
      </c>
      <c r="BE176" s="3" t="str">
        <f t="shared" si="593"/>
        <v/>
      </c>
      <c r="BF176" s="3" t="str">
        <f t="shared" si="593"/>
        <v/>
      </c>
      <c r="BG176" s="3" t="str">
        <f t="shared" si="593"/>
        <v/>
      </c>
      <c r="BH176" s="3" t="str">
        <f t="shared" si="593"/>
        <v/>
      </c>
      <c r="BI176" s="3" t="str">
        <f t="shared" si="593"/>
        <v/>
      </c>
      <c r="BJ176" s="3" t="str">
        <f t="shared" si="593"/>
        <v/>
      </c>
      <c r="BK176" s="3" t="str">
        <f t="shared" si="593"/>
        <v/>
      </c>
      <c r="BL176" s="3" t="str">
        <f t="shared" si="593"/>
        <v/>
      </c>
      <c r="BM176" s="3" t="str">
        <f t="shared" si="593"/>
        <v/>
      </c>
      <c r="BN176" s="3" t="str">
        <f t="shared" si="593"/>
        <v/>
      </c>
      <c r="BO176" s="3" t="str">
        <f t="shared" si="593"/>
        <v/>
      </c>
      <c r="BP176" s="3" t="str">
        <f t="shared" si="593"/>
        <v/>
      </c>
      <c r="BQ176" s="3" t="str">
        <f t="shared" si="593"/>
        <v/>
      </c>
      <c r="BR176" s="3" t="str">
        <f t="shared" si="593"/>
        <v/>
      </c>
      <c r="BS176" s="3" t="str">
        <f t="shared" si="593"/>
        <v/>
      </c>
      <c r="BT176" s="3" t="str">
        <f t="shared" si="593"/>
        <v/>
      </c>
      <c r="BU176" s="3" t="str">
        <f t="shared" si="593"/>
        <v/>
      </c>
      <c r="BV176" s="3" t="str">
        <f t="shared" si="593"/>
        <v/>
      </c>
      <c r="BW176" s="3" t="str">
        <f t="shared" si="593"/>
        <v/>
      </c>
      <c r="BX176" s="3" t="str">
        <f t="shared" si="593"/>
        <v/>
      </c>
      <c r="BY176" s="3" t="str">
        <f t="shared" si="593"/>
        <v/>
      </c>
      <c r="BZ176" s="3" t="str">
        <f t="shared" si="593"/>
        <v/>
      </c>
      <c r="CA176" s="3" t="str">
        <f t="shared" si="593"/>
        <v/>
      </c>
      <c r="CB176" s="3" t="str">
        <f t="shared" ref="CB176" si="594">IF(AK176=0,"",ROUNDUP(AK167/AK176,0))</f>
        <v/>
      </c>
      <c r="CC176" s="3" t="str">
        <f t="shared" ref="CC176" si="595">IF(AL176=0,"",ROUNDUP(AL167/AL176,0))</f>
        <v/>
      </c>
    </row>
    <row r="177" spans="1:81" ht="17.100000000000001" customHeight="1">
      <c r="A177" s="175"/>
      <c r="B177" s="30" t="s">
        <v>28</v>
      </c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39"/>
      <c r="X177" s="39"/>
      <c r="Y177" s="39"/>
      <c r="Z177" s="39"/>
      <c r="AA177" s="39"/>
      <c r="AB177" s="39"/>
      <c r="AC177" s="39"/>
      <c r="AD177" s="39"/>
      <c r="AE177" s="39"/>
      <c r="AF177" s="39"/>
      <c r="AG177" s="39"/>
      <c r="AH177" s="39"/>
      <c r="AI177" s="39"/>
      <c r="AJ177" s="39"/>
      <c r="AK177" s="39"/>
      <c r="AL177" s="39"/>
      <c r="AM177" s="39"/>
      <c r="AN177" s="41" t="str">
        <f t="shared" si="575"/>
        <v/>
      </c>
      <c r="AO177" s="39"/>
      <c r="AP177" s="39"/>
      <c r="AQ177" s="42">
        <f t="shared" si="576"/>
        <v>0</v>
      </c>
      <c r="AR177" s="25">
        <f t="shared" si="577"/>
        <v>0</v>
      </c>
      <c r="AT177" s="3" t="str">
        <f t="shared" ref="AT177:CA177" si="596">IF(C177=0,"",ROUNDUP(C167/C177,0))</f>
        <v/>
      </c>
      <c r="AU177" s="3" t="str">
        <f t="shared" si="596"/>
        <v/>
      </c>
      <c r="AV177" s="3" t="str">
        <f t="shared" si="596"/>
        <v/>
      </c>
      <c r="AW177" s="3" t="str">
        <f t="shared" si="596"/>
        <v/>
      </c>
      <c r="AX177" s="3" t="str">
        <f t="shared" si="596"/>
        <v/>
      </c>
      <c r="AY177" s="3" t="str">
        <f t="shared" si="596"/>
        <v/>
      </c>
      <c r="AZ177" s="3" t="str">
        <f t="shared" si="596"/>
        <v/>
      </c>
      <c r="BA177" s="3" t="str">
        <f t="shared" si="596"/>
        <v/>
      </c>
      <c r="BB177" s="3" t="str">
        <f t="shared" si="596"/>
        <v/>
      </c>
      <c r="BC177" s="3" t="str">
        <f t="shared" si="596"/>
        <v/>
      </c>
      <c r="BD177" s="3" t="str">
        <f t="shared" si="596"/>
        <v/>
      </c>
      <c r="BE177" s="3" t="str">
        <f t="shared" si="596"/>
        <v/>
      </c>
      <c r="BF177" s="3" t="str">
        <f t="shared" si="596"/>
        <v/>
      </c>
      <c r="BG177" s="3" t="str">
        <f t="shared" si="596"/>
        <v/>
      </c>
      <c r="BH177" s="3" t="str">
        <f t="shared" si="596"/>
        <v/>
      </c>
      <c r="BI177" s="3" t="str">
        <f t="shared" si="596"/>
        <v/>
      </c>
      <c r="BJ177" s="3" t="str">
        <f t="shared" si="596"/>
        <v/>
      </c>
      <c r="BK177" s="3" t="str">
        <f t="shared" si="596"/>
        <v/>
      </c>
      <c r="BL177" s="3" t="str">
        <f t="shared" si="596"/>
        <v/>
      </c>
      <c r="BM177" s="3" t="str">
        <f t="shared" si="596"/>
        <v/>
      </c>
      <c r="BN177" s="3" t="str">
        <f t="shared" si="596"/>
        <v/>
      </c>
      <c r="BO177" s="3" t="str">
        <f t="shared" si="596"/>
        <v/>
      </c>
      <c r="BP177" s="3" t="str">
        <f t="shared" si="596"/>
        <v/>
      </c>
      <c r="BQ177" s="3" t="str">
        <f t="shared" si="596"/>
        <v/>
      </c>
      <c r="BR177" s="3" t="str">
        <f t="shared" si="596"/>
        <v/>
      </c>
      <c r="BS177" s="3" t="str">
        <f t="shared" si="596"/>
        <v/>
      </c>
      <c r="BT177" s="3" t="str">
        <f t="shared" si="596"/>
        <v/>
      </c>
      <c r="BU177" s="3" t="str">
        <f t="shared" si="596"/>
        <v/>
      </c>
      <c r="BV177" s="3" t="str">
        <f t="shared" si="596"/>
        <v/>
      </c>
      <c r="BW177" s="3" t="str">
        <f t="shared" si="596"/>
        <v/>
      </c>
      <c r="BX177" s="3" t="str">
        <f t="shared" si="596"/>
        <v/>
      </c>
      <c r="BY177" s="3" t="str">
        <f t="shared" si="596"/>
        <v/>
      </c>
      <c r="BZ177" s="3" t="str">
        <f t="shared" si="596"/>
        <v/>
      </c>
      <c r="CA177" s="3" t="str">
        <f t="shared" si="596"/>
        <v/>
      </c>
      <c r="CB177" s="3" t="str">
        <f t="shared" ref="CB177" si="597">IF(AK177=0,"",ROUNDUP(AK167/AK177,0))</f>
        <v/>
      </c>
      <c r="CC177" s="3" t="str">
        <f t="shared" ref="CC177" si="598">IF(AL177=0,"",ROUNDUP(AL167/AL177,0))</f>
        <v/>
      </c>
    </row>
    <row r="178" spans="1:81" ht="17.100000000000001" customHeight="1" thickBot="1">
      <c r="AN178" s="7">
        <f>SUM(AN170:AN177)</f>
        <v>0</v>
      </c>
      <c r="AQ178" s="12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1:81" ht="21.95" customHeight="1" thickBot="1">
      <c r="A179" s="201">
        <v>12</v>
      </c>
      <c r="B179" s="202"/>
      <c r="C179" s="203"/>
      <c r="AQ179" s="12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1:81" ht="17.100000000000001" customHeight="1">
      <c r="A180" s="51" t="s">
        <v>29</v>
      </c>
      <c r="B180" s="50"/>
      <c r="C180" s="147" t="s">
        <v>10</v>
      </c>
      <c r="D180" s="148"/>
      <c r="E180" s="148"/>
      <c r="F180" s="148"/>
      <c r="G180" s="148"/>
      <c r="H180" s="148"/>
      <c r="I180" s="148"/>
      <c r="J180" s="148"/>
      <c r="K180" s="148"/>
      <c r="L180" s="148"/>
      <c r="M180" s="148"/>
      <c r="N180" s="148"/>
      <c r="O180" s="148"/>
      <c r="P180" s="148"/>
      <c r="Q180" s="148"/>
      <c r="R180" s="148"/>
      <c r="S180" s="148"/>
      <c r="T180" s="148"/>
      <c r="U180" s="148"/>
      <c r="V180" s="148"/>
      <c r="W180" s="148"/>
      <c r="X180" s="148"/>
      <c r="Y180" s="148"/>
      <c r="Z180" s="148"/>
      <c r="AA180" s="148"/>
      <c r="AB180" s="148"/>
      <c r="AC180" s="148"/>
      <c r="AD180" s="148"/>
      <c r="AE180" s="148"/>
      <c r="AF180" s="148"/>
      <c r="AG180" s="148"/>
      <c r="AH180" s="148"/>
      <c r="AI180" s="148"/>
      <c r="AJ180" s="148"/>
      <c r="AK180" s="148"/>
      <c r="AL180" s="148"/>
      <c r="AM180" s="10"/>
      <c r="AN180" s="31"/>
      <c r="AO180" s="35" t="s">
        <v>4</v>
      </c>
      <c r="AP180" s="149"/>
      <c r="AQ180" s="150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1:81" ht="27">
      <c r="A181" s="52" t="s">
        <v>36</v>
      </c>
      <c r="B181" s="50"/>
      <c r="C181" s="26" t="str">
        <f>IF(C165=0,"",IF(C165&gt;0,C165))</f>
        <v/>
      </c>
      <c r="D181" s="26" t="str">
        <f t="shared" ref="D181:AL181" si="599">IF(D165=0,"",IF(D165&gt;0,D165))</f>
        <v/>
      </c>
      <c r="E181" s="26" t="str">
        <f t="shared" si="599"/>
        <v/>
      </c>
      <c r="F181" s="26" t="str">
        <f t="shared" si="599"/>
        <v/>
      </c>
      <c r="G181" s="26" t="str">
        <f t="shared" si="599"/>
        <v/>
      </c>
      <c r="H181" s="26" t="str">
        <f t="shared" si="599"/>
        <v/>
      </c>
      <c r="I181" s="26" t="str">
        <f t="shared" si="599"/>
        <v/>
      </c>
      <c r="J181" s="26" t="str">
        <f t="shared" si="599"/>
        <v/>
      </c>
      <c r="K181" s="26" t="str">
        <f t="shared" si="599"/>
        <v/>
      </c>
      <c r="L181" s="26" t="str">
        <f t="shared" si="599"/>
        <v/>
      </c>
      <c r="M181" s="26" t="str">
        <f t="shared" si="599"/>
        <v/>
      </c>
      <c r="N181" s="26" t="str">
        <f t="shared" si="599"/>
        <v/>
      </c>
      <c r="O181" s="26" t="str">
        <f t="shared" si="599"/>
        <v/>
      </c>
      <c r="P181" s="26" t="str">
        <f t="shared" si="599"/>
        <v/>
      </c>
      <c r="Q181" s="26" t="str">
        <f t="shared" si="599"/>
        <v/>
      </c>
      <c r="R181" s="26" t="str">
        <f t="shared" si="599"/>
        <v/>
      </c>
      <c r="S181" s="26" t="str">
        <f t="shared" si="599"/>
        <v/>
      </c>
      <c r="T181" s="26" t="str">
        <f t="shared" si="599"/>
        <v/>
      </c>
      <c r="U181" s="26" t="str">
        <f t="shared" si="599"/>
        <v/>
      </c>
      <c r="V181" s="26" t="str">
        <f t="shared" si="599"/>
        <v/>
      </c>
      <c r="W181" s="26" t="str">
        <f t="shared" si="599"/>
        <v/>
      </c>
      <c r="X181" s="26" t="str">
        <f t="shared" si="599"/>
        <v/>
      </c>
      <c r="Y181" s="26" t="str">
        <f t="shared" si="599"/>
        <v/>
      </c>
      <c r="Z181" s="26" t="str">
        <f t="shared" si="599"/>
        <v/>
      </c>
      <c r="AA181" s="26" t="str">
        <f t="shared" si="599"/>
        <v/>
      </c>
      <c r="AB181" s="26" t="str">
        <f t="shared" si="599"/>
        <v/>
      </c>
      <c r="AC181" s="26" t="str">
        <f t="shared" si="599"/>
        <v/>
      </c>
      <c r="AD181" s="26" t="str">
        <f t="shared" si="599"/>
        <v/>
      </c>
      <c r="AE181" s="26" t="str">
        <f t="shared" si="599"/>
        <v/>
      </c>
      <c r="AF181" s="26" t="str">
        <f t="shared" si="599"/>
        <v/>
      </c>
      <c r="AG181" s="26" t="str">
        <f t="shared" si="599"/>
        <v/>
      </c>
      <c r="AH181" s="26" t="str">
        <f t="shared" si="599"/>
        <v/>
      </c>
      <c r="AI181" s="26" t="str">
        <f t="shared" si="599"/>
        <v/>
      </c>
      <c r="AJ181" s="26" t="str">
        <f t="shared" si="599"/>
        <v/>
      </c>
      <c r="AK181" s="26" t="str">
        <f t="shared" si="599"/>
        <v/>
      </c>
      <c r="AL181" s="26" t="str">
        <f t="shared" si="599"/>
        <v/>
      </c>
      <c r="AM181" s="5" t="s">
        <v>2</v>
      </c>
      <c r="AN181" s="31"/>
      <c r="AO181" s="32" t="s">
        <v>5</v>
      </c>
      <c r="AP181" s="151">
        <f>SUM(AQ186:AQ193)</f>
        <v>0</v>
      </c>
      <c r="AQ181" s="151"/>
      <c r="AT181" s="2" t="str">
        <f t="shared" ref="AT181:BY181" si="600">IF(C181=0,"",IF(C181&gt;0,C181))</f>
        <v/>
      </c>
      <c r="AU181" s="2" t="str">
        <f t="shared" si="600"/>
        <v/>
      </c>
      <c r="AV181" s="2" t="str">
        <f t="shared" si="600"/>
        <v/>
      </c>
      <c r="AW181" s="2" t="str">
        <f t="shared" si="600"/>
        <v/>
      </c>
      <c r="AX181" s="2" t="str">
        <f t="shared" si="600"/>
        <v/>
      </c>
      <c r="AY181" s="2" t="str">
        <f t="shared" si="600"/>
        <v/>
      </c>
      <c r="AZ181" s="2" t="str">
        <f t="shared" si="600"/>
        <v/>
      </c>
      <c r="BA181" s="2" t="str">
        <f t="shared" si="600"/>
        <v/>
      </c>
      <c r="BB181" s="2" t="str">
        <f t="shared" si="600"/>
        <v/>
      </c>
      <c r="BC181" s="2" t="str">
        <f t="shared" si="600"/>
        <v/>
      </c>
      <c r="BD181" s="2" t="str">
        <f t="shared" si="600"/>
        <v/>
      </c>
      <c r="BE181" s="2" t="str">
        <f t="shared" si="600"/>
        <v/>
      </c>
      <c r="BF181" s="2" t="str">
        <f t="shared" si="600"/>
        <v/>
      </c>
      <c r="BG181" s="2" t="str">
        <f t="shared" si="600"/>
        <v/>
      </c>
      <c r="BH181" s="2" t="str">
        <f t="shared" si="600"/>
        <v/>
      </c>
      <c r="BI181" s="2" t="str">
        <f t="shared" si="600"/>
        <v/>
      </c>
      <c r="BJ181" s="2" t="str">
        <f t="shared" si="600"/>
        <v/>
      </c>
      <c r="BK181" s="2" t="str">
        <f t="shared" si="600"/>
        <v/>
      </c>
      <c r="BL181" s="2" t="str">
        <f t="shared" si="600"/>
        <v/>
      </c>
      <c r="BM181" s="2" t="str">
        <f t="shared" si="600"/>
        <v/>
      </c>
      <c r="BN181" s="2" t="str">
        <f t="shared" si="600"/>
        <v/>
      </c>
      <c r="BO181" s="2" t="str">
        <f t="shared" si="600"/>
        <v/>
      </c>
      <c r="BP181" s="2" t="str">
        <f t="shared" si="600"/>
        <v/>
      </c>
      <c r="BQ181" s="2" t="str">
        <f t="shared" si="600"/>
        <v/>
      </c>
      <c r="BR181" s="2" t="str">
        <f t="shared" si="600"/>
        <v/>
      </c>
      <c r="BS181" s="2" t="str">
        <f t="shared" si="600"/>
        <v/>
      </c>
      <c r="BT181" s="2" t="str">
        <f t="shared" si="600"/>
        <v/>
      </c>
      <c r="BU181" s="2" t="str">
        <f t="shared" si="600"/>
        <v/>
      </c>
      <c r="BV181" s="2" t="str">
        <f t="shared" si="600"/>
        <v/>
      </c>
      <c r="BW181" s="2" t="str">
        <f t="shared" si="600"/>
        <v/>
      </c>
      <c r="BX181" s="2" t="str">
        <f t="shared" si="600"/>
        <v/>
      </c>
      <c r="BY181" s="2" t="str">
        <f t="shared" si="600"/>
        <v/>
      </c>
      <c r="BZ181" s="2" t="str">
        <f t="shared" ref="BZ181" si="601">IF(AI181=0,"",IF(AI181&gt;0,AI181))</f>
        <v/>
      </c>
      <c r="CA181" s="2" t="str">
        <f t="shared" ref="CA181" si="602">IF(AJ181=0,"",IF(AJ181&gt;0,AJ181))</f>
        <v/>
      </c>
      <c r="CB181" s="2" t="str">
        <f t="shared" ref="CB181" si="603">IF(AK181=0,"",IF(AK181&gt;0,AK181))</f>
        <v/>
      </c>
      <c r="CC181" s="2" t="str">
        <f t="shared" ref="CC181" si="604">IF(AL181=0,"",IF(AL181&gt;0,AL181))</f>
        <v/>
      </c>
    </row>
    <row r="182" spans="1:81" ht="17.100000000000001" customHeight="1">
      <c r="A182" s="152" t="s">
        <v>30</v>
      </c>
      <c r="B182" s="153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  <c r="AG182" s="46"/>
      <c r="AH182" s="46"/>
      <c r="AI182" s="46"/>
      <c r="AJ182" s="46"/>
      <c r="AK182" s="46"/>
      <c r="AL182" s="46"/>
      <c r="AM182" s="45">
        <f>SUM(C182:AL182)</f>
        <v>0</v>
      </c>
      <c r="AN182" s="33"/>
      <c r="AO182" s="34" t="str">
        <f>IF(AP182&lt;5,"NO ",IF(AP182=5,"ok",IF(AP182&gt;5,"ok")))</f>
        <v xml:space="preserve">NO </v>
      </c>
      <c r="AP182" s="154">
        <f>AP180-AP181-AP183</f>
        <v>0</v>
      </c>
      <c r="AQ182" s="154"/>
      <c r="AR182" s="16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</row>
    <row r="183" spans="1:81" ht="17.100000000000001" customHeight="1">
      <c r="A183" s="152"/>
      <c r="B183" s="153"/>
      <c r="C183" s="47" t="str">
        <f>IF(C181="","",C182-C186*$AM186-C187*$AM187-C188*$AM188-C189*$AM189-C190*$AM190-C191*$AM191-C192*$AM192-C193*$AM193)</f>
        <v/>
      </c>
      <c r="D183" s="47" t="str">
        <f t="shared" ref="D183" si="605">IF(D181="","",D182-D186*$AM186-D187*$AM187-D188*$AM188-D189*$AM189-D190*$AM190-D191*$AM191-D192*$AM192-D193*$AM193)</f>
        <v/>
      </c>
      <c r="E183" s="47" t="str">
        <f t="shared" ref="E183" si="606">IF(E181="","",E182-E186*$AM186-E187*$AM187-E188*$AM188-E189*$AM189-E190*$AM190-E191*$AM191-E192*$AM192-E193*$AM193)</f>
        <v/>
      </c>
      <c r="F183" s="47" t="str">
        <f t="shared" ref="F183" si="607">IF(F181="","",F182-F186*$AM186-F187*$AM187-F188*$AM188-F189*$AM189-F190*$AM190-F191*$AM191-F192*$AM192-F193*$AM193)</f>
        <v/>
      </c>
      <c r="G183" s="47" t="str">
        <f t="shared" ref="G183" si="608">IF(G181="","",G182-G186*$AM186-G187*$AM187-G188*$AM188-G189*$AM189-G190*$AM190-G191*$AM191-G192*$AM192-G193*$AM193)</f>
        <v/>
      </c>
      <c r="H183" s="47" t="str">
        <f t="shared" ref="H183" si="609">IF(H181="","",H182-H186*$AM186-H187*$AM187-H188*$AM188-H189*$AM189-H190*$AM190-H191*$AM191-H192*$AM192-H193*$AM193)</f>
        <v/>
      </c>
      <c r="I183" s="47" t="str">
        <f t="shared" ref="I183" si="610">IF(I181="","",I182-I186*$AM186-I187*$AM187-I188*$AM188-I189*$AM189-I190*$AM190-I191*$AM191-I192*$AM192-I193*$AM193)</f>
        <v/>
      </c>
      <c r="J183" s="47" t="str">
        <f t="shared" ref="J183" si="611">IF(J181="","",J182-J186*$AM186-J187*$AM187-J188*$AM188-J189*$AM189-J190*$AM190-J191*$AM191-J192*$AM192-J193*$AM193)</f>
        <v/>
      </c>
      <c r="K183" s="47" t="str">
        <f t="shared" ref="K183" si="612">IF(K181="","",K182-K186*$AM186-K187*$AM187-K188*$AM188-K189*$AM189-K190*$AM190-K191*$AM191-K192*$AM192-K193*$AM193)</f>
        <v/>
      </c>
      <c r="L183" s="47" t="str">
        <f t="shared" ref="L183" si="613">IF(L181="","",L182-L186*$AM186-L187*$AM187-L188*$AM188-L189*$AM189-L190*$AM190-L191*$AM191-L192*$AM192-L193*$AM193)</f>
        <v/>
      </c>
      <c r="M183" s="47" t="str">
        <f t="shared" ref="M183" si="614">IF(M181="","",M182-M186*$AM186-M187*$AM187-M188*$AM188-M189*$AM189-M190*$AM190-M191*$AM191-M192*$AM192-M193*$AM193)</f>
        <v/>
      </c>
      <c r="N183" s="47" t="str">
        <f t="shared" ref="N183" si="615">IF(N181="","",N182-N186*$AM186-N187*$AM187-N188*$AM188-N189*$AM189-N190*$AM190-N191*$AM191-N192*$AM192-N193*$AM193)</f>
        <v/>
      </c>
      <c r="O183" s="47" t="str">
        <f t="shared" ref="O183" si="616">IF(O181="","",O182-O186*$AM186-O187*$AM187-O188*$AM188-O189*$AM189-O190*$AM190-O191*$AM191-O192*$AM192-O193*$AM193)</f>
        <v/>
      </c>
      <c r="P183" s="47" t="str">
        <f t="shared" ref="P183" si="617">IF(P181="","",P182-P186*$AM186-P187*$AM187-P188*$AM188-P189*$AM189-P190*$AM190-P191*$AM191-P192*$AM192-P193*$AM193)</f>
        <v/>
      </c>
      <c r="Q183" s="47" t="str">
        <f t="shared" ref="Q183" si="618">IF(Q181="","",Q182-Q186*$AM186-Q187*$AM187-Q188*$AM188-Q189*$AM189-Q190*$AM190-Q191*$AM191-Q192*$AM192-Q193*$AM193)</f>
        <v/>
      </c>
      <c r="R183" s="47" t="str">
        <f t="shared" ref="R183" si="619">IF(R181="","",R182-R186*$AM186-R187*$AM187-R188*$AM188-R189*$AM189-R190*$AM190-R191*$AM191-R192*$AM192-R193*$AM193)</f>
        <v/>
      </c>
      <c r="S183" s="47" t="str">
        <f t="shared" ref="S183" si="620">IF(S181="","",S182-S186*$AM186-S187*$AM187-S188*$AM188-S189*$AM189-S190*$AM190-S191*$AM191-S192*$AM192-S193*$AM193)</f>
        <v/>
      </c>
      <c r="T183" s="47" t="str">
        <f t="shared" ref="T183" si="621">IF(T181="","",T182-T186*$AM186-T187*$AM187-T188*$AM188-T189*$AM189-T190*$AM190-T191*$AM191-T192*$AM192-T193*$AM193)</f>
        <v/>
      </c>
      <c r="U183" s="47" t="str">
        <f t="shared" ref="U183" si="622">IF(U181="","",U182-U186*$AM186-U187*$AM187-U188*$AM188-U189*$AM189-U190*$AM190-U191*$AM191-U192*$AM192-U193*$AM193)</f>
        <v/>
      </c>
      <c r="V183" s="47" t="str">
        <f t="shared" ref="V183" si="623">IF(V181="","",V182-V186*$AM186-V187*$AM187-V188*$AM188-V189*$AM189-V190*$AM190-V191*$AM191-V192*$AM192-V193*$AM193)</f>
        <v/>
      </c>
      <c r="W183" s="47" t="str">
        <f t="shared" ref="W183" si="624">IF(W181="","",W182-W186*$AM186-W187*$AM187-W188*$AM188-W189*$AM189-W190*$AM190-W191*$AM191-W192*$AM192-W193*$AM193)</f>
        <v/>
      </c>
      <c r="X183" s="47" t="str">
        <f t="shared" ref="X183" si="625">IF(X181="","",X182-X186*$AM186-X187*$AM187-X188*$AM188-X189*$AM189-X190*$AM190-X191*$AM191-X192*$AM192-X193*$AM193)</f>
        <v/>
      </c>
      <c r="Y183" s="47" t="str">
        <f t="shared" ref="Y183" si="626">IF(Y181="","",Y182-Y186*$AM186-Y187*$AM187-Y188*$AM188-Y189*$AM189-Y190*$AM190-Y191*$AM191-Y192*$AM192-Y193*$AM193)</f>
        <v/>
      </c>
      <c r="Z183" s="47" t="str">
        <f t="shared" ref="Z183" si="627">IF(Z181="","",Z182-Z186*$AM186-Z187*$AM187-Z188*$AM188-Z189*$AM189-Z190*$AM190-Z191*$AM191-Z192*$AM192-Z193*$AM193)</f>
        <v/>
      </c>
      <c r="AA183" s="47" t="str">
        <f t="shared" ref="AA183" si="628">IF(AA181="","",AA182-AA186*$AM186-AA187*$AM187-AA188*$AM188-AA189*$AM189-AA190*$AM190-AA191*$AM191-AA192*$AM192-AA193*$AM193)</f>
        <v/>
      </c>
      <c r="AB183" s="47" t="str">
        <f t="shared" ref="AB183" si="629">IF(AB181="","",AB182-AB186*$AM186-AB187*$AM187-AB188*$AM188-AB189*$AM189-AB190*$AM190-AB191*$AM191-AB192*$AM192-AB193*$AM193)</f>
        <v/>
      </c>
      <c r="AC183" s="47" t="str">
        <f t="shared" ref="AC183" si="630">IF(AC181="","",AC182-AC186*$AM186-AC187*$AM187-AC188*$AM188-AC189*$AM189-AC190*$AM190-AC191*$AM191-AC192*$AM192-AC193*$AM193)</f>
        <v/>
      </c>
      <c r="AD183" s="47" t="str">
        <f t="shared" ref="AD183" si="631">IF(AD181="","",AD182-AD186*$AM186-AD187*$AM187-AD188*$AM188-AD189*$AM189-AD190*$AM190-AD191*$AM191-AD192*$AM192-AD193*$AM193)</f>
        <v/>
      </c>
      <c r="AE183" s="47" t="str">
        <f t="shared" ref="AE183" si="632">IF(AE181="","",AE182-AE186*$AM186-AE187*$AM187-AE188*$AM188-AE189*$AM189-AE190*$AM190-AE191*$AM191-AE192*$AM192-AE193*$AM193)</f>
        <v/>
      </c>
      <c r="AF183" s="47" t="str">
        <f t="shared" ref="AF183" si="633">IF(AF181="","",AF182-AF186*$AM186-AF187*$AM187-AF188*$AM188-AF189*$AM189-AF190*$AM190-AF191*$AM191-AF192*$AM192-AF193*$AM193)</f>
        <v/>
      </c>
      <c r="AG183" s="47" t="str">
        <f t="shared" ref="AG183" si="634">IF(AG181="","",AG182-AG186*$AM186-AG187*$AM187-AG188*$AM188-AG189*$AM189-AG190*$AM190-AG191*$AM191-AG192*$AM192-AG193*$AM193)</f>
        <v/>
      </c>
      <c r="AH183" s="47" t="str">
        <f t="shared" ref="AH183" si="635">IF(AH181="","",AH182-AH186*$AM186-AH187*$AM187-AH188*$AM188-AH189*$AM189-AH190*$AM190-AH191*$AM191-AH192*$AM192-AH193*$AM193)</f>
        <v/>
      </c>
      <c r="AI183" s="47" t="str">
        <f t="shared" ref="AI183" si="636">IF(AI181="","",AI182-AI186*$AM186-AI187*$AM187-AI188*$AM188-AI189*$AM189-AI190*$AM190-AI191*$AM191-AI192*$AM192-AI193*$AM193)</f>
        <v/>
      </c>
      <c r="AJ183" s="47" t="str">
        <f t="shared" ref="AJ183" si="637">IF(AJ181="","",AJ182-AJ186*$AM186-AJ187*$AM187-AJ188*$AM188-AJ189*$AM189-AJ190*$AM190-AJ191*$AM191-AJ192*$AM192-AJ193*$AM193)</f>
        <v/>
      </c>
      <c r="AK183" s="47" t="str">
        <f>IF(AK181="","",AK182-AK186*$AM186-AK187*$AM187-AK188*$AM188-AK189*$AM189-AK190*$AM190-AK191*$AM191-AK192*$AM192-AK193*$AM193)</f>
        <v/>
      </c>
      <c r="AL183" s="47" t="str">
        <f t="shared" ref="AL183" si="638">IF(AL181="","",AL182-AL186*$AM186-AL187*$AM187-AL188*$AM188-AL189*$AM189-AL190*$AM190-AL191*$AM191-AL192*$AM192-AL193*$AM193)</f>
        <v/>
      </c>
      <c r="AM183" s="45">
        <f>SUM(C183:AL183)</f>
        <v>0</v>
      </c>
      <c r="AN183" s="155" t="s">
        <v>33</v>
      </c>
      <c r="AO183" s="156"/>
      <c r="AP183" s="157"/>
      <c r="AQ183" s="158"/>
      <c r="AR183" s="17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</row>
    <row r="184" spans="1:81" ht="17.100000000000001" customHeight="1">
      <c r="A184" s="177" t="s">
        <v>20</v>
      </c>
      <c r="B184" s="178"/>
      <c r="C184" s="181" t="s">
        <v>0</v>
      </c>
      <c r="D184" s="182"/>
      <c r="E184" s="182"/>
      <c r="F184" s="182"/>
      <c r="G184" s="182"/>
      <c r="H184" s="182"/>
      <c r="I184" s="182"/>
      <c r="J184" s="182"/>
      <c r="K184" s="182"/>
      <c r="L184" s="182"/>
      <c r="M184" s="182"/>
      <c r="N184" s="182"/>
      <c r="O184" s="182"/>
      <c r="P184" s="182"/>
      <c r="Q184" s="182"/>
      <c r="R184" s="182"/>
      <c r="S184" s="182"/>
      <c r="T184" s="182"/>
      <c r="U184" s="182"/>
      <c r="V184" s="182"/>
      <c r="W184" s="182"/>
      <c r="X184" s="182"/>
      <c r="Y184" s="182"/>
      <c r="Z184" s="182"/>
      <c r="AA184" s="182"/>
      <c r="AB184" s="182"/>
      <c r="AC184" s="182"/>
      <c r="AD184" s="182"/>
      <c r="AE184" s="182"/>
      <c r="AF184" s="182"/>
      <c r="AG184" s="182"/>
      <c r="AH184" s="182"/>
      <c r="AI184" s="182"/>
      <c r="AJ184" s="182"/>
      <c r="AK184" s="182"/>
      <c r="AL184" s="183"/>
      <c r="AM184" s="187" t="s">
        <v>1</v>
      </c>
      <c r="AN184" s="200" t="s">
        <v>11</v>
      </c>
      <c r="AO184" s="196" t="s">
        <v>12</v>
      </c>
      <c r="AP184" s="197"/>
      <c r="AQ184" s="193" t="s">
        <v>6</v>
      </c>
      <c r="AR184" s="24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</row>
    <row r="185" spans="1:81" ht="17.100000000000001" customHeight="1">
      <c r="A185" s="179"/>
      <c r="B185" s="180"/>
      <c r="C185" s="184"/>
      <c r="D185" s="185"/>
      <c r="E185" s="185"/>
      <c r="F185" s="185"/>
      <c r="G185" s="185"/>
      <c r="H185" s="185"/>
      <c r="I185" s="185"/>
      <c r="J185" s="185"/>
      <c r="K185" s="185"/>
      <c r="L185" s="185"/>
      <c r="M185" s="185"/>
      <c r="N185" s="185"/>
      <c r="O185" s="185"/>
      <c r="P185" s="185"/>
      <c r="Q185" s="185"/>
      <c r="R185" s="185"/>
      <c r="S185" s="185"/>
      <c r="T185" s="185"/>
      <c r="U185" s="185"/>
      <c r="V185" s="185"/>
      <c r="W185" s="185"/>
      <c r="X185" s="185"/>
      <c r="Y185" s="185"/>
      <c r="Z185" s="185"/>
      <c r="AA185" s="185"/>
      <c r="AB185" s="185"/>
      <c r="AC185" s="185"/>
      <c r="AD185" s="185"/>
      <c r="AE185" s="185"/>
      <c r="AF185" s="185"/>
      <c r="AG185" s="185"/>
      <c r="AH185" s="185"/>
      <c r="AI185" s="185"/>
      <c r="AJ185" s="185"/>
      <c r="AK185" s="185"/>
      <c r="AL185" s="186"/>
      <c r="AM185" s="188"/>
      <c r="AN185" s="190"/>
      <c r="AO185" s="18" t="s">
        <v>3</v>
      </c>
      <c r="AP185" s="19" t="s">
        <v>13</v>
      </c>
      <c r="AQ185" s="172"/>
      <c r="AR185" s="27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</row>
    <row r="186" spans="1:81" ht="17.100000000000001" customHeight="1">
      <c r="A186" s="173"/>
      <c r="B186" s="30" t="s">
        <v>21</v>
      </c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9"/>
      <c r="X186" s="39"/>
      <c r="Y186" s="39"/>
      <c r="Z186" s="39"/>
      <c r="AA186" s="39"/>
      <c r="AB186" s="39"/>
      <c r="AC186" s="39"/>
      <c r="AD186" s="39"/>
      <c r="AE186" s="39"/>
      <c r="AF186" s="39"/>
      <c r="AG186" s="39"/>
      <c r="AH186" s="39"/>
      <c r="AI186" s="39"/>
      <c r="AJ186" s="39"/>
      <c r="AK186" s="39"/>
      <c r="AL186" s="39"/>
      <c r="AM186" s="39"/>
      <c r="AN186" s="40" t="str">
        <f>IF(AM186="","",SUM(C186:AL186)*AM186)</f>
        <v/>
      </c>
      <c r="AO186" s="39"/>
      <c r="AP186" s="39"/>
      <c r="AQ186" s="42">
        <f>(AO186+AR186)*AM186</f>
        <v>0</v>
      </c>
      <c r="AR186" s="25">
        <f>AP186/36</f>
        <v>0</v>
      </c>
      <c r="AT186" s="3" t="str">
        <f t="shared" ref="AT186:CA186" si="639">IF(C186=0,"",ROUNDUP(C183/C186,0))</f>
        <v/>
      </c>
      <c r="AU186" s="3" t="str">
        <f t="shared" si="639"/>
        <v/>
      </c>
      <c r="AV186" s="3" t="str">
        <f t="shared" si="639"/>
        <v/>
      </c>
      <c r="AW186" s="3" t="str">
        <f t="shared" si="639"/>
        <v/>
      </c>
      <c r="AX186" s="3" t="str">
        <f t="shared" si="639"/>
        <v/>
      </c>
      <c r="AY186" s="3" t="str">
        <f t="shared" si="639"/>
        <v/>
      </c>
      <c r="AZ186" s="3" t="str">
        <f t="shared" si="639"/>
        <v/>
      </c>
      <c r="BA186" s="3" t="str">
        <f t="shared" si="639"/>
        <v/>
      </c>
      <c r="BB186" s="3" t="str">
        <f t="shared" si="639"/>
        <v/>
      </c>
      <c r="BC186" s="3" t="str">
        <f t="shared" si="639"/>
        <v/>
      </c>
      <c r="BD186" s="3" t="str">
        <f t="shared" si="639"/>
        <v/>
      </c>
      <c r="BE186" s="3" t="str">
        <f t="shared" si="639"/>
        <v/>
      </c>
      <c r="BF186" s="3" t="str">
        <f t="shared" si="639"/>
        <v/>
      </c>
      <c r="BG186" s="3" t="str">
        <f t="shared" si="639"/>
        <v/>
      </c>
      <c r="BH186" s="3" t="str">
        <f t="shared" si="639"/>
        <v/>
      </c>
      <c r="BI186" s="3" t="str">
        <f t="shared" si="639"/>
        <v/>
      </c>
      <c r="BJ186" s="3" t="str">
        <f t="shared" si="639"/>
        <v/>
      </c>
      <c r="BK186" s="3" t="str">
        <f t="shared" si="639"/>
        <v/>
      </c>
      <c r="BL186" s="3" t="str">
        <f t="shared" si="639"/>
        <v/>
      </c>
      <c r="BM186" s="3" t="str">
        <f t="shared" si="639"/>
        <v/>
      </c>
      <c r="BN186" s="3" t="str">
        <f t="shared" si="639"/>
        <v/>
      </c>
      <c r="BO186" s="3" t="str">
        <f t="shared" si="639"/>
        <v/>
      </c>
      <c r="BP186" s="3" t="str">
        <f t="shared" si="639"/>
        <v/>
      </c>
      <c r="BQ186" s="3" t="str">
        <f t="shared" si="639"/>
        <v/>
      </c>
      <c r="BR186" s="3" t="str">
        <f t="shared" si="639"/>
        <v/>
      </c>
      <c r="BS186" s="3" t="str">
        <f t="shared" si="639"/>
        <v/>
      </c>
      <c r="BT186" s="3" t="str">
        <f t="shared" si="639"/>
        <v/>
      </c>
      <c r="BU186" s="3" t="str">
        <f t="shared" si="639"/>
        <v/>
      </c>
      <c r="BV186" s="3" t="str">
        <f t="shared" si="639"/>
        <v/>
      </c>
      <c r="BW186" s="3" t="str">
        <f t="shared" si="639"/>
        <v/>
      </c>
      <c r="BX186" s="3" t="str">
        <f t="shared" si="639"/>
        <v/>
      </c>
      <c r="BY186" s="3" t="str">
        <f t="shared" si="639"/>
        <v/>
      </c>
      <c r="BZ186" s="3" t="str">
        <f t="shared" si="639"/>
        <v/>
      </c>
      <c r="CA186" s="3" t="str">
        <f t="shared" si="639"/>
        <v/>
      </c>
      <c r="CB186" s="3" t="str">
        <f t="shared" ref="CB186" si="640">IF(AK186=0,"",ROUNDUP(AK183/AK186,0))</f>
        <v/>
      </c>
      <c r="CC186" s="3" t="str">
        <f t="shared" ref="CC186" si="641">IF(AL186=0,"",ROUNDUP(AL183/AL186,0))</f>
        <v/>
      </c>
    </row>
    <row r="187" spans="1:81" ht="17.100000000000001" customHeight="1">
      <c r="A187" s="174"/>
      <c r="B187" s="30" t="s">
        <v>22</v>
      </c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39"/>
      <c r="Z187" s="39"/>
      <c r="AA187" s="39"/>
      <c r="AB187" s="39"/>
      <c r="AC187" s="39"/>
      <c r="AD187" s="39"/>
      <c r="AE187" s="39"/>
      <c r="AF187" s="39"/>
      <c r="AG187" s="39"/>
      <c r="AH187" s="39"/>
      <c r="AI187" s="39"/>
      <c r="AJ187" s="39"/>
      <c r="AK187" s="39"/>
      <c r="AL187" s="39"/>
      <c r="AM187" s="39"/>
      <c r="AN187" s="40" t="str">
        <f t="shared" ref="AN187:AN193" si="642">IF(AM187="","",SUM(C187:AL187)*AM187)</f>
        <v/>
      </c>
      <c r="AO187" s="39"/>
      <c r="AP187" s="39"/>
      <c r="AQ187" s="42">
        <f t="shared" ref="AQ187:AQ193" si="643">(AO187+AR187)*AM187</f>
        <v>0</v>
      </c>
      <c r="AR187" s="25">
        <f t="shared" ref="AR187:AR193" si="644">AP187/36</f>
        <v>0</v>
      </c>
      <c r="AT187" s="3" t="str">
        <f t="shared" ref="AT187:CA187" si="645">IF(C187=0,"",ROUNDUP(C183/C187,0))</f>
        <v/>
      </c>
      <c r="AU187" s="3" t="str">
        <f t="shared" si="645"/>
        <v/>
      </c>
      <c r="AV187" s="3" t="str">
        <f t="shared" si="645"/>
        <v/>
      </c>
      <c r="AW187" s="3" t="str">
        <f t="shared" si="645"/>
        <v/>
      </c>
      <c r="AX187" s="3" t="str">
        <f t="shared" si="645"/>
        <v/>
      </c>
      <c r="AY187" s="3" t="str">
        <f t="shared" si="645"/>
        <v/>
      </c>
      <c r="AZ187" s="3" t="str">
        <f t="shared" si="645"/>
        <v/>
      </c>
      <c r="BA187" s="3" t="str">
        <f t="shared" si="645"/>
        <v/>
      </c>
      <c r="BB187" s="3" t="str">
        <f t="shared" si="645"/>
        <v/>
      </c>
      <c r="BC187" s="3" t="str">
        <f t="shared" si="645"/>
        <v/>
      </c>
      <c r="BD187" s="3" t="str">
        <f t="shared" si="645"/>
        <v/>
      </c>
      <c r="BE187" s="3" t="str">
        <f t="shared" si="645"/>
        <v/>
      </c>
      <c r="BF187" s="3" t="str">
        <f t="shared" si="645"/>
        <v/>
      </c>
      <c r="BG187" s="3" t="str">
        <f t="shared" si="645"/>
        <v/>
      </c>
      <c r="BH187" s="3" t="str">
        <f t="shared" si="645"/>
        <v/>
      </c>
      <c r="BI187" s="3" t="str">
        <f t="shared" si="645"/>
        <v/>
      </c>
      <c r="BJ187" s="3" t="str">
        <f t="shared" si="645"/>
        <v/>
      </c>
      <c r="BK187" s="3" t="str">
        <f t="shared" si="645"/>
        <v/>
      </c>
      <c r="BL187" s="3" t="str">
        <f t="shared" si="645"/>
        <v/>
      </c>
      <c r="BM187" s="3" t="str">
        <f t="shared" si="645"/>
        <v/>
      </c>
      <c r="BN187" s="3" t="str">
        <f t="shared" si="645"/>
        <v/>
      </c>
      <c r="BO187" s="3" t="str">
        <f t="shared" si="645"/>
        <v/>
      </c>
      <c r="BP187" s="3" t="str">
        <f t="shared" si="645"/>
        <v/>
      </c>
      <c r="BQ187" s="3" t="str">
        <f t="shared" si="645"/>
        <v/>
      </c>
      <c r="BR187" s="3" t="str">
        <f t="shared" si="645"/>
        <v/>
      </c>
      <c r="BS187" s="3" t="str">
        <f t="shared" si="645"/>
        <v/>
      </c>
      <c r="BT187" s="3" t="str">
        <f t="shared" si="645"/>
        <v/>
      </c>
      <c r="BU187" s="3" t="str">
        <f t="shared" si="645"/>
        <v/>
      </c>
      <c r="BV187" s="3" t="str">
        <f t="shared" si="645"/>
        <v/>
      </c>
      <c r="BW187" s="3" t="str">
        <f t="shared" si="645"/>
        <v/>
      </c>
      <c r="BX187" s="3" t="str">
        <f t="shared" si="645"/>
        <v/>
      </c>
      <c r="BY187" s="3" t="str">
        <f t="shared" si="645"/>
        <v/>
      </c>
      <c r="BZ187" s="3" t="str">
        <f t="shared" si="645"/>
        <v/>
      </c>
      <c r="CA187" s="3" t="str">
        <f t="shared" si="645"/>
        <v/>
      </c>
      <c r="CB187" s="3" t="str">
        <f t="shared" ref="CB187" si="646">IF(AK187=0,"",ROUNDUP(AK183/AK187,0))</f>
        <v/>
      </c>
      <c r="CC187" s="3" t="str">
        <f t="shared" ref="CC187" si="647">IF(AL187=0,"",ROUNDUP(AL183/AL187,0))</f>
        <v/>
      </c>
    </row>
    <row r="188" spans="1:81" ht="17.100000000000001" customHeight="1">
      <c r="A188" s="174"/>
      <c r="B188" s="30" t="s">
        <v>23</v>
      </c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  <c r="AA188" s="39"/>
      <c r="AB188" s="39"/>
      <c r="AC188" s="39"/>
      <c r="AD188" s="39"/>
      <c r="AE188" s="39"/>
      <c r="AF188" s="39"/>
      <c r="AG188" s="39"/>
      <c r="AH188" s="39"/>
      <c r="AI188" s="39"/>
      <c r="AJ188" s="39"/>
      <c r="AK188" s="39"/>
      <c r="AL188" s="39"/>
      <c r="AM188" s="39"/>
      <c r="AN188" s="40" t="str">
        <f t="shared" si="642"/>
        <v/>
      </c>
      <c r="AO188" s="39"/>
      <c r="AP188" s="39"/>
      <c r="AQ188" s="42">
        <f t="shared" si="643"/>
        <v>0</v>
      </c>
      <c r="AR188" s="25">
        <f t="shared" si="644"/>
        <v>0</v>
      </c>
      <c r="AT188" s="3" t="str">
        <f t="shared" ref="AT188:CA188" si="648">IF(C188=0,"",ROUNDUP(C183/C188,0))</f>
        <v/>
      </c>
      <c r="AU188" s="3" t="str">
        <f t="shared" si="648"/>
        <v/>
      </c>
      <c r="AV188" s="3" t="str">
        <f t="shared" si="648"/>
        <v/>
      </c>
      <c r="AW188" s="3" t="str">
        <f t="shared" si="648"/>
        <v/>
      </c>
      <c r="AX188" s="3" t="str">
        <f t="shared" si="648"/>
        <v/>
      </c>
      <c r="AY188" s="3" t="str">
        <f t="shared" si="648"/>
        <v/>
      </c>
      <c r="AZ188" s="3" t="str">
        <f t="shared" si="648"/>
        <v/>
      </c>
      <c r="BA188" s="3" t="str">
        <f t="shared" si="648"/>
        <v/>
      </c>
      <c r="BB188" s="3" t="str">
        <f t="shared" si="648"/>
        <v/>
      </c>
      <c r="BC188" s="3" t="str">
        <f t="shared" si="648"/>
        <v/>
      </c>
      <c r="BD188" s="3" t="str">
        <f t="shared" si="648"/>
        <v/>
      </c>
      <c r="BE188" s="3" t="str">
        <f t="shared" si="648"/>
        <v/>
      </c>
      <c r="BF188" s="3" t="str">
        <f t="shared" si="648"/>
        <v/>
      </c>
      <c r="BG188" s="3" t="str">
        <f t="shared" si="648"/>
        <v/>
      </c>
      <c r="BH188" s="3" t="str">
        <f t="shared" si="648"/>
        <v/>
      </c>
      <c r="BI188" s="3" t="str">
        <f t="shared" si="648"/>
        <v/>
      </c>
      <c r="BJ188" s="3" t="str">
        <f t="shared" si="648"/>
        <v/>
      </c>
      <c r="BK188" s="3" t="str">
        <f t="shared" si="648"/>
        <v/>
      </c>
      <c r="BL188" s="3" t="str">
        <f t="shared" si="648"/>
        <v/>
      </c>
      <c r="BM188" s="3" t="str">
        <f t="shared" si="648"/>
        <v/>
      </c>
      <c r="BN188" s="3" t="str">
        <f t="shared" si="648"/>
        <v/>
      </c>
      <c r="BO188" s="3" t="str">
        <f t="shared" si="648"/>
        <v/>
      </c>
      <c r="BP188" s="3" t="str">
        <f t="shared" si="648"/>
        <v/>
      </c>
      <c r="BQ188" s="3" t="str">
        <f t="shared" si="648"/>
        <v/>
      </c>
      <c r="BR188" s="3" t="str">
        <f t="shared" si="648"/>
        <v/>
      </c>
      <c r="BS188" s="3" t="str">
        <f t="shared" si="648"/>
        <v/>
      </c>
      <c r="BT188" s="3" t="str">
        <f t="shared" si="648"/>
        <v/>
      </c>
      <c r="BU188" s="3" t="str">
        <f t="shared" si="648"/>
        <v/>
      </c>
      <c r="BV188" s="3" t="str">
        <f t="shared" si="648"/>
        <v/>
      </c>
      <c r="BW188" s="3" t="str">
        <f t="shared" si="648"/>
        <v/>
      </c>
      <c r="BX188" s="3" t="str">
        <f t="shared" si="648"/>
        <v/>
      </c>
      <c r="BY188" s="3" t="str">
        <f t="shared" si="648"/>
        <v/>
      </c>
      <c r="BZ188" s="3" t="str">
        <f t="shared" si="648"/>
        <v/>
      </c>
      <c r="CA188" s="3" t="str">
        <f t="shared" si="648"/>
        <v/>
      </c>
      <c r="CB188" s="3" t="str">
        <f t="shared" ref="CB188" si="649">IF(AK188=0,"",ROUNDUP(AK183/AK188,0))</f>
        <v/>
      </c>
      <c r="CC188" s="3" t="str">
        <f t="shared" ref="CC188" si="650">IF(AL188=0,"",ROUNDUP(AL183/AL188,0))</f>
        <v/>
      </c>
    </row>
    <row r="189" spans="1:81" ht="17.100000000000001" customHeight="1">
      <c r="A189" s="174"/>
      <c r="B189" s="30" t="s">
        <v>24</v>
      </c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39"/>
      <c r="X189" s="39"/>
      <c r="Y189" s="39"/>
      <c r="Z189" s="39"/>
      <c r="AA189" s="39"/>
      <c r="AB189" s="39"/>
      <c r="AC189" s="39"/>
      <c r="AD189" s="39"/>
      <c r="AE189" s="39"/>
      <c r="AF189" s="39"/>
      <c r="AG189" s="39"/>
      <c r="AH189" s="39"/>
      <c r="AI189" s="39"/>
      <c r="AJ189" s="39"/>
      <c r="AK189" s="39"/>
      <c r="AL189" s="39"/>
      <c r="AM189" s="39"/>
      <c r="AN189" s="40" t="str">
        <f t="shared" si="642"/>
        <v/>
      </c>
      <c r="AO189" s="39"/>
      <c r="AP189" s="39"/>
      <c r="AQ189" s="42">
        <f t="shared" si="643"/>
        <v>0</v>
      </c>
      <c r="AR189" s="25">
        <f t="shared" si="644"/>
        <v>0</v>
      </c>
      <c r="AT189" s="3" t="str">
        <f t="shared" ref="AT189:CA189" si="651">IF(C189=0,"",ROUNDUP(C183/C189,0))</f>
        <v/>
      </c>
      <c r="AU189" s="3" t="str">
        <f t="shared" si="651"/>
        <v/>
      </c>
      <c r="AV189" s="3" t="str">
        <f t="shared" si="651"/>
        <v/>
      </c>
      <c r="AW189" s="3" t="str">
        <f t="shared" si="651"/>
        <v/>
      </c>
      <c r="AX189" s="3" t="str">
        <f t="shared" si="651"/>
        <v/>
      </c>
      <c r="AY189" s="3" t="str">
        <f t="shared" si="651"/>
        <v/>
      </c>
      <c r="AZ189" s="3" t="str">
        <f t="shared" si="651"/>
        <v/>
      </c>
      <c r="BA189" s="3" t="str">
        <f t="shared" si="651"/>
        <v/>
      </c>
      <c r="BB189" s="3" t="str">
        <f t="shared" si="651"/>
        <v/>
      </c>
      <c r="BC189" s="3" t="str">
        <f t="shared" si="651"/>
        <v/>
      </c>
      <c r="BD189" s="3" t="str">
        <f t="shared" si="651"/>
        <v/>
      </c>
      <c r="BE189" s="3" t="str">
        <f t="shared" si="651"/>
        <v/>
      </c>
      <c r="BF189" s="3" t="str">
        <f t="shared" si="651"/>
        <v/>
      </c>
      <c r="BG189" s="3" t="str">
        <f t="shared" si="651"/>
        <v/>
      </c>
      <c r="BH189" s="3" t="str">
        <f t="shared" si="651"/>
        <v/>
      </c>
      <c r="BI189" s="3" t="str">
        <f t="shared" si="651"/>
        <v/>
      </c>
      <c r="BJ189" s="3" t="str">
        <f t="shared" si="651"/>
        <v/>
      </c>
      <c r="BK189" s="3" t="str">
        <f t="shared" si="651"/>
        <v/>
      </c>
      <c r="BL189" s="3" t="str">
        <f t="shared" si="651"/>
        <v/>
      </c>
      <c r="BM189" s="3" t="str">
        <f t="shared" si="651"/>
        <v/>
      </c>
      <c r="BN189" s="3" t="str">
        <f t="shared" si="651"/>
        <v/>
      </c>
      <c r="BO189" s="3" t="str">
        <f t="shared" si="651"/>
        <v/>
      </c>
      <c r="BP189" s="3" t="str">
        <f t="shared" si="651"/>
        <v/>
      </c>
      <c r="BQ189" s="3" t="str">
        <f t="shared" si="651"/>
        <v/>
      </c>
      <c r="BR189" s="3" t="str">
        <f t="shared" si="651"/>
        <v/>
      </c>
      <c r="BS189" s="3" t="str">
        <f t="shared" si="651"/>
        <v/>
      </c>
      <c r="BT189" s="3" t="str">
        <f t="shared" si="651"/>
        <v/>
      </c>
      <c r="BU189" s="3" t="str">
        <f t="shared" si="651"/>
        <v/>
      </c>
      <c r="BV189" s="3" t="str">
        <f t="shared" si="651"/>
        <v/>
      </c>
      <c r="BW189" s="3" t="str">
        <f t="shared" si="651"/>
        <v/>
      </c>
      <c r="BX189" s="3" t="str">
        <f t="shared" si="651"/>
        <v/>
      </c>
      <c r="BY189" s="3" t="str">
        <f t="shared" si="651"/>
        <v/>
      </c>
      <c r="BZ189" s="3" t="str">
        <f t="shared" si="651"/>
        <v/>
      </c>
      <c r="CA189" s="3" t="str">
        <f t="shared" si="651"/>
        <v/>
      </c>
      <c r="CB189" s="3" t="str">
        <f t="shared" ref="CB189" si="652">IF(AK189=0,"",ROUNDUP(AK183/AK189,0))</f>
        <v/>
      </c>
      <c r="CC189" s="3" t="str">
        <f t="shared" ref="CC189" si="653">IF(AL189=0,"",ROUNDUP(AL183/AL189,0))</f>
        <v/>
      </c>
    </row>
    <row r="190" spans="1:81" ht="17.100000000000001" customHeight="1">
      <c r="A190" s="174"/>
      <c r="B190" s="30" t="s">
        <v>25</v>
      </c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9"/>
      <c r="AC190" s="39"/>
      <c r="AD190" s="39"/>
      <c r="AE190" s="39"/>
      <c r="AF190" s="39"/>
      <c r="AG190" s="39"/>
      <c r="AH190" s="39"/>
      <c r="AI190" s="39"/>
      <c r="AJ190" s="39"/>
      <c r="AK190" s="39"/>
      <c r="AL190" s="39"/>
      <c r="AM190" s="39"/>
      <c r="AN190" s="40" t="str">
        <f t="shared" si="642"/>
        <v/>
      </c>
      <c r="AO190" s="39"/>
      <c r="AP190" s="39"/>
      <c r="AQ190" s="42">
        <f t="shared" si="643"/>
        <v>0</v>
      </c>
      <c r="AR190" s="25">
        <f t="shared" si="644"/>
        <v>0</v>
      </c>
      <c r="AT190" s="3" t="str">
        <f t="shared" ref="AT190:CA190" si="654">IF(C190=0,"",ROUNDUP(C183/C190,0))</f>
        <v/>
      </c>
      <c r="AU190" s="3" t="str">
        <f t="shared" si="654"/>
        <v/>
      </c>
      <c r="AV190" s="3" t="str">
        <f t="shared" si="654"/>
        <v/>
      </c>
      <c r="AW190" s="3" t="str">
        <f t="shared" si="654"/>
        <v/>
      </c>
      <c r="AX190" s="3" t="str">
        <f t="shared" si="654"/>
        <v/>
      </c>
      <c r="AY190" s="3" t="str">
        <f t="shared" si="654"/>
        <v/>
      </c>
      <c r="AZ190" s="3" t="str">
        <f t="shared" si="654"/>
        <v/>
      </c>
      <c r="BA190" s="3" t="str">
        <f t="shared" si="654"/>
        <v/>
      </c>
      <c r="BB190" s="3" t="str">
        <f t="shared" si="654"/>
        <v/>
      </c>
      <c r="BC190" s="3" t="str">
        <f t="shared" si="654"/>
        <v/>
      </c>
      <c r="BD190" s="3" t="str">
        <f t="shared" si="654"/>
        <v/>
      </c>
      <c r="BE190" s="3" t="str">
        <f t="shared" si="654"/>
        <v/>
      </c>
      <c r="BF190" s="3" t="str">
        <f t="shared" si="654"/>
        <v/>
      </c>
      <c r="BG190" s="3" t="str">
        <f t="shared" si="654"/>
        <v/>
      </c>
      <c r="BH190" s="3" t="str">
        <f t="shared" si="654"/>
        <v/>
      </c>
      <c r="BI190" s="3" t="str">
        <f t="shared" si="654"/>
        <v/>
      </c>
      <c r="BJ190" s="3" t="str">
        <f t="shared" si="654"/>
        <v/>
      </c>
      <c r="BK190" s="3" t="str">
        <f t="shared" si="654"/>
        <v/>
      </c>
      <c r="BL190" s="3" t="str">
        <f t="shared" si="654"/>
        <v/>
      </c>
      <c r="BM190" s="3" t="str">
        <f t="shared" si="654"/>
        <v/>
      </c>
      <c r="BN190" s="3" t="str">
        <f t="shared" si="654"/>
        <v/>
      </c>
      <c r="BO190" s="3" t="str">
        <f t="shared" si="654"/>
        <v/>
      </c>
      <c r="BP190" s="3" t="str">
        <f t="shared" si="654"/>
        <v/>
      </c>
      <c r="BQ190" s="3" t="str">
        <f t="shared" si="654"/>
        <v/>
      </c>
      <c r="BR190" s="3" t="str">
        <f t="shared" si="654"/>
        <v/>
      </c>
      <c r="BS190" s="3" t="str">
        <f t="shared" si="654"/>
        <v/>
      </c>
      <c r="BT190" s="3" t="str">
        <f t="shared" si="654"/>
        <v/>
      </c>
      <c r="BU190" s="3" t="str">
        <f t="shared" si="654"/>
        <v/>
      </c>
      <c r="BV190" s="3" t="str">
        <f t="shared" si="654"/>
        <v/>
      </c>
      <c r="BW190" s="3" t="str">
        <f t="shared" si="654"/>
        <v/>
      </c>
      <c r="BX190" s="3" t="str">
        <f t="shared" si="654"/>
        <v/>
      </c>
      <c r="BY190" s="3" t="str">
        <f t="shared" si="654"/>
        <v/>
      </c>
      <c r="BZ190" s="3" t="str">
        <f t="shared" si="654"/>
        <v/>
      </c>
      <c r="CA190" s="3" t="str">
        <f t="shared" si="654"/>
        <v/>
      </c>
      <c r="CB190" s="3" t="str">
        <f t="shared" ref="CB190" si="655">IF(AK190=0,"",ROUNDUP(AK183/AK190,0))</f>
        <v/>
      </c>
      <c r="CC190" s="3" t="str">
        <f t="shared" ref="CC190" si="656">IF(AL190=0,"",ROUNDUP(AL183/AL190,0))</f>
        <v/>
      </c>
    </row>
    <row r="191" spans="1:81" ht="17.100000000000001" customHeight="1">
      <c r="A191" s="174"/>
      <c r="B191" s="30" t="s">
        <v>26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39"/>
      <c r="X191" s="39"/>
      <c r="Y191" s="39"/>
      <c r="Z191" s="39"/>
      <c r="AA191" s="39"/>
      <c r="AB191" s="39"/>
      <c r="AC191" s="39"/>
      <c r="AD191" s="39"/>
      <c r="AE191" s="39"/>
      <c r="AF191" s="39"/>
      <c r="AG191" s="39"/>
      <c r="AH191" s="39"/>
      <c r="AI191" s="39"/>
      <c r="AJ191" s="39"/>
      <c r="AK191" s="39"/>
      <c r="AL191" s="39"/>
      <c r="AM191" s="39"/>
      <c r="AN191" s="40" t="str">
        <f>IF(AM191="","",SUM(C191:AL191)*AM191)</f>
        <v/>
      </c>
      <c r="AO191" s="39"/>
      <c r="AP191" s="39"/>
      <c r="AQ191" s="42">
        <f t="shared" si="643"/>
        <v>0</v>
      </c>
      <c r="AR191" s="25">
        <f t="shared" si="644"/>
        <v>0</v>
      </c>
      <c r="AT191" s="3" t="str">
        <f t="shared" ref="AT191:CA191" si="657">IF(C191=0,"",ROUNDUP(C183/C191,0))</f>
        <v/>
      </c>
      <c r="AU191" s="3" t="str">
        <f t="shared" si="657"/>
        <v/>
      </c>
      <c r="AV191" s="3" t="str">
        <f t="shared" si="657"/>
        <v/>
      </c>
      <c r="AW191" s="3" t="str">
        <f t="shared" si="657"/>
        <v/>
      </c>
      <c r="AX191" s="3" t="str">
        <f t="shared" si="657"/>
        <v/>
      </c>
      <c r="AY191" s="3" t="str">
        <f t="shared" si="657"/>
        <v/>
      </c>
      <c r="AZ191" s="3" t="str">
        <f t="shared" si="657"/>
        <v/>
      </c>
      <c r="BA191" s="3" t="str">
        <f t="shared" si="657"/>
        <v/>
      </c>
      <c r="BB191" s="3" t="str">
        <f t="shared" si="657"/>
        <v/>
      </c>
      <c r="BC191" s="3" t="str">
        <f t="shared" si="657"/>
        <v/>
      </c>
      <c r="BD191" s="3" t="str">
        <f t="shared" si="657"/>
        <v/>
      </c>
      <c r="BE191" s="3" t="str">
        <f t="shared" si="657"/>
        <v/>
      </c>
      <c r="BF191" s="3" t="str">
        <f t="shared" si="657"/>
        <v/>
      </c>
      <c r="BG191" s="3" t="str">
        <f t="shared" si="657"/>
        <v/>
      </c>
      <c r="BH191" s="3" t="str">
        <f t="shared" si="657"/>
        <v/>
      </c>
      <c r="BI191" s="3" t="str">
        <f t="shared" si="657"/>
        <v/>
      </c>
      <c r="BJ191" s="3" t="str">
        <f t="shared" si="657"/>
        <v/>
      </c>
      <c r="BK191" s="3" t="str">
        <f t="shared" si="657"/>
        <v/>
      </c>
      <c r="BL191" s="3" t="str">
        <f t="shared" si="657"/>
        <v/>
      </c>
      <c r="BM191" s="3" t="str">
        <f t="shared" si="657"/>
        <v/>
      </c>
      <c r="BN191" s="3" t="str">
        <f t="shared" si="657"/>
        <v/>
      </c>
      <c r="BO191" s="3" t="str">
        <f t="shared" si="657"/>
        <v/>
      </c>
      <c r="BP191" s="3" t="str">
        <f t="shared" si="657"/>
        <v/>
      </c>
      <c r="BQ191" s="3" t="str">
        <f t="shared" si="657"/>
        <v/>
      </c>
      <c r="BR191" s="3" t="str">
        <f t="shared" si="657"/>
        <v/>
      </c>
      <c r="BS191" s="3" t="str">
        <f t="shared" si="657"/>
        <v/>
      </c>
      <c r="BT191" s="3" t="str">
        <f t="shared" si="657"/>
        <v/>
      </c>
      <c r="BU191" s="3" t="str">
        <f t="shared" si="657"/>
        <v/>
      </c>
      <c r="BV191" s="3" t="str">
        <f t="shared" si="657"/>
        <v/>
      </c>
      <c r="BW191" s="3" t="str">
        <f t="shared" si="657"/>
        <v/>
      </c>
      <c r="BX191" s="3" t="str">
        <f t="shared" si="657"/>
        <v/>
      </c>
      <c r="BY191" s="3" t="str">
        <f t="shared" si="657"/>
        <v/>
      </c>
      <c r="BZ191" s="3" t="str">
        <f t="shared" si="657"/>
        <v/>
      </c>
      <c r="CA191" s="3" t="str">
        <f t="shared" si="657"/>
        <v/>
      </c>
      <c r="CB191" s="3" t="str">
        <f t="shared" ref="CB191" si="658">IF(AK191=0,"",ROUNDUP(AK183/AK191,0))</f>
        <v/>
      </c>
      <c r="CC191" s="3" t="str">
        <f t="shared" ref="CC191" si="659">IF(AL191=0,"",ROUNDUP(AL183/AL191,0))</f>
        <v/>
      </c>
    </row>
    <row r="192" spans="1:81" ht="17.100000000000001" customHeight="1">
      <c r="A192" s="174"/>
      <c r="B192" s="30" t="s">
        <v>27</v>
      </c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  <c r="AA192" s="39"/>
      <c r="AB192" s="39"/>
      <c r="AC192" s="39"/>
      <c r="AD192" s="39"/>
      <c r="AE192" s="39"/>
      <c r="AF192" s="39"/>
      <c r="AG192" s="39"/>
      <c r="AH192" s="39"/>
      <c r="AI192" s="39"/>
      <c r="AJ192" s="39"/>
      <c r="AK192" s="39"/>
      <c r="AL192" s="39"/>
      <c r="AM192" s="39"/>
      <c r="AN192" s="40" t="str">
        <f t="shared" si="642"/>
        <v/>
      </c>
      <c r="AO192" s="39"/>
      <c r="AP192" s="39"/>
      <c r="AQ192" s="42">
        <f t="shared" si="643"/>
        <v>0</v>
      </c>
      <c r="AR192" s="25">
        <f t="shared" si="644"/>
        <v>0</v>
      </c>
      <c r="AT192" s="3" t="str">
        <f t="shared" ref="AT192:CA192" si="660">IF(C192=0,"",ROUNDUP(C183/C192,0))</f>
        <v/>
      </c>
      <c r="AU192" s="3" t="str">
        <f t="shared" si="660"/>
        <v/>
      </c>
      <c r="AV192" s="3" t="str">
        <f t="shared" si="660"/>
        <v/>
      </c>
      <c r="AW192" s="3" t="str">
        <f t="shared" si="660"/>
        <v/>
      </c>
      <c r="AX192" s="3" t="str">
        <f t="shared" si="660"/>
        <v/>
      </c>
      <c r="AY192" s="3" t="str">
        <f t="shared" si="660"/>
        <v/>
      </c>
      <c r="AZ192" s="3" t="str">
        <f t="shared" si="660"/>
        <v/>
      </c>
      <c r="BA192" s="3" t="str">
        <f t="shared" si="660"/>
        <v/>
      </c>
      <c r="BB192" s="3" t="str">
        <f t="shared" si="660"/>
        <v/>
      </c>
      <c r="BC192" s="3" t="str">
        <f t="shared" si="660"/>
        <v/>
      </c>
      <c r="BD192" s="3" t="str">
        <f t="shared" si="660"/>
        <v/>
      </c>
      <c r="BE192" s="3" t="str">
        <f t="shared" si="660"/>
        <v/>
      </c>
      <c r="BF192" s="3" t="str">
        <f t="shared" si="660"/>
        <v/>
      </c>
      <c r="BG192" s="3" t="str">
        <f t="shared" si="660"/>
        <v/>
      </c>
      <c r="BH192" s="3" t="str">
        <f t="shared" si="660"/>
        <v/>
      </c>
      <c r="BI192" s="3" t="str">
        <f t="shared" si="660"/>
        <v/>
      </c>
      <c r="BJ192" s="3" t="str">
        <f t="shared" si="660"/>
        <v/>
      </c>
      <c r="BK192" s="3" t="str">
        <f t="shared" si="660"/>
        <v/>
      </c>
      <c r="BL192" s="3" t="str">
        <f t="shared" si="660"/>
        <v/>
      </c>
      <c r="BM192" s="3" t="str">
        <f t="shared" si="660"/>
        <v/>
      </c>
      <c r="BN192" s="3" t="str">
        <f t="shared" si="660"/>
        <v/>
      </c>
      <c r="BO192" s="3" t="str">
        <f t="shared" si="660"/>
        <v/>
      </c>
      <c r="BP192" s="3" t="str">
        <f t="shared" si="660"/>
        <v/>
      </c>
      <c r="BQ192" s="3" t="str">
        <f t="shared" si="660"/>
        <v/>
      </c>
      <c r="BR192" s="3" t="str">
        <f t="shared" si="660"/>
        <v/>
      </c>
      <c r="BS192" s="3" t="str">
        <f t="shared" si="660"/>
        <v/>
      </c>
      <c r="BT192" s="3" t="str">
        <f t="shared" si="660"/>
        <v/>
      </c>
      <c r="BU192" s="3" t="str">
        <f t="shared" si="660"/>
        <v/>
      </c>
      <c r="BV192" s="3" t="str">
        <f t="shared" si="660"/>
        <v/>
      </c>
      <c r="BW192" s="3" t="str">
        <f t="shared" si="660"/>
        <v/>
      </c>
      <c r="BX192" s="3" t="str">
        <f t="shared" si="660"/>
        <v/>
      </c>
      <c r="BY192" s="3" t="str">
        <f t="shared" si="660"/>
        <v/>
      </c>
      <c r="BZ192" s="3" t="str">
        <f t="shared" si="660"/>
        <v/>
      </c>
      <c r="CA192" s="3" t="str">
        <f t="shared" si="660"/>
        <v/>
      </c>
      <c r="CB192" s="3" t="str">
        <f t="shared" ref="CB192" si="661">IF(AK192=0,"",ROUNDUP(AK183/AK192,0))</f>
        <v/>
      </c>
      <c r="CC192" s="3" t="str">
        <f t="shared" ref="CC192" si="662">IF(AL192=0,"",ROUNDUP(AL183/AL192,0))</f>
        <v/>
      </c>
    </row>
    <row r="193" spans="1:81" ht="17.100000000000001" customHeight="1">
      <c r="A193" s="175"/>
      <c r="B193" s="30" t="s">
        <v>28</v>
      </c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39"/>
      <c r="X193" s="39"/>
      <c r="Y193" s="39"/>
      <c r="Z193" s="39"/>
      <c r="AA193" s="39"/>
      <c r="AB193" s="39"/>
      <c r="AC193" s="39"/>
      <c r="AD193" s="39"/>
      <c r="AE193" s="39"/>
      <c r="AF193" s="39"/>
      <c r="AG193" s="39"/>
      <c r="AH193" s="39"/>
      <c r="AI193" s="39"/>
      <c r="AJ193" s="39"/>
      <c r="AK193" s="39"/>
      <c r="AL193" s="39"/>
      <c r="AM193" s="39"/>
      <c r="AN193" s="41" t="str">
        <f t="shared" si="642"/>
        <v/>
      </c>
      <c r="AO193" s="39"/>
      <c r="AP193" s="39"/>
      <c r="AQ193" s="42">
        <f t="shared" si="643"/>
        <v>0</v>
      </c>
      <c r="AR193" s="25">
        <f t="shared" si="644"/>
        <v>0</v>
      </c>
      <c r="AT193" s="3" t="str">
        <f t="shared" ref="AT193:CA193" si="663">IF(C193=0,"",ROUNDUP(C183/C193,0))</f>
        <v/>
      </c>
      <c r="AU193" s="3" t="str">
        <f t="shared" si="663"/>
        <v/>
      </c>
      <c r="AV193" s="3" t="str">
        <f t="shared" si="663"/>
        <v/>
      </c>
      <c r="AW193" s="3" t="str">
        <f t="shared" si="663"/>
        <v/>
      </c>
      <c r="AX193" s="3" t="str">
        <f t="shared" si="663"/>
        <v/>
      </c>
      <c r="AY193" s="3" t="str">
        <f t="shared" si="663"/>
        <v/>
      </c>
      <c r="AZ193" s="3" t="str">
        <f t="shared" si="663"/>
        <v/>
      </c>
      <c r="BA193" s="3" t="str">
        <f t="shared" si="663"/>
        <v/>
      </c>
      <c r="BB193" s="3" t="str">
        <f t="shared" si="663"/>
        <v/>
      </c>
      <c r="BC193" s="3" t="str">
        <f t="shared" si="663"/>
        <v/>
      </c>
      <c r="BD193" s="3" t="str">
        <f t="shared" si="663"/>
        <v/>
      </c>
      <c r="BE193" s="3" t="str">
        <f t="shared" si="663"/>
        <v/>
      </c>
      <c r="BF193" s="3" t="str">
        <f t="shared" si="663"/>
        <v/>
      </c>
      <c r="BG193" s="3" t="str">
        <f t="shared" si="663"/>
        <v/>
      </c>
      <c r="BH193" s="3" t="str">
        <f t="shared" si="663"/>
        <v/>
      </c>
      <c r="BI193" s="3" t="str">
        <f t="shared" si="663"/>
        <v/>
      </c>
      <c r="BJ193" s="3" t="str">
        <f t="shared" si="663"/>
        <v/>
      </c>
      <c r="BK193" s="3" t="str">
        <f t="shared" si="663"/>
        <v/>
      </c>
      <c r="BL193" s="3" t="str">
        <f t="shared" si="663"/>
        <v/>
      </c>
      <c r="BM193" s="3" t="str">
        <f t="shared" si="663"/>
        <v/>
      </c>
      <c r="BN193" s="3" t="str">
        <f t="shared" si="663"/>
        <v/>
      </c>
      <c r="BO193" s="3" t="str">
        <f t="shared" si="663"/>
        <v/>
      </c>
      <c r="BP193" s="3" t="str">
        <f t="shared" si="663"/>
        <v/>
      </c>
      <c r="BQ193" s="3" t="str">
        <f t="shared" si="663"/>
        <v/>
      </c>
      <c r="BR193" s="3" t="str">
        <f t="shared" si="663"/>
        <v/>
      </c>
      <c r="BS193" s="3" t="str">
        <f t="shared" si="663"/>
        <v/>
      </c>
      <c r="BT193" s="3" t="str">
        <f t="shared" si="663"/>
        <v/>
      </c>
      <c r="BU193" s="3" t="str">
        <f t="shared" si="663"/>
        <v/>
      </c>
      <c r="BV193" s="3" t="str">
        <f t="shared" si="663"/>
        <v/>
      </c>
      <c r="BW193" s="3" t="str">
        <f t="shared" si="663"/>
        <v/>
      </c>
      <c r="BX193" s="3" t="str">
        <f t="shared" si="663"/>
        <v/>
      </c>
      <c r="BY193" s="3" t="str">
        <f t="shared" si="663"/>
        <v/>
      </c>
      <c r="BZ193" s="3" t="str">
        <f t="shared" si="663"/>
        <v/>
      </c>
      <c r="CA193" s="3" t="str">
        <f t="shared" si="663"/>
        <v/>
      </c>
      <c r="CB193" s="3" t="str">
        <f t="shared" ref="CB193" si="664">IF(AK193=0,"",ROUNDUP(AK183/AK193,0))</f>
        <v/>
      </c>
      <c r="CC193" s="3" t="str">
        <f t="shared" ref="CC193" si="665">IF(AL193=0,"",ROUNDUP(AL183/AL193,0))</f>
        <v/>
      </c>
    </row>
    <row r="194" spans="1:81" ht="17.100000000000001" customHeight="1" thickBot="1">
      <c r="AN194" s="7">
        <f>SUM(AN186:AN193)</f>
        <v>0</v>
      </c>
      <c r="AQ194" s="12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</row>
    <row r="195" spans="1:81" ht="21.95" customHeight="1" thickBot="1">
      <c r="A195" s="201">
        <v>13</v>
      </c>
      <c r="B195" s="202"/>
      <c r="C195" s="203"/>
      <c r="AQ195" s="12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</row>
    <row r="196" spans="1:81" ht="17.100000000000001" customHeight="1">
      <c r="A196" s="51" t="s">
        <v>29</v>
      </c>
      <c r="B196" s="50"/>
      <c r="C196" s="147" t="s">
        <v>10</v>
      </c>
      <c r="D196" s="148"/>
      <c r="E196" s="148"/>
      <c r="F196" s="148"/>
      <c r="G196" s="148"/>
      <c r="H196" s="148"/>
      <c r="I196" s="148"/>
      <c r="J196" s="148"/>
      <c r="K196" s="148"/>
      <c r="L196" s="148"/>
      <c r="M196" s="148"/>
      <c r="N196" s="148"/>
      <c r="O196" s="148"/>
      <c r="P196" s="148"/>
      <c r="Q196" s="148"/>
      <c r="R196" s="148"/>
      <c r="S196" s="148"/>
      <c r="T196" s="148"/>
      <c r="U196" s="148"/>
      <c r="V196" s="148"/>
      <c r="W196" s="148"/>
      <c r="X196" s="148"/>
      <c r="Y196" s="148"/>
      <c r="Z196" s="148"/>
      <c r="AA196" s="148"/>
      <c r="AB196" s="148"/>
      <c r="AC196" s="148"/>
      <c r="AD196" s="148"/>
      <c r="AE196" s="148"/>
      <c r="AF196" s="148"/>
      <c r="AG196" s="148"/>
      <c r="AH196" s="148"/>
      <c r="AI196" s="148"/>
      <c r="AJ196" s="148"/>
      <c r="AK196" s="148"/>
      <c r="AL196" s="148"/>
      <c r="AM196" s="10"/>
      <c r="AN196" s="31"/>
      <c r="AO196" s="35" t="s">
        <v>4</v>
      </c>
      <c r="AP196" s="149"/>
      <c r="AQ196" s="150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</row>
    <row r="197" spans="1:81" ht="27">
      <c r="A197" s="52" t="s">
        <v>36</v>
      </c>
      <c r="B197" s="50"/>
      <c r="C197" s="26" t="str">
        <f>IF(C181=0,"",IF(C181&gt;0,C181))</f>
        <v/>
      </c>
      <c r="D197" s="26" t="str">
        <f t="shared" ref="D197:AL197" si="666">IF(D181=0,"",IF(D181&gt;0,D181))</f>
        <v/>
      </c>
      <c r="E197" s="26" t="str">
        <f t="shared" si="666"/>
        <v/>
      </c>
      <c r="F197" s="26" t="str">
        <f t="shared" si="666"/>
        <v/>
      </c>
      <c r="G197" s="26" t="str">
        <f t="shared" si="666"/>
        <v/>
      </c>
      <c r="H197" s="26" t="str">
        <f t="shared" si="666"/>
        <v/>
      </c>
      <c r="I197" s="26" t="str">
        <f t="shared" si="666"/>
        <v/>
      </c>
      <c r="J197" s="26" t="str">
        <f t="shared" si="666"/>
        <v/>
      </c>
      <c r="K197" s="26" t="str">
        <f t="shared" si="666"/>
        <v/>
      </c>
      <c r="L197" s="26" t="str">
        <f t="shared" si="666"/>
        <v/>
      </c>
      <c r="M197" s="26" t="str">
        <f t="shared" si="666"/>
        <v/>
      </c>
      <c r="N197" s="26" t="str">
        <f t="shared" si="666"/>
        <v/>
      </c>
      <c r="O197" s="26" t="str">
        <f t="shared" si="666"/>
        <v/>
      </c>
      <c r="P197" s="26" t="str">
        <f t="shared" si="666"/>
        <v/>
      </c>
      <c r="Q197" s="26" t="str">
        <f t="shared" si="666"/>
        <v/>
      </c>
      <c r="R197" s="26" t="str">
        <f t="shared" si="666"/>
        <v/>
      </c>
      <c r="S197" s="26" t="str">
        <f t="shared" si="666"/>
        <v/>
      </c>
      <c r="T197" s="26" t="str">
        <f t="shared" si="666"/>
        <v/>
      </c>
      <c r="U197" s="26" t="str">
        <f t="shared" si="666"/>
        <v/>
      </c>
      <c r="V197" s="26" t="str">
        <f t="shared" si="666"/>
        <v/>
      </c>
      <c r="W197" s="26" t="str">
        <f t="shared" si="666"/>
        <v/>
      </c>
      <c r="X197" s="26" t="str">
        <f t="shared" si="666"/>
        <v/>
      </c>
      <c r="Y197" s="26" t="str">
        <f t="shared" si="666"/>
        <v/>
      </c>
      <c r="Z197" s="26" t="str">
        <f t="shared" si="666"/>
        <v/>
      </c>
      <c r="AA197" s="26" t="str">
        <f t="shared" si="666"/>
        <v/>
      </c>
      <c r="AB197" s="26" t="str">
        <f t="shared" si="666"/>
        <v/>
      </c>
      <c r="AC197" s="26" t="str">
        <f t="shared" si="666"/>
        <v/>
      </c>
      <c r="AD197" s="26" t="str">
        <f t="shared" si="666"/>
        <v/>
      </c>
      <c r="AE197" s="26" t="str">
        <f t="shared" si="666"/>
        <v/>
      </c>
      <c r="AF197" s="26" t="str">
        <f t="shared" si="666"/>
        <v/>
      </c>
      <c r="AG197" s="26" t="str">
        <f t="shared" si="666"/>
        <v/>
      </c>
      <c r="AH197" s="26" t="str">
        <f t="shared" si="666"/>
        <v/>
      </c>
      <c r="AI197" s="26" t="str">
        <f t="shared" si="666"/>
        <v/>
      </c>
      <c r="AJ197" s="26" t="str">
        <f t="shared" si="666"/>
        <v/>
      </c>
      <c r="AK197" s="26" t="str">
        <f t="shared" si="666"/>
        <v/>
      </c>
      <c r="AL197" s="26" t="str">
        <f t="shared" si="666"/>
        <v/>
      </c>
      <c r="AM197" s="5" t="s">
        <v>2</v>
      </c>
      <c r="AN197" s="31"/>
      <c r="AO197" s="32" t="s">
        <v>5</v>
      </c>
      <c r="AP197" s="151">
        <f>SUM(AQ202:AQ209)</f>
        <v>0</v>
      </c>
      <c r="AQ197" s="151"/>
      <c r="AT197" s="2" t="str">
        <f t="shared" ref="AT197:BY197" si="667">IF(C197=0,"",IF(C197&gt;0,C197))</f>
        <v/>
      </c>
      <c r="AU197" s="2" t="str">
        <f t="shared" si="667"/>
        <v/>
      </c>
      <c r="AV197" s="2" t="str">
        <f t="shared" si="667"/>
        <v/>
      </c>
      <c r="AW197" s="2" t="str">
        <f t="shared" si="667"/>
        <v/>
      </c>
      <c r="AX197" s="2" t="str">
        <f t="shared" si="667"/>
        <v/>
      </c>
      <c r="AY197" s="2" t="str">
        <f t="shared" si="667"/>
        <v/>
      </c>
      <c r="AZ197" s="2" t="str">
        <f t="shared" si="667"/>
        <v/>
      </c>
      <c r="BA197" s="2" t="str">
        <f t="shared" si="667"/>
        <v/>
      </c>
      <c r="BB197" s="2" t="str">
        <f t="shared" si="667"/>
        <v/>
      </c>
      <c r="BC197" s="2" t="str">
        <f t="shared" si="667"/>
        <v/>
      </c>
      <c r="BD197" s="2" t="str">
        <f t="shared" si="667"/>
        <v/>
      </c>
      <c r="BE197" s="2" t="str">
        <f t="shared" si="667"/>
        <v/>
      </c>
      <c r="BF197" s="2" t="str">
        <f t="shared" si="667"/>
        <v/>
      </c>
      <c r="BG197" s="2" t="str">
        <f t="shared" si="667"/>
        <v/>
      </c>
      <c r="BH197" s="2" t="str">
        <f t="shared" si="667"/>
        <v/>
      </c>
      <c r="BI197" s="2" t="str">
        <f t="shared" si="667"/>
        <v/>
      </c>
      <c r="BJ197" s="2" t="str">
        <f t="shared" si="667"/>
        <v/>
      </c>
      <c r="BK197" s="2" t="str">
        <f t="shared" si="667"/>
        <v/>
      </c>
      <c r="BL197" s="2" t="str">
        <f t="shared" si="667"/>
        <v/>
      </c>
      <c r="BM197" s="2" t="str">
        <f t="shared" si="667"/>
        <v/>
      </c>
      <c r="BN197" s="2" t="str">
        <f t="shared" si="667"/>
        <v/>
      </c>
      <c r="BO197" s="2" t="str">
        <f t="shared" si="667"/>
        <v/>
      </c>
      <c r="BP197" s="2" t="str">
        <f t="shared" si="667"/>
        <v/>
      </c>
      <c r="BQ197" s="2" t="str">
        <f t="shared" si="667"/>
        <v/>
      </c>
      <c r="BR197" s="2" t="str">
        <f t="shared" si="667"/>
        <v/>
      </c>
      <c r="BS197" s="2" t="str">
        <f t="shared" si="667"/>
        <v/>
      </c>
      <c r="BT197" s="2" t="str">
        <f t="shared" si="667"/>
        <v/>
      </c>
      <c r="BU197" s="2" t="str">
        <f t="shared" si="667"/>
        <v/>
      </c>
      <c r="BV197" s="2" t="str">
        <f t="shared" si="667"/>
        <v/>
      </c>
      <c r="BW197" s="2" t="str">
        <f t="shared" si="667"/>
        <v/>
      </c>
      <c r="BX197" s="2" t="str">
        <f t="shared" si="667"/>
        <v/>
      </c>
      <c r="BY197" s="2" t="str">
        <f t="shared" si="667"/>
        <v/>
      </c>
      <c r="BZ197" s="2" t="str">
        <f t="shared" ref="BZ197" si="668">IF(AI197=0,"",IF(AI197&gt;0,AI197))</f>
        <v/>
      </c>
      <c r="CA197" s="2" t="str">
        <f t="shared" ref="CA197" si="669">IF(AJ197=0,"",IF(AJ197&gt;0,AJ197))</f>
        <v/>
      </c>
      <c r="CB197" s="2" t="str">
        <f t="shared" ref="CB197" si="670">IF(AK197=0,"",IF(AK197&gt;0,AK197))</f>
        <v/>
      </c>
      <c r="CC197" s="2" t="str">
        <f t="shared" ref="CC197" si="671">IF(AL197=0,"",IF(AL197&gt;0,AL197))</f>
        <v/>
      </c>
    </row>
    <row r="198" spans="1:81" ht="17.100000000000001" customHeight="1">
      <c r="A198" s="152" t="s">
        <v>30</v>
      </c>
      <c r="B198" s="153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  <c r="AG198" s="46"/>
      <c r="AH198" s="46"/>
      <c r="AI198" s="46"/>
      <c r="AJ198" s="46"/>
      <c r="AK198" s="46"/>
      <c r="AL198" s="46"/>
      <c r="AM198" s="45">
        <f>SUM(C198:AL198)</f>
        <v>0</v>
      </c>
      <c r="AN198" s="33"/>
      <c r="AO198" s="34" t="str">
        <f>IF(AP198&lt;5,"NO ",IF(AP198=5,"ok",IF(AP198&gt;5,"ok")))</f>
        <v xml:space="preserve">NO </v>
      </c>
      <c r="AP198" s="154">
        <f>AP196-AP197-AP199</f>
        <v>0</v>
      </c>
      <c r="AQ198" s="154"/>
      <c r="AR198" s="16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</row>
    <row r="199" spans="1:81" ht="17.100000000000001" customHeight="1">
      <c r="A199" s="152"/>
      <c r="B199" s="153"/>
      <c r="C199" s="47" t="str">
        <f>IF(C197="","",C198-C202*$AM202-C203*$AM203-C204*$AM204-C205*$AM205-C206*$AM206-C207*$AM207-C208*$AM208-C209*$AM209)</f>
        <v/>
      </c>
      <c r="D199" s="47" t="str">
        <f t="shared" ref="D199" si="672">IF(D197="","",D198-D202*$AM202-D203*$AM203-D204*$AM204-D205*$AM205-D206*$AM206-D207*$AM207-D208*$AM208-D209*$AM209)</f>
        <v/>
      </c>
      <c r="E199" s="47" t="str">
        <f t="shared" ref="E199" si="673">IF(E197="","",E198-E202*$AM202-E203*$AM203-E204*$AM204-E205*$AM205-E206*$AM206-E207*$AM207-E208*$AM208-E209*$AM209)</f>
        <v/>
      </c>
      <c r="F199" s="47" t="str">
        <f t="shared" ref="F199" si="674">IF(F197="","",F198-F202*$AM202-F203*$AM203-F204*$AM204-F205*$AM205-F206*$AM206-F207*$AM207-F208*$AM208-F209*$AM209)</f>
        <v/>
      </c>
      <c r="G199" s="47" t="str">
        <f t="shared" ref="G199" si="675">IF(G197="","",G198-G202*$AM202-G203*$AM203-G204*$AM204-G205*$AM205-G206*$AM206-G207*$AM207-G208*$AM208-G209*$AM209)</f>
        <v/>
      </c>
      <c r="H199" s="47" t="str">
        <f t="shared" ref="H199" si="676">IF(H197="","",H198-H202*$AM202-H203*$AM203-H204*$AM204-H205*$AM205-H206*$AM206-H207*$AM207-H208*$AM208-H209*$AM209)</f>
        <v/>
      </c>
      <c r="I199" s="47" t="str">
        <f t="shared" ref="I199" si="677">IF(I197="","",I198-I202*$AM202-I203*$AM203-I204*$AM204-I205*$AM205-I206*$AM206-I207*$AM207-I208*$AM208-I209*$AM209)</f>
        <v/>
      </c>
      <c r="J199" s="47" t="str">
        <f t="shared" ref="J199" si="678">IF(J197="","",J198-J202*$AM202-J203*$AM203-J204*$AM204-J205*$AM205-J206*$AM206-J207*$AM207-J208*$AM208-J209*$AM209)</f>
        <v/>
      </c>
      <c r="K199" s="47" t="str">
        <f t="shared" ref="K199" si="679">IF(K197="","",K198-K202*$AM202-K203*$AM203-K204*$AM204-K205*$AM205-K206*$AM206-K207*$AM207-K208*$AM208-K209*$AM209)</f>
        <v/>
      </c>
      <c r="L199" s="47" t="str">
        <f t="shared" ref="L199" si="680">IF(L197="","",L198-L202*$AM202-L203*$AM203-L204*$AM204-L205*$AM205-L206*$AM206-L207*$AM207-L208*$AM208-L209*$AM209)</f>
        <v/>
      </c>
      <c r="M199" s="47" t="str">
        <f t="shared" ref="M199" si="681">IF(M197="","",M198-M202*$AM202-M203*$AM203-M204*$AM204-M205*$AM205-M206*$AM206-M207*$AM207-M208*$AM208-M209*$AM209)</f>
        <v/>
      </c>
      <c r="N199" s="47" t="str">
        <f t="shared" ref="N199" si="682">IF(N197="","",N198-N202*$AM202-N203*$AM203-N204*$AM204-N205*$AM205-N206*$AM206-N207*$AM207-N208*$AM208-N209*$AM209)</f>
        <v/>
      </c>
      <c r="O199" s="47" t="str">
        <f t="shared" ref="O199" si="683">IF(O197="","",O198-O202*$AM202-O203*$AM203-O204*$AM204-O205*$AM205-O206*$AM206-O207*$AM207-O208*$AM208-O209*$AM209)</f>
        <v/>
      </c>
      <c r="P199" s="47" t="str">
        <f t="shared" ref="P199" si="684">IF(P197="","",P198-P202*$AM202-P203*$AM203-P204*$AM204-P205*$AM205-P206*$AM206-P207*$AM207-P208*$AM208-P209*$AM209)</f>
        <v/>
      </c>
      <c r="Q199" s="47" t="str">
        <f t="shared" ref="Q199" si="685">IF(Q197="","",Q198-Q202*$AM202-Q203*$AM203-Q204*$AM204-Q205*$AM205-Q206*$AM206-Q207*$AM207-Q208*$AM208-Q209*$AM209)</f>
        <v/>
      </c>
      <c r="R199" s="47" t="str">
        <f t="shared" ref="R199" si="686">IF(R197="","",R198-R202*$AM202-R203*$AM203-R204*$AM204-R205*$AM205-R206*$AM206-R207*$AM207-R208*$AM208-R209*$AM209)</f>
        <v/>
      </c>
      <c r="S199" s="47" t="str">
        <f t="shared" ref="S199" si="687">IF(S197="","",S198-S202*$AM202-S203*$AM203-S204*$AM204-S205*$AM205-S206*$AM206-S207*$AM207-S208*$AM208-S209*$AM209)</f>
        <v/>
      </c>
      <c r="T199" s="47" t="str">
        <f t="shared" ref="T199" si="688">IF(T197="","",T198-T202*$AM202-T203*$AM203-T204*$AM204-T205*$AM205-T206*$AM206-T207*$AM207-T208*$AM208-T209*$AM209)</f>
        <v/>
      </c>
      <c r="U199" s="47" t="str">
        <f t="shared" ref="U199" si="689">IF(U197="","",U198-U202*$AM202-U203*$AM203-U204*$AM204-U205*$AM205-U206*$AM206-U207*$AM207-U208*$AM208-U209*$AM209)</f>
        <v/>
      </c>
      <c r="V199" s="47" t="str">
        <f t="shared" ref="V199" si="690">IF(V197="","",V198-V202*$AM202-V203*$AM203-V204*$AM204-V205*$AM205-V206*$AM206-V207*$AM207-V208*$AM208-V209*$AM209)</f>
        <v/>
      </c>
      <c r="W199" s="47" t="str">
        <f t="shared" ref="W199" si="691">IF(W197="","",W198-W202*$AM202-W203*$AM203-W204*$AM204-W205*$AM205-W206*$AM206-W207*$AM207-W208*$AM208-W209*$AM209)</f>
        <v/>
      </c>
      <c r="X199" s="47" t="str">
        <f t="shared" ref="X199" si="692">IF(X197="","",X198-X202*$AM202-X203*$AM203-X204*$AM204-X205*$AM205-X206*$AM206-X207*$AM207-X208*$AM208-X209*$AM209)</f>
        <v/>
      </c>
      <c r="Y199" s="47" t="str">
        <f t="shared" ref="Y199" si="693">IF(Y197="","",Y198-Y202*$AM202-Y203*$AM203-Y204*$AM204-Y205*$AM205-Y206*$AM206-Y207*$AM207-Y208*$AM208-Y209*$AM209)</f>
        <v/>
      </c>
      <c r="Z199" s="47" t="str">
        <f t="shared" ref="Z199" si="694">IF(Z197="","",Z198-Z202*$AM202-Z203*$AM203-Z204*$AM204-Z205*$AM205-Z206*$AM206-Z207*$AM207-Z208*$AM208-Z209*$AM209)</f>
        <v/>
      </c>
      <c r="AA199" s="47" t="str">
        <f t="shared" ref="AA199" si="695">IF(AA197="","",AA198-AA202*$AM202-AA203*$AM203-AA204*$AM204-AA205*$AM205-AA206*$AM206-AA207*$AM207-AA208*$AM208-AA209*$AM209)</f>
        <v/>
      </c>
      <c r="AB199" s="47" t="str">
        <f t="shared" ref="AB199" si="696">IF(AB197="","",AB198-AB202*$AM202-AB203*$AM203-AB204*$AM204-AB205*$AM205-AB206*$AM206-AB207*$AM207-AB208*$AM208-AB209*$AM209)</f>
        <v/>
      </c>
      <c r="AC199" s="47" t="str">
        <f t="shared" ref="AC199" si="697">IF(AC197="","",AC198-AC202*$AM202-AC203*$AM203-AC204*$AM204-AC205*$AM205-AC206*$AM206-AC207*$AM207-AC208*$AM208-AC209*$AM209)</f>
        <v/>
      </c>
      <c r="AD199" s="47" t="str">
        <f t="shared" ref="AD199" si="698">IF(AD197="","",AD198-AD202*$AM202-AD203*$AM203-AD204*$AM204-AD205*$AM205-AD206*$AM206-AD207*$AM207-AD208*$AM208-AD209*$AM209)</f>
        <v/>
      </c>
      <c r="AE199" s="47" t="str">
        <f t="shared" ref="AE199" si="699">IF(AE197="","",AE198-AE202*$AM202-AE203*$AM203-AE204*$AM204-AE205*$AM205-AE206*$AM206-AE207*$AM207-AE208*$AM208-AE209*$AM209)</f>
        <v/>
      </c>
      <c r="AF199" s="47" t="str">
        <f t="shared" ref="AF199" si="700">IF(AF197="","",AF198-AF202*$AM202-AF203*$AM203-AF204*$AM204-AF205*$AM205-AF206*$AM206-AF207*$AM207-AF208*$AM208-AF209*$AM209)</f>
        <v/>
      </c>
      <c r="AG199" s="47" t="str">
        <f t="shared" ref="AG199" si="701">IF(AG197="","",AG198-AG202*$AM202-AG203*$AM203-AG204*$AM204-AG205*$AM205-AG206*$AM206-AG207*$AM207-AG208*$AM208-AG209*$AM209)</f>
        <v/>
      </c>
      <c r="AH199" s="47" t="str">
        <f t="shared" ref="AH199" si="702">IF(AH197="","",AH198-AH202*$AM202-AH203*$AM203-AH204*$AM204-AH205*$AM205-AH206*$AM206-AH207*$AM207-AH208*$AM208-AH209*$AM209)</f>
        <v/>
      </c>
      <c r="AI199" s="47" t="str">
        <f t="shared" ref="AI199" si="703">IF(AI197="","",AI198-AI202*$AM202-AI203*$AM203-AI204*$AM204-AI205*$AM205-AI206*$AM206-AI207*$AM207-AI208*$AM208-AI209*$AM209)</f>
        <v/>
      </c>
      <c r="AJ199" s="47" t="str">
        <f t="shared" ref="AJ199" si="704">IF(AJ197="","",AJ198-AJ202*$AM202-AJ203*$AM203-AJ204*$AM204-AJ205*$AM205-AJ206*$AM206-AJ207*$AM207-AJ208*$AM208-AJ209*$AM209)</f>
        <v/>
      </c>
      <c r="AK199" s="47" t="str">
        <f>IF(AK197="","",AK198-AK202*$AM202-AK203*$AM203-AK204*$AM204-AK205*$AM205-AK206*$AM206-AK207*$AM207-AK208*$AM208-AK209*$AM209)</f>
        <v/>
      </c>
      <c r="AL199" s="47" t="str">
        <f t="shared" ref="AL199" si="705">IF(AL197="","",AL198-AL202*$AM202-AL203*$AM203-AL204*$AM204-AL205*$AM205-AL206*$AM206-AL207*$AM207-AL208*$AM208-AL209*$AM209)</f>
        <v/>
      </c>
      <c r="AM199" s="45">
        <f>SUM(C199:AL199)</f>
        <v>0</v>
      </c>
      <c r="AN199" s="155" t="s">
        <v>33</v>
      </c>
      <c r="AO199" s="156"/>
      <c r="AP199" s="157"/>
      <c r="AQ199" s="158"/>
      <c r="AR199" s="17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</row>
    <row r="200" spans="1:81" ht="17.100000000000001" customHeight="1">
      <c r="A200" s="177" t="s">
        <v>20</v>
      </c>
      <c r="B200" s="178"/>
      <c r="C200" s="181" t="s">
        <v>0</v>
      </c>
      <c r="D200" s="182"/>
      <c r="E200" s="182"/>
      <c r="F200" s="182"/>
      <c r="G200" s="182"/>
      <c r="H200" s="182"/>
      <c r="I200" s="182"/>
      <c r="J200" s="182"/>
      <c r="K200" s="182"/>
      <c r="L200" s="182"/>
      <c r="M200" s="182"/>
      <c r="N200" s="182"/>
      <c r="O200" s="182"/>
      <c r="P200" s="182"/>
      <c r="Q200" s="182"/>
      <c r="R200" s="182"/>
      <c r="S200" s="182"/>
      <c r="T200" s="182"/>
      <c r="U200" s="182"/>
      <c r="V200" s="182"/>
      <c r="W200" s="182"/>
      <c r="X200" s="182"/>
      <c r="Y200" s="182"/>
      <c r="Z200" s="182"/>
      <c r="AA200" s="182"/>
      <c r="AB200" s="182"/>
      <c r="AC200" s="182"/>
      <c r="AD200" s="182"/>
      <c r="AE200" s="182"/>
      <c r="AF200" s="182"/>
      <c r="AG200" s="182"/>
      <c r="AH200" s="182"/>
      <c r="AI200" s="182"/>
      <c r="AJ200" s="182"/>
      <c r="AK200" s="182"/>
      <c r="AL200" s="183"/>
      <c r="AM200" s="187" t="s">
        <v>1</v>
      </c>
      <c r="AN200" s="200" t="s">
        <v>11</v>
      </c>
      <c r="AO200" s="196" t="s">
        <v>12</v>
      </c>
      <c r="AP200" s="197"/>
      <c r="AQ200" s="193" t="s">
        <v>6</v>
      </c>
      <c r="AR200" s="24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</row>
    <row r="201" spans="1:81" ht="17.100000000000001" customHeight="1">
      <c r="A201" s="179"/>
      <c r="B201" s="180"/>
      <c r="C201" s="184"/>
      <c r="D201" s="185"/>
      <c r="E201" s="185"/>
      <c r="F201" s="185"/>
      <c r="G201" s="185"/>
      <c r="H201" s="185"/>
      <c r="I201" s="185"/>
      <c r="J201" s="185"/>
      <c r="K201" s="185"/>
      <c r="L201" s="185"/>
      <c r="M201" s="185"/>
      <c r="N201" s="185"/>
      <c r="O201" s="185"/>
      <c r="P201" s="185"/>
      <c r="Q201" s="185"/>
      <c r="R201" s="185"/>
      <c r="S201" s="185"/>
      <c r="T201" s="185"/>
      <c r="U201" s="185"/>
      <c r="V201" s="185"/>
      <c r="W201" s="185"/>
      <c r="X201" s="185"/>
      <c r="Y201" s="185"/>
      <c r="Z201" s="185"/>
      <c r="AA201" s="185"/>
      <c r="AB201" s="185"/>
      <c r="AC201" s="185"/>
      <c r="AD201" s="185"/>
      <c r="AE201" s="185"/>
      <c r="AF201" s="185"/>
      <c r="AG201" s="185"/>
      <c r="AH201" s="185"/>
      <c r="AI201" s="185"/>
      <c r="AJ201" s="185"/>
      <c r="AK201" s="185"/>
      <c r="AL201" s="186"/>
      <c r="AM201" s="188"/>
      <c r="AN201" s="190"/>
      <c r="AO201" s="18" t="s">
        <v>3</v>
      </c>
      <c r="AP201" s="19" t="s">
        <v>13</v>
      </c>
      <c r="AQ201" s="172"/>
      <c r="AR201" s="27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</row>
    <row r="202" spans="1:81" ht="17.100000000000001" customHeight="1">
      <c r="A202" s="173"/>
      <c r="B202" s="30" t="s">
        <v>21</v>
      </c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39"/>
      <c r="T202" s="39"/>
      <c r="U202" s="39"/>
      <c r="V202" s="39"/>
      <c r="W202" s="39"/>
      <c r="X202" s="39"/>
      <c r="Y202" s="39"/>
      <c r="Z202" s="39"/>
      <c r="AA202" s="39"/>
      <c r="AB202" s="39"/>
      <c r="AC202" s="39"/>
      <c r="AD202" s="39"/>
      <c r="AE202" s="39"/>
      <c r="AF202" s="39"/>
      <c r="AG202" s="39"/>
      <c r="AH202" s="39"/>
      <c r="AI202" s="39"/>
      <c r="AJ202" s="39"/>
      <c r="AK202" s="39"/>
      <c r="AL202" s="39"/>
      <c r="AM202" s="39"/>
      <c r="AN202" s="40" t="str">
        <f>IF(AM202="","",SUM(C202:AL202)*AM202)</f>
        <v/>
      </c>
      <c r="AO202" s="39"/>
      <c r="AP202" s="39"/>
      <c r="AQ202" s="42">
        <f>(AO202+AR202)*AM202</f>
        <v>0</v>
      </c>
      <c r="AR202" s="25">
        <f>AP202/36</f>
        <v>0</v>
      </c>
      <c r="AT202" s="3" t="str">
        <f t="shared" ref="AT202:CA202" si="706">IF(C202=0,"",ROUNDUP(C199/C202,0))</f>
        <v/>
      </c>
      <c r="AU202" s="3" t="str">
        <f t="shared" si="706"/>
        <v/>
      </c>
      <c r="AV202" s="3" t="str">
        <f t="shared" si="706"/>
        <v/>
      </c>
      <c r="AW202" s="3" t="str">
        <f t="shared" si="706"/>
        <v/>
      </c>
      <c r="AX202" s="3" t="str">
        <f t="shared" si="706"/>
        <v/>
      </c>
      <c r="AY202" s="3" t="str">
        <f t="shared" si="706"/>
        <v/>
      </c>
      <c r="AZ202" s="3" t="str">
        <f t="shared" si="706"/>
        <v/>
      </c>
      <c r="BA202" s="3" t="str">
        <f t="shared" si="706"/>
        <v/>
      </c>
      <c r="BB202" s="3" t="str">
        <f t="shared" si="706"/>
        <v/>
      </c>
      <c r="BC202" s="3" t="str">
        <f t="shared" si="706"/>
        <v/>
      </c>
      <c r="BD202" s="3" t="str">
        <f t="shared" si="706"/>
        <v/>
      </c>
      <c r="BE202" s="3" t="str">
        <f t="shared" si="706"/>
        <v/>
      </c>
      <c r="BF202" s="3" t="str">
        <f t="shared" si="706"/>
        <v/>
      </c>
      <c r="BG202" s="3" t="str">
        <f t="shared" si="706"/>
        <v/>
      </c>
      <c r="BH202" s="3" t="str">
        <f t="shared" si="706"/>
        <v/>
      </c>
      <c r="BI202" s="3" t="str">
        <f t="shared" si="706"/>
        <v/>
      </c>
      <c r="BJ202" s="3" t="str">
        <f t="shared" si="706"/>
        <v/>
      </c>
      <c r="BK202" s="3" t="str">
        <f t="shared" si="706"/>
        <v/>
      </c>
      <c r="BL202" s="3" t="str">
        <f t="shared" si="706"/>
        <v/>
      </c>
      <c r="BM202" s="3" t="str">
        <f t="shared" si="706"/>
        <v/>
      </c>
      <c r="BN202" s="3" t="str">
        <f t="shared" si="706"/>
        <v/>
      </c>
      <c r="BO202" s="3" t="str">
        <f t="shared" si="706"/>
        <v/>
      </c>
      <c r="BP202" s="3" t="str">
        <f t="shared" si="706"/>
        <v/>
      </c>
      <c r="BQ202" s="3" t="str">
        <f t="shared" si="706"/>
        <v/>
      </c>
      <c r="BR202" s="3" t="str">
        <f t="shared" si="706"/>
        <v/>
      </c>
      <c r="BS202" s="3" t="str">
        <f t="shared" si="706"/>
        <v/>
      </c>
      <c r="BT202" s="3" t="str">
        <f t="shared" si="706"/>
        <v/>
      </c>
      <c r="BU202" s="3" t="str">
        <f t="shared" si="706"/>
        <v/>
      </c>
      <c r="BV202" s="3" t="str">
        <f t="shared" si="706"/>
        <v/>
      </c>
      <c r="BW202" s="3" t="str">
        <f t="shared" si="706"/>
        <v/>
      </c>
      <c r="BX202" s="3" t="str">
        <f t="shared" si="706"/>
        <v/>
      </c>
      <c r="BY202" s="3" t="str">
        <f t="shared" si="706"/>
        <v/>
      </c>
      <c r="BZ202" s="3" t="str">
        <f t="shared" si="706"/>
        <v/>
      </c>
      <c r="CA202" s="3" t="str">
        <f t="shared" si="706"/>
        <v/>
      </c>
      <c r="CB202" s="3" t="str">
        <f t="shared" ref="CB202" si="707">IF(AK202=0,"",ROUNDUP(AK199/AK202,0))</f>
        <v/>
      </c>
      <c r="CC202" s="3" t="str">
        <f t="shared" ref="CC202" si="708">IF(AL202=0,"",ROUNDUP(AL199/AL202,0))</f>
        <v/>
      </c>
    </row>
    <row r="203" spans="1:81" ht="17.100000000000001" customHeight="1">
      <c r="A203" s="174"/>
      <c r="B203" s="30" t="s">
        <v>22</v>
      </c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39"/>
      <c r="T203" s="39"/>
      <c r="U203" s="39"/>
      <c r="V203" s="39"/>
      <c r="W203" s="39"/>
      <c r="X203" s="39"/>
      <c r="Y203" s="39"/>
      <c r="Z203" s="39"/>
      <c r="AA203" s="39"/>
      <c r="AB203" s="39"/>
      <c r="AC203" s="39"/>
      <c r="AD203" s="39"/>
      <c r="AE203" s="39"/>
      <c r="AF203" s="39"/>
      <c r="AG203" s="39"/>
      <c r="AH203" s="39"/>
      <c r="AI203" s="39"/>
      <c r="AJ203" s="39"/>
      <c r="AK203" s="39"/>
      <c r="AL203" s="39"/>
      <c r="AM203" s="39"/>
      <c r="AN203" s="40" t="str">
        <f t="shared" ref="AN203:AN209" si="709">IF(AM203="","",SUM(C203:AL203)*AM203)</f>
        <v/>
      </c>
      <c r="AO203" s="39"/>
      <c r="AP203" s="39"/>
      <c r="AQ203" s="42">
        <f t="shared" ref="AQ203:AQ209" si="710">(AO203+AR203)*AM203</f>
        <v>0</v>
      </c>
      <c r="AR203" s="25">
        <f t="shared" ref="AR203:AR209" si="711">AP203/36</f>
        <v>0</v>
      </c>
      <c r="AT203" s="3" t="str">
        <f t="shared" ref="AT203:CA203" si="712">IF(C203=0,"",ROUNDUP(C199/C203,0))</f>
        <v/>
      </c>
      <c r="AU203" s="3" t="str">
        <f t="shared" si="712"/>
        <v/>
      </c>
      <c r="AV203" s="3" t="str">
        <f t="shared" si="712"/>
        <v/>
      </c>
      <c r="AW203" s="3" t="str">
        <f t="shared" si="712"/>
        <v/>
      </c>
      <c r="AX203" s="3" t="str">
        <f t="shared" si="712"/>
        <v/>
      </c>
      <c r="AY203" s="3" t="str">
        <f t="shared" si="712"/>
        <v/>
      </c>
      <c r="AZ203" s="3" t="str">
        <f t="shared" si="712"/>
        <v/>
      </c>
      <c r="BA203" s="3" t="str">
        <f t="shared" si="712"/>
        <v/>
      </c>
      <c r="BB203" s="3" t="str">
        <f t="shared" si="712"/>
        <v/>
      </c>
      <c r="BC203" s="3" t="str">
        <f t="shared" si="712"/>
        <v/>
      </c>
      <c r="BD203" s="3" t="str">
        <f t="shared" si="712"/>
        <v/>
      </c>
      <c r="BE203" s="3" t="str">
        <f t="shared" si="712"/>
        <v/>
      </c>
      <c r="BF203" s="3" t="str">
        <f t="shared" si="712"/>
        <v/>
      </c>
      <c r="BG203" s="3" t="str">
        <f t="shared" si="712"/>
        <v/>
      </c>
      <c r="BH203" s="3" t="str">
        <f t="shared" si="712"/>
        <v/>
      </c>
      <c r="BI203" s="3" t="str">
        <f t="shared" si="712"/>
        <v/>
      </c>
      <c r="BJ203" s="3" t="str">
        <f t="shared" si="712"/>
        <v/>
      </c>
      <c r="BK203" s="3" t="str">
        <f t="shared" si="712"/>
        <v/>
      </c>
      <c r="BL203" s="3" t="str">
        <f t="shared" si="712"/>
        <v/>
      </c>
      <c r="BM203" s="3" t="str">
        <f t="shared" si="712"/>
        <v/>
      </c>
      <c r="BN203" s="3" t="str">
        <f t="shared" si="712"/>
        <v/>
      </c>
      <c r="BO203" s="3" t="str">
        <f t="shared" si="712"/>
        <v/>
      </c>
      <c r="BP203" s="3" t="str">
        <f t="shared" si="712"/>
        <v/>
      </c>
      <c r="BQ203" s="3" t="str">
        <f t="shared" si="712"/>
        <v/>
      </c>
      <c r="BR203" s="3" t="str">
        <f t="shared" si="712"/>
        <v/>
      </c>
      <c r="BS203" s="3" t="str">
        <f t="shared" si="712"/>
        <v/>
      </c>
      <c r="BT203" s="3" t="str">
        <f t="shared" si="712"/>
        <v/>
      </c>
      <c r="BU203" s="3" t="str">
        <f t="shared" si="712"/>
        <v/>
      </c>
      <c r="BV203" s="3" t="str">
        <f t="shared" si="712"/>
        <v/>
      </c>
      <c r="BW203" s="3" t="str">
        <f t="shared" si="712"/>
        <v/>
      </c>
      <c r="BX203" s="3" t="str">
        <f t="shared" si="712"/>
        <v/>
      </c>
      <c r="BY203" s="3" t="str">
        <f t="shared" si="712"/>
        <v/>
      </c>
      <c r="BZ203" s="3" t="str">
        <f t="shared" si="712"/>
        <v/>
      </c>
      <c r="CA203" s="3" t="str">
        <f t="shared" si="712"/>
        <v/>
      </c>
      <c r="CB203" s="3" t="str">
        <f t="shared" ref="CB203" si="713">IF(AK203=0,"",ROUNDUP(AK199/AK203,0))</f>
        <v/>
      </c>
      <c r="CC203" s="3" t="str">
        <f t="shared" ref="CC203" si="714">IF(AL203=0,"",ROUNDUP(AL199/AL203,0))</f>
        <v/>
      </c>
    </row>
    <row r="204" spans="1:81" ht="17.100000000000001" customHeight="1">
      <c r="A204" s="174"/>
      <c r="B204" s="30" t="s">
        <v>23</v>
      </c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39"/>
      <c r="X204" s="39"/>
      <c r="Y204" s="39"/>
      <c r="Z204" s="39"/>
      <c r="AA204" s="39"/>
      <c r="AB204" s="39"/>
      <c r="AC204" s="39"/>
      <c r="AD204" s="39"/>
      <c r="AE204" s="39"/>
      <c r="AF204" s="39"/>
      <c r="AG204" s="39"/>
      <c r="AH204" s="39"/>
      <c r="AI204" s="39"/>
      <c r="AJ204" s="39"/>
      <c r="AK204" s="39"/>
      <c r="AL204" s="39"/>
      <c r="AM204" s="39"/>
      <c r="AN204" s="40" t="str">
        <f t="shared" si="709"/>
        <v/>
      </c>
      <c r="AO204" s="39"/>
      <c r="AP204" s="39"/>
      <c r="AQ204" s="42">
        <f t="shared" si="710"/>
        <v>0</v>
      </c>
      <c r="AR204" s="25">
        <f t="shared" si="711"/>
        <v>0</v>
      </c>
      <c r="AT204" s="3" t="str">
        <f t="shared" ref="AT204:CA204" si="715">IF(C204=0,"",ROUNDUP(C199/C204,0))</f>
        <v/>
      </c>
      <c r="AU204" s="3" t="str">
        <f t="shared" si="715"/>
        <v/>
      </c>
      <c r="AV204" s="3" t="str">
        <f t="shared" si="715"/>
        <v/>
      </c>
      <c r="AW204" s="3" t="str">
        <f t="shared" si="715"/>
        <v/>
      </c>
      <c r="AX204" s="3" t="str">
        <f t="shared" si="715"/>
        <v/>
      </c>
      <c r="AY204" s="3" t="str">
        <f t="shared" si="715"/>
        <v/>
      </c>
      <c r="AZ204" s="3" t="str">
        <f t="shared" si="715"/>
        <v/>
      </c>
      <c r="BA204" s="3" t="str">
        <f t="shared" si="715"/>
        <v/>
      </c>
      <c r="BB204" s="3" t="str">
        <f t="shared" si="715"/>
        <v/>
      </c>
      <c r="BC204" s="3" t="str">
        <f t="shared" si="715"/>
        <v/>
      </c>
      <c r="BD204" s="3" t="str">
        <f t="shared" si="715"/>
        <v/>
      </c>
      <c r="BE204" s="3" t="str">
        <f t="shared" si="715"/>
        <v/>
      </c>
      <c r="BF204" s="3" t="str">
        <f t="shared" si="715"/>
        <v/>
      </c>
      <c r="BG204" s="3" t="str">
        <f t="shared" si="715"/>
        <v/>
      </c>
      <c r="BH204" s="3" t="str">
        <f t="shared" si="715"/>
        <v/>
      </c>
      <c r="BI204" s="3" t="str">
        <f t="shared" si="715"/>
        <v/>
      </c>
      <c r="BJ204" s="3" t="str">
        <f t="shared" si="715"/>
        <v/>
      </c>
      <c r="BK204" s="3" t="str">
        <f t="shared" si="715"/>
        <v/>
      </c>
      <c r="BL204" s="3" t="str">
        <f t="shared" si="715"/>
        <v/>
      </c>
      <c r="BM204" s="3" t="str">
        <f t="shared" si="715"/>
        <v/>
      </c>
      <c r="BN204" s="3" t="str">
        <f t="shared" si="715"/>
        <v/>
      </c>
      <c r="BO204" s="3" t="str">
        <f t="shared" si="715"/>
        <v/>
      </c>
      <c r="BP204" s="3" t="str">
        <f t="shared" si="715"/>
        <v/>
      </c>
      <c r="BQ204" s="3" t="str">
        <f t="shared" si="715"/>
        <v/>
      </c>
      <c r="BR204" s="3" t="str">
        <f t="shared" si="715"/>
        <v/>
      </c>
      <c r="BS204" s="3" t="str">
        <f t="shared" si="715"/>
        <v/>
      </c>
      <c r="BT204" s="3" t="str">
        <f t="shared" si="715"/>
        <v/>
      </c>
      <c r="BU204" s="3" t="str">
        <f t="shared" si="715"/>
        <v/>
      </c>
      <c r="BV204" s="3" t="str">
        <f t="shared" si="715"/>
        <v/>
      </c>
      <c r="BW204" s="3" t="str">
        <f t="shared" si="715"/>
        <v/>
      </c>
      <c r="BX204" s="3" t="str">
        <f t="shared" si="715"/>
        <v/>
      </c>
      <c r="BY204" s="3" t="str">
        <f t="shared" si="715"/>
        <v/>
      </c>
      <c r="BZ204" s="3" t="str">
        <f t="shared" si="715"/>
        <v/>
      </c>
      <c r="CA204" s="3" t="str">
        <f t="shared" si="715"/>
        <v/>
      </c>
      <c r="CB204" s="3" t="str">
        <f t="shared" ref="CB204" si="716">IF(AK204=0,"",ROUNDUP(AK199/AK204,0))</f>
        <v/>
      </c>
      <c r="CC204" s="3" t="str">
        <f t="shared" ref="CC204" si="717">IF(AL204=0,"",ROUNDUP(AL199/AL204,0))</f>
        <v/>
      </c>
    </row>
    <row r="205" spans="1:81" ht="17.100000000000001" customHeight="1">
      <c r="A205" s="174"/>
      <c r="B205" s="30" t="s">
        <v>24</v>
      </c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39"/>
      <c r="Q205" s="39"/>
      <c r="R205" s="39"/>
      <c r="S205" s="39"/>
      <c r="T205" s="39"/>
      <c r="U205" s="39"/>
      <c r="V205" s="39"/>
      <c r="W205" s="39"/>
      <c r="X205" s="39"/>
      <c r="Y205" s="39"/>
      <c r="Z205" s="39"/>
      <c r="AA205" s="39"/>
      <c r="AB205" s="39"/>
      <c r="AC205" s="39"/>
      <c r="AD205" s="39"/>
      <c r="AE205" s="39"/>
      <c r="AF205" s="39"/>
      <c r="AG205" s="39"/>
      <c r="AH205" s="39"/>
      <c r="AI205" s="39"/>
      <c r="AJ205" s="39"/>
      <c r="AK205" s="39"/>
      <c r="AL205" s="39"/>
      <c r="AM205" s="39"/>
      <c r="AN205" s="40" t="str">
        <f t="shared" si="709"/>
        <v/>
      </c>
      <c r="AO205" s="39"/>
      <c r="AP205" s="39"/>
      <c r="AQ205" s="42">
        <f t="shared" si="710"/>
        <v>0</v>
      </c>
      <c r="AR205" s="25">
        <f t="shared" si="711"/>
        <v>0</v>
      </c>
      <c r="AT205" s="3" t="str">
        <f t="shared" ref="AT205:CA205" si="718">IF(C205=0,"",ROUNDUP(C199/C205,0))</f>
        <v/>
      </c>
      <c r="AU205" s="3" t="str">
        <f t="shared" si="718"/>
        <v/>
      </c>
      <c r="AV205" s="3" t="str">
        <f t="shared" si="718"/>
        <v/>
      </c>
      <c r="AW205" s="3" t="str">
        <f t="shared" si="718"/>
        <v/>
      </c>
      <c r="AX205" s="3" t="str">
        <f t="shared" si="718"/>
        <v/>
      </c>
      <c r="AY205" s="3" t="str">
        <f t="shared" si="718"/>
        <v/>
      </c>
      <c r="AZ205" s="3" t="str">
        <f t="shared" si="718"/>
        <v/>
      </c>
      <c r="BA205" s="3" t="str">
        <f t="shared" si="718"/>
        <v/>
      </c>
      <c r="BB205" s="3" t="str">
        <f t="shared" si="718"/>
        <v/>
      </c>
      <c r="BC205" s="3" t="str">
        <f t="shared" si="718"/>
        <v/>
      </c>
      <c r="BD205" s="3" t="str">
        <f t="shared" si="718"/>
        <v/>
      </c>
      <c r="BE205" s="3" t="str">
        <f t="shared" si="718"/>
        <v/>
      </c>
      <c r="BF205" s="3" t="str">
        <f t="shared" si="718"/>
        <v/>
      </c>
      <c r="BG205" s="3" t="str">
        <f t="shared" si="718"/>
        <v/>
      </c>
      <c r="BH205" s="3" t="str">
        <f t="shared" si="718"/>
        <v/>
      </c>
      <c r="BI205" s="3" t="str">
        <f t="shared" si="718"/>
        <v/>
      </c>
      <c r="BJ205" s="3" t="str">
        <f t="shared" si="718"/>
        <v/>
      </c>
      <c r="BK205" s="3" t="str">
        <f t="shared" si="718"/>
        <v/>
      </c>
      <c r="BL205" s="3" t="str">
        <f t="shared" si="718"/>
        <v/>
      </c>
      <c r="BM205" s="3" t="str">
        <f t="shared" si="718"/>
        <v/>
      </c>
      <c r="BN205" s="3" t="str">
        <f t="shared" si="718"/>
        <v/>
      </c>
      <c r="BO205" s="3" t="str">
        <f t="shared" si="718"/>
        <v/>
      </c>
      <c r="BP205" s="3" t="str">
        <f t="shared" si="718"/>
        <v/>
      </c>
      <c r="BQ205" s="3" t="str">
        <f t="shared" si="718"/>
        <v/>
      </c>
      <c r="BR205" s="3" t="str">
        <f t="shared" si="718"/>
        <v/>
      </c>
      <c r="BS205" s="3" t="str">
        <f t="shared" si="718"/>
        <v/>
      </c>
      <c r="BT205" s="3" t="str">
        <f t="shared" si="718"/>
        <v/>
      </c>
      <c r="BU205" s="3" t="str">
        <f t="shared" si="718"/>
        <v/>
      </c>
      <c r="BV205" s="3" t="str">
        <f t="shared" si="718"/>
        <v/>
      </c>
      <c r="BW205" s="3" t="str">
        <f t="shared" si="718"/>
        <v/>
      </c>
      <c r="BX205" s="3" t="str">
        <f t="shared" si="718"/>
        <v/>
      </c>
      <c r="BY205" s="3" t="str">
        <f t="shared" si="718"/>
        <v/>
      </c>
      <c r="BZ205" s="3" t="str">
        <f t="shared" si="718"/>
        <v/>
      </c>
      <c r="CA205" s="3" t="str">
        <f t="shared" si="718"/>
        <v/>
      </c>
      <c r="CB205" s="3" t="str">
        <f t="shared" ref="CB205" si="719">IF(AK205=0,"",ROUNDUP(AK199/AK205,0))</f>
        <v/>
      </c>
      <c r="CC205" s="3" t="str">
        <f t="shared" ref="CC205" si="720">IF(AL205=0,"",ROUNDUP(AL199/AL205,0))</f>
        <v/>
      </c>
    </row>
    <row r="206" spans="1:81" ht="17.100000000000001" customHeight="1">
      <c r="A206" s="174"/>
      <c r="B206" s="30" t="s">
        <v>25</v>
      </c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39"/>
      <c r="X206" s="39"/>
      <c r="Y206" s="39"/>
      <c r="Z206" s="39"/>
      <c r="AA206" s="39"/>
      <c r="AB206" s="39"/>
      <c r="AC206" s="39"/>
      <c r="AD206" s="39"/>
      <c r="AE206" s="39"/>
      <c r="AF206" s="39"/>
      <c r="AG206" s="39"/>
      <c r="AH206" s="39"/>
      <c r="AI206" s="39"/>
      <c r="AJ206" s="39"/>
      <c r="AK206" s="39"/>
      <c r="AL206" s="39"/>
      <c r="AM206" s="39"/>
      <c r="AN206" s="40" t="str">
        <f t="shared" si="709"/>
        <v/>
      </c>
      <c r="AO206" s="39"/>
      <c r="AP206" s="39"/>
      <c r="AQ206" s="42">
        <f t="shared" si="710"/>
        <v>0</v>
      </c>
      <c r="AR206" s="25">
        <f t="shared" si="711"/>
        <v>0</v>
      </c>
      <c r="AT206" s="3" t="str">
        <f t="shared" ref="AT206:CA206" si="721">IF(C206=0,"",ROUNDUP(C199/C206,0))</f>
        <v/>
      </c>
      <c r="AU206" s="3" t="str">
        <f t="shared" si="721"/>
        <v/>
      </c>
      <c r="AV206" s="3" t="str">
        <f t="shared" si="721"/>
        <v/>
      </c>
      <c r="AW206" s="3" t="str">
        <f t="shared" si="721"/>
        <v/>
      </c>
      <c r="AX206" s="3" t="str">
        <f t="shared" si="721"/>
        <v/>
      </c>
      <c r="AY206" s="3" t="str">
        <f t="shared" si="721"/>
        <v/>
      </c>
      <c r="AZ206" s="3" t="str">
        <f t="shared" si="721"/>
        <v/>
      </c>
      <c r="BA206" s="3" t="str">
        <f t="shared" si="721"/>
        <v/>
      </c>
      <c r="BB206" s="3" t="str">
        <f t="shared" si="721"/>
        <v/>
      </c>
      <c r="BC206" s="3" t="str">
        <f t="shared" si="721"/>
        <v/>
      </c>
      <c r="BD206" s="3" t="str">
        <f t="shared" si="721"/>
        <v/>
      </c>
      <c r="BE206" s="3" t="str">
        <f t="shared" si="721"/>
        <v/>
      </c>
      <c r="BF206" s="3" t="str">
        <f t="shared" si="721"/>
        <v/>
      </c>
      <c r="BG206" s="3" t="str">
        <f t="shared" si="721"/>
        <v/>
      </c>
      <c r="BH206" s="3" t="str">
        <f t="shared" si="721"/>
        <v/>
      </c>
      <c r="BI206" s="3" t="str">
        <f t="shared" si="721"/>
        <v/>
      </c>
      <c r="BJ206" s="3" t="str">
        <f t="shared" si="721"/>
        <v/>
      </c>
      <c r="BK206" s="3" t="str">
        <f t="shared" si="721"/>
        <v/>
      </c>
      <c r="BL206" s="3" t="str">
        <f t="shared" si="721"/>
        <v/>
      </c>
      <c r="BM206" s="3" t="str">
        <f t="shared" si="721"/>
        <v/>
      </c>
      <c r="BN206" s="3" t="str">
        <f t="shared" si="721"/>
        <v/>
      </c>
      <c r="BO206" s="3" t="str">
        <f t="shared" si="721"/>
        <v/>
      </c>
      <c r="BP206" s="3" t="str">
        <f t="shared" si="721"/>
        <v/>
      </c>
      <c r="BQ206" s="3" t="str">
        <f t="shared" si="721"/>
        <v/>
      </c>
      <c r="BR206" s="3" t="str">
        <f t="shared" si="721"/>
        <v/>
      </c>
      <c r="BS206" s="3" t="str">
        <f t="shared" si="721"/>
        <v/>
      </c>
      <c r="BT206" s="3" t="str">
        <f t="shared" si="721"/>
        <v/>
      </c>
      <c r="BU206" s="3" t="str">
        <f t="shared" si="721"/>
        <v/>
      </c>
      <c r="BV206" s="3" t="str">
        <f t="shared" si="721"/>
        <v/>
      </c>
      <c r="BW206" s="3" t="str">
        <f t="shared" si="721"/>
        <v/>
      </c>
      <c r="BX206" s="3" t="str">
        <f t="shared" si="721"/>
        <v/>
      </c>
      <c r="BY206" s="3" t="str">
        <f t="shared" si="721"/>
        <v/>
      </c>
      <c r="BZ206" s="3" t="str">
        <f t="shared" si="721"/>
        <v/>
      </c>
      <c r="CA206" s="3" t="str">
        <f t="shared" si="721"/>
        <v/>
      </c>
      <c r="CB206" s="3" t="str">
        <f t="shared" ref="CB206" si="722">IF(AK206=0,"",ROUNDUP(AK199/AK206,0))</f>
        <v/>
      </c>
      <c r="CC206" s="3" t="str">
        <f t="shared" ref="CC206" si="723">IF(AL206=0,"",ROUNDUP(AL199/AL206,0))</f>
        <v/>
      </c>
    </row>
    <row r="207" spans="1:81" ht="17.100000000000001" customHeight="1">
      <c r="A207" s="174"/>
      <c r="B207" s="30" t="s">
        <v>26</v>
      </c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39"/>
      <c r="P207" s="39"/>
      <c r="Q207" s="39"/>
      <c r="R207" s="39"/>
      <c r="S207" s="39"/>
      <c r="T207" s="39"/>
      <c r="U207" s="39"/>
      <c r="V207" s="39"/>
      <c r="W207" s="39"/>
      <c r="X207" s="39"/>
      <c r="Y207" s="39"/>
      <c r="Z207" s="39"/>
      <c r="AA207" s="39"/>
      <c r="AB207" s="39"/>
      <c r="AC207" s="39"/>
      <c r="AD207" s="39"/>
      <c r="AE207" s="39"/>
      <c r="AF207" s="39"/>
      <c r="AG207" s="39"/>
      <c r="AH207" s="39"/>
      <c r="AI207" s="39"/>
      <c r="AJ207" s="39"/>
      <c r="AK207" s="39"/>
      <c r="AL207" s="39"/>
      <c r="AM207" s="39"/>
      <c r="AN207" s="40" t="str">
        <f>IF(AM207="","",SUM(C207:AL207)*AM207)</f>
        <v/>
      </c>
      <c r="AO207" s="39"/>
      <c r="AP207" s="39"/>
      <c r="AQ207" s="42">
        <f t="shared" si="710"/>
        <v>0</v>
      </c>
      <c r="AR207" s="25">
        <f t="shared" si="711"/>
        <v>0</v>
      </c>
      <c r="AT207" s="3" t="str">
        <f t="shared" ref="AT207:CA207" si="724">IF(C207=0,"",ROUNDUP(C199/C207,0))</f>
        <v/>
      </c>
      <c r="AU207" s="3" t="str">
        <f t="shared" si="724"/>
        <v/>
      </c>
      <c r="AV207" s="3" t="str">
        <f t="shared" si="724"/>
        <v/>
      </c>
      <c r="AW207" s="3" t="str">
        <f t="shared" si="724"/>
        <v/>
      </c>
      <c r="AX207" s="3" t="str">
        <f t="shared" si="724"/>
        <v/>
      </c>
      <c r="AY207" s="3" t="str">
        <f t="shared" si="724"/>
        <v/>
      </c>
      <c r="AZ207" s="3" t="str">
        <f t="shared" si="724"/>
        <v/>
      </c>
      <c r="BA207" s="3" t="str">
        <f t="shared" si="724"/>
        <v/>
      </c>
      <c r="BB207" s="3" t="str">
        <f t="shared" si="724"/>
        <v/>
      </c>
      <c r="BC207" s="3" t="str">
        <f t="shared" si="724"/>
        <v/>
      </c>
      <c r="BD207" s="3" t="str">
        <f t="shared" si="724"/>
        <v/>
      </c>
      <c r="BE207" s="3" t="str">
        <f t="shared" si="724"/>
        <v/>
      </c>
      <c r="BF207" s="3" t="str">
        <f t="shared" si="724"/>
        <v/>
      </c>
      <c r="BG207" s="3" t="str">
        <f t="shared" si="724"/>
        <v/>
      </c>
      <c r="BH207" s="3" t="str">
        <f t="shared" si="724"/>
        <v/>
      </c>
      <c r="BI207" s="3" t="str">
        <f t="shared" si="724"/>
        <v/>
      </c>
      <c r="BJ207" s="3" t="str">
        <f t="shared" si="724"/>
        <v/>
      </c>
      <c r="BK207" s="3" t="str">
        <f t="shared" si="724"/>
        <v/>
      </c>
      <c r="BL207" s="3" t="str">
        <f t="shared" si="724"/>
        <v/>
      </c>
      <c r="BM207" s="3" t="str">
        <f t="shared" si="724"/>
        <v/>
      </c>
      <c r="BN207" s="3" t="str">
        <f t="shared" si="724"/>
        <v/>
      </c>
      <c r="BO207" s="3" t="str">
        <f t="shared" si="724"/>
        <v/>
      </c>
      <c r="BP207" s="3" t="str">
        <f t="shared" si="724"/>
        <v/>
      </c>
      <c r="BQ207" s="3" t="str">
        <f t="shared" si="724"/>
        <v/>
      </c>
      <c r="BR207" s="3" t="str">
        <f t="shared" si="724"/>
        <v/>
      </c>
      <c r="BS207" s="3" t="str">
        <f t="shared" si="724"/>
        <v/>
      </c>
      <c r="BT207" s="3" t="str">
        <f t="shared" si="724"/>
        <v/>
      </c>
      <c r="BU207" s="3" t="str">
        <f t="shared" si="724"/>
        <v/>
      </c>
      <c r="BV207" s="3" t="str">
        <f t="shared" si="724"/>
        <v/>
      </c>
      <c r="BW207" s="3" t="str">
        <f t="shared" si="724"/>
        <v/>
      </c>
      <c r="BX207" s="3" t="str">
        <f t="shared" si="724"/>
        <v/>
      </c>
      <c r="BY207" s="3" t="str">
        <f t="shared" si="724"/>
        <v/>
      </c>
      <c r="BZ207" s="3" t="str">
        <f t="shared" si="724"/>
        <v/>
      </c>
      <c r="CA207" s="3" t="str">
        <f t="shared" si="724"/>
        <v/>
      </c>
      <c r="CB207" s="3" t="str">
        <f t="shared" ref="CB207" si="725">IF(AK207=0,"",ROUNDUP(AK199/AK207,0))</f>
        <v/>
      </c>
      <c r="CC207" s="3" t="str">
        <f t="shared" ref="CC207" si="726">IF(AL207=0,"",ROUNDUP(AL199/AL207,0))</f>
        <v/>
      </c>
    </row>
    <row r="208" spans="1:81" ht="17.100000000000001" customHeight="1">
      <c r="A208" s="174"/>
      <c r="B208" s="30" t="s">
        <v>27</v>
      </c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39"/>
      <c r="P208" s="39"/>
      <c r="Q208" s="39"/>
      <c r="R208" s="39"/>
      <c r="S208" s="39"/>
      <c r="T208" s="39"/>
      <c r="U208" s="39"/>
      <c r="V208" s="39"/>
      <c r="W208" s="39"/>
      <c r="X208" s="39"/>
      <c r="Y208" s="39"/>
      <c r="Z208" s="39"/>
      <c r="AA208" s="39"/>
      <c r="AB208" s="39"/>
      <c r="AC208" s="39"/>
      <c r="AD208" s="39"/>
      <c r="AE208" s="39"/>
      <c r="AF208" s="39"/>
      <c r="AG208" s="39"/>
      <c r="AH208" s="39"/>
      <c r="AI208" s="39"/>
      <c r="AJ208" s="39"/>
      <c r="AK208" s="39"/>
      <c r="AL208" s="39"/>
      <c r="AM208" s="39"/>
      <c r="AN208" s="40" t="str">
        <f t="shared" si="709"/>
        <v/>
      </c>
      <c r="AO208" s="39"/>
      <c r="AP208" s="39"/>
      <c r="AQ208" s="42">
        <f t="shared" si="710"/>
        <v>0</v>
      </c>
      <c r="AR208" s="25">
        <f t="shared" si="711"/>
        <v>0</v>
      </c>
      <c r="AT208" s="3" t="str">
        <f t="shared" ref="AT208:CA208" si="727">IF(C208=0,"",ROUNDUP(C199/C208,0))</f>
        <v/>
      </c>
      <c r="AU208" s="3" t="str">
        <f t="shared" si="727"/>
        <v/>
      </c>
      <c r="AV208" s="3" t="str">
        <f t="shared" si="727"/>
        <v/>
      </c>
      <c r="AW208" s="3" t="str">
        <f t="shared" si="727"/>
        <v/>
      </c>
      <c r="AX208" s="3" t="str">
        <f t="shared" si="727"/>
        <v/>
      </c>
      <c r="AY208" s="3" t="str">
        <f t="shared" si="727"/>
        <v/>
      </c>
      <c r="AZ208" s="3" t="str">
        <f t="shared" si="727"/>
        <v/>
      </c>
      <c r="BA208" s="3" t="str">
        <f t="shared" si="727"/>
        <v/>
      </c>
      <c r="BB208" s="3" t="str">
        <f t="shared" si="727"/>
        <v/>
      </c>
      <c r="BC208" s="3" t="str">
        <f t="shared" si="727"/>
        <v/>
      </c>
      <c r="BD208" s="3" t="str">
        <f t="shared" si="727"/>
        <v/>
      </c>
      <c r="BE208" s="3" t="str">
        <f t="shared" si="727"/>
        <v/>
      </c>
      <c r="BF208" s="3" t="str">
        <f t="shared" si="727"/>
        <v/>
      </c>
      <c r="BG208" s="3" t="str">
        <f t="shared" si="727"/>
        <v/>
      </c>
      <c r="BH208" s="3" t="str">
        <f t="shared" si="727"/>
        <v/>
      </c>
      <c r="BI208" s="3" t="str">
        <f t="shared" si="727"/>
        <v/>
      </c>
      <c r="BJ208" s="3" t="str">
        <f t="shared" si="727"/>
        <v/>
      </c>
      <c r="BK208" s="3" t="str">
        <f t="shared" si="727"/>
        <v/>
      </c>
      <c r="BL208" s="3" t="str">
        <f t="shared" si="727"/>
        <v/>
      </c>
      <c r="BM208" s="3" t="str">
        <f t="shared" si="727"/>
        <v/>
      </c>
      <c r="BN208" s="3" t="str">
        <f t="shared" si="727"/>
        <v/>
      </c>
      <c r="BO208" s="3" t="str">
        <f t="shared" si="727"/>
        <v/>
      </c>
      <c r="BP208" s="3" t="str">
        <f t="shared" si="727"/>
        <v/>
      </c>
      <c r="BQ208" s="3" t="str">
        <f t="shared" si="727"/>
        <v/>
      </c>
      <c r="BR208" s="3" t="str">
        <f t="shared" si="727"/>
        <v/>
      </c>
      <c r="BS208" s="3" t="str">
        <f t="shared" si="727"/>
        <v/>
      </c>
      <c r="BT208" s="3" t="str">
        <f t="shared" si="727"/>
        <v/>
      </c>
      <c r="BU208" s="3" t="str">
        <f t="shared" si="727"/>
        <v/>
      </c>
      <c r="BV208" s="3" t="str">
        <f t="shared" si="727"/>
        <v/>
      </c>
      <c r="BW208" s="3" t="str">
        <f t="shared" si="727"/>
        <v/>
      </c>
      <c r="BX208" s="3" t="str">
        <f t="shared" si="727"/>
        <v/>
      </c>
      <c r="BY208" s="3" t="str">
        <f t="shared" si="727"/>
        <v/>
      </c>
      <c r="BZ208" s="3" t="str">
        <f t="shared" si="727"/>
        <v/>
      </c>
      <c r="CA208" s="3" t="str">
        <f t="shared" si="727"/>
        <v/>
      </c>
      <c r="CB208" s="3" t="str">
        <f t="shared" ref="CB208" si="728">IF(AK208=0,"",ROUNDUP(AK199/AK208,0))</f>
        <v/>
      </c>
      <c r="CC208" s="3" t="str">
        <f t="shared" ref="CC208" si="729">IF(AL208=0,"",ROUNDUP(AL199/AL208,0))</f>
        <v/>
      </c>
    </row>
    <row r="209" spans="1:81" ht="17.100000000000001" customHeight="1">
      <c r="A209" s="175"/>
      <c r="B209" s="30" t="s">
        <v>28</v>
      </c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39"/>
      <c r="X209" s="39"/>
      <c r="Y209" s="39"/>
      <c r="Z209" s="39"/>
      <c r="AA209" s="39"/>
      <c r="AB209" s="39"/>
      <c r="AC209" s="39"/>
      <c r="AD209" s="39"/>
      <c r="AE209" s="39"/>
      <c r="AF209" s="39"/>
      <c r="AG209" s="39"/>
      <c r="AH209" s="39"/>
      <c r="AI209" s="39"/>
      <c r="AJ209" s="39"/>
      <c r="AK209" s="39"/>
      <c r="AL209" s="39"/>
      <c r="AM209" s="39"/>
      <c r="AN209" s="41" t="str">
        <f t="shared" si="709"/>
        <v/>
      </c>
      <c r="AO209" s="39"/>
      <c r="AP209" s="39"/>
      <c r="AQ209" s="42">
        <f t="shared" si="710"/>
        <v>0</v>
      </c>
      <c r="AR209" s="25">
        <f t="shared" si="711"/>
        <v>0</v>
      </c>
      <c r="AT209" s="3" t="str">
        <f t="shared" ref="AT209:CA209" si="730">IF(C209=0,"",ROUNDUP(C199/C209,0))</f>
        <v/>
      </c>
      <c r="AU209" s="3" t="str">
        <f t="shared" si="730"/>
        <v/>
      </c>
      <c r="AV209" s="3" t="str">
        <f t="shared" si="730"/>
        <v/>
      </c>
      <c r="AW209" s="3" t="str">
        <f t="shared" si="730"/>
        <v/>
      </c>
      <c r="AX209" s="3" t="str">
        <f t="shared" si="730"/>
        <v/>
      </c>
      <c r="AY209" s="3" t="str">
        <f t="shared" si="730"/>
        <v/>
      </c>
      <c r="AZ209" s="3" t="str">
        <f t="shared" si="730"/>
        <v/>
      </c>
      <c r="BA209" s="3" t="str">
        <f t="shared" si="730"/>
        <v/>
      </c>
      <c r="BB209" s="3" t="str">
        <f t="shared" si="730"/>
        <v/>
      </c>
      <c r="BC209" s="3" t="str">
        <f t="shared" si="730"/>
        <v/>
      </c>
      <c r="BD209" s="3" t="str">
        <f t="shared" si="730"/>
        <v/>
      </c>
      <c r="BE209" s="3" t="str">
        <f t="shared" si="730"/>
        <v/>
      </c>
      <c r="BF209" s="3" t="str">
        <f t="shared" si="730"/>
        <v/>
      </c>
      <c r="BG209" s="3" t="str">
        <f t="shared" si="730"/>
        <v/>
      </c>
      <c r="BH209" s="3" t="str">
        <f t="shared" si="730"/>
        <v/>
      </c>
      <c r="BI209" s="3" t="str">
        <f t="shared" si="730"/>
        <v/>
      </c>
      <c r="BJ209" s="3" t="str">
        <f t="shared" si="730"/>
        <v/>
      </c>
      <c r="BK209" s="3" t="str">
        <f t="shared" si="730"/>
        <v/>
      </c>
      <c r="BL209" s="3" t="str">
        <f t="shared" si="730"/>
        <v/>
      </c>
      <c r="BM209" s="3" t="str">
        <f t="shared" si="730"/>
        <v/>
      </c>
      <c r="BN209" s="3" t="str">
        <f t="shared" si="730"/>
        <v/>
      </c>
      <c r="BO209" s="3" t="str">
        <f t="shared" si="730"/>
        <v/>
      </c>
      <c r="BP209" s="3" t="str">
        <f t="shared" si="730"/>
        <v/>
      </c>
      <c r="BQ209" s="3" t="str">
        <f t="shared" si="730"/>
        <v/>
      </c>
      <c r="BR209" s="3" t="str">
        <f t="shared" si="730"/>
        <v/>
      </c>
      <c r="BS209" s="3" t="str">
        <f t="shared" si="730"/>
        <v/>
      </c>
      <c r="BT209" s="3" t="str">
        <f t="shared" si="730"/>
        <v/>
      </c>
      <c r="BU209" s="3" t="str">
        <f t="shared" si="730"/>
        <v/>
      </c>
      <c r="BV209" s="3" t="str">
        <f t="shared" si="730"/>
        <v/>
      </c>
      <c r="BW209" s="3" t="str">
        <f t="shared" si="730"/>
        <v/>
      </c>
      <c r="BX209" s="3" t="str">
        <f t="shared" si="730"/>
        <v/>
      </c>
      <c r="BY209" s="3" t="str">
        <f t="shared" si="730"/>
        <v/>
      </c>
      <c r="BZ209" s="3" t="str">
        <f t="shared" si="730"/>
        <v/>
      </c>
      <c r="CA209" s="3" t="str">
        <f t="shared" si="730"/>
        <v/>
      </c>
      <c r="CB209" s="3" t="str">
        <f t="shared" ref="CB209" si="731">IF(AK209=0,"",ROUNDUP(AK199/AK209,0))</f>
        <v/>
      </c>
      <c r="CC209" s="3" t="str">
        <f t="shared" ref="CC209" si="732">IF(AL209=0,"",ROUNDUP(AL199/AL209,0))</f>
        <v/>
      </c>
    </row>
    <row r="210" spans="1:81" ht="17.100000000000001" customHeight="1" thickBot="1">
      <c r="AN210" s="7">
        <f>SUM(AN202:AN209)</f>
        <v>0</v>
      </c>
      <c r="AQ210" s="12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</row>
    <row r="211" spans="1:81" ht="21.95" customHeight="1" thickBot="1">
      <c r="A211" s="201">
        <v>14</v>
      </c>
      <c r="B211" s="202"/>
      <c r="C211" s="203"/>
      <c r="AQ211" s="12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</row>
    <row r="212" spans="1:81" ht="17.100000000000001" customHeight="1">
      <c r="A212" s="51" t="s">
        <v>29</v>
      </c>
      <c r="B212" s="50"/>
      <c r="C212" s="147" t="s">
        <v>10</v>
      </c>
      <c r="D212" s="148"/>
      <c r="E212" s="148"/>
      <c r="F212" s="148"/>
      <c r="G212" s="148"/>
      <c r="H212" s="148"/>
      <c r="I212" s="148"/>
      <c r="J212" s="148"/>
      <c r="K212" s="148"/>
      <c r="L212" s="148"/>
      <c r="M212" s="148"/>
      <c r="N212" s="148"/>
      <c r="O212" s="148"/>
      <c r="P212" s="148"/>
      <c r="Q212" s="148"/>
      <c r="R212" s="148"/>
      <c r="S212" s="148"/>
      <c r="T212" s="148"/>
      <c r="U212" s="148"/>
      <c r="V212" s="148"/>
      <c r="W212" s="148"/>
      <c r="X212" s="148"/>
      <c r="Y212" s="148"/>
      <c r="Z212" s="148"/>
      <c r="AA212" s="148"/>
      <c r="AB212" s="148"/>
      <c r="AC212" s="148"/>
      <c r="AD212" s="148"/>
      <c r="AE212" s="148"/>
      <c r="AF212" s="148"/>
      <c r="AG212" s="148"/>
      <c r="AH212" s="148"/>
      <c r="AI212" s="148"/>
      <c r="AJ212" s="148"/>
      <c r="AK212" s="148"/>
      <c r="AL212" s="148"/>
      <c r="AM212" s="10"/>
      <c r="AN212" s="31"/>
      <c r="AO212" s="35" t="s">
        <v>4</v>
      </c>
      <c r="AP212" s="149"/>
      <c r="AQ212" s="150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</row>
    <row r="213" spans="1:81" ht="27">
      <c r="A213" s="52" t="s">
        <v>36</v>
      </c>
      <c r="B213" s="50"/>
      <c r="C213" s="26" t="str">
        <f>IF(C197=0,"",IF(C197&gt;0,C197))</f>
        <v/>
      </c>
      <c r="D213" s="26" t="str">
        <f t="shared" ref="D213:AL213" si="733">IF(D197=0,"",IF(D197&gt;0,D197))</f>
        <v/>
      </c>
      <c r="E213" s="26" t="str">
        <f t="shared" si="733"/>
        <v/>
      </c>
      <c r="F213" s="26" t="str">
        <f t="shared" si="733"/>
        <v/>
      </c>
      <c r="G213" s="26" t="str">
        <f t="shared" si="733"/>
        <v/>
      </c>
      <c r="H213" s="26" t="str">
        <f t="shared" si="733"/>
        <v/>
      </c>
      <c r="I213" s="26" t="str">
        <f t="shared" si="733"/>
        <v/>
      </c>
      <c r="J213" s="26" t="str">
        <f t="shared" si="733"/>
        <v/>
      </c>
      <c r="K213" s="26" t="str">
        <f t="shared" si="733"/>
        <v/>
      </c>
      <c r="L213" s="26" t="str">
        <f t="shared" si="733"/>
        <v/>
      </c>
      <c r="M213" s="26" t="str">
        <f t="shared" si="733"/>
        <v/>
      </c>
      <c r="N213" s="26" t="str">
        <f t="shared" si="733"/>
        <v/>
      </c>
      <c r="O213" s="26" t="str">
        <f t="shared" si="733"/>
        <v/>
      </c>
      <c r="P213" s="26" t="str">
        <f t="shared" si="733"/>
        <v/>
      </c>
      <c r="Q213" s="26" t="str">
        <f t="shared" si="733"/>
        <v/>
      </c>
      <c r="R213" s="26" t="str">
        <f t="shared" si="733"/>
        <v/>
      </c>
      <c r="S213" s="26" t="str">
        <f t="shared" si="733"/>
        <v/>
      </c>
      <c r="T213" s="26" t="str">
        <f t="shared" si="733"/>
        <v/>
      </c>
      <c r="U213" s="26" t="str">
        <f t="shared" si="733"/>
        <v/>
      </c>
      <c r="V213" s="26" t="str">
        <f t="shared" si="733"/>
        <v/>
      </c>
      <c r="W213" s="26" t="str">
        <f t="shared" si="733"/>
        <v/>
      </c>
      <c r="X213" s="26" t="str">
        <f t="shared" si="733"/>
        <v/>
      </c>
      <c r="Y213" s="26" t="str">
        <f t="shared" si="733"/>
        <v/>
      </c>
      <c r="Z213" s="26" t="str">
        <f t="shared" si="733"/>
        <v/>
      </c>
      <c r="AA213" s="26" t="str">
        <f t="shared" si="733"/>
        <v/>
      </c>
      <c r="AB213" s="26" t="str">
        <f t="shared" si="733"/>
        <v/>
      </c>
      <c r="AC213" s="26" t="str">
        <f t="shared" si="733"/>
        <v/>
      </c>
      <c r="AD213" s="26" t="str">
        <f t="shared" si="733"/>
        <v/>
      </c>
      <c r="AE213" s="26" t="str">
        <f t="shared" si="733"/>
        <v/>
      </c>
      <c r="AF213" s="26" t="str">
        <f t="shared" si="733"/>
        <v/>
      </c>
      <c r="AG213" s="26" t="str">
        <f t="shared" si="733"/>
        <v/>
      </c>
      <c r="AH213" s="26" t="str">
        <f t="shared" si="733"/>
        <v/>
      </c>
      <c r="AI213" s="26" t="str">
        <f t="shared" si="733"/>
        <v/>
      </c>
      <c r="AJ213" s="26" t="str">
        <f t="shared" si="733"/>
        <v/>
      </c>
      <c r="AK213" s="26" t="str">
        <f t="shared" si="733"/>
        <v/>
      </c>
      <c r="AL213" s="26" t="str">
        <f t="shared" si="733"/>
        <v/>
      </c>
      <c r="AM213" s="5" t="s">
        <v>2</v>
      </c>
      <c r="AN213" s="31"/>
      <c r="AO213" s="32" t="s">
        <v>5</v>
      </c>
      <c r="AP213" s="151">
        <f>SUM(AQ218:AQ225)</f>
        <v>0</v>
      </c>
      <c r="AQ213" s="151"/>
      <c r="AT213" s="2" t="str">
        <f t="shared" ref="AT213:BY213" si="734">IF(C213=0,"",IF(C213&gt;0,C213))</f>
        <v/>
      </c>
      <c r="AU213" s="2" t="str">
        <f t="shared" si="734"/>
        <v/>
      </c>
      <c r="AV213" s="2" t="str">
        <f t="shared" si="734"/>
        <v/>
      </c>
      <c r="AW213" s="2" t="str">
        <f t="shared" si="734"/>
        <v/>
      </c>
      <c r="AX213" s="2" t="str">
        <f t="shared" si="734"/>
        <v/>
      </c>
      <c r="AY213" s="2" t="str">
        <f t="shared" si="734"/>
        <v/>
      </c>
      <c r="AZ213" s="2" t="str">
        <f t="shared" si="734"/>
        <v/>
      </c>
      <c r="BA213" s="2" t="str">
        <f t="shared" si="734"/>
        <v/>
      </c>
      <c r="BB213" s="2" t="str">
        <f t="shared" si="734"/>
        <v/>
      </c>
      <c r="BC213" s="2" t="str">
        <f t="shared" si="734"/>
        <v/>
      </c>
      <c r="BD213" s="2" t="str">
        <f t="shared" si="734"/>
        <v/>
      </c>
      <c r="BE213" s="2" t="str">
        <f t="shared" si="734"/>
        <v/>
      </c>
      <c r="BF213" s="2" t="str">
        <f t="shared" si="734"/>
        <v/>
      </c>
      <c r="BG213" s="2" t="str">
        <f t="shared" si="734"/>
        <v/>
      </c>
      <c r="BH213" s="2" t="str">
        <f t="shared" si="734"/>
        <v/>
      </c>
      <c r="BI213" s="2" t="str">
        <f t="shared" si="734"/>
        <v/>
      </c>
      <c r="BJ213" s="2" t="str">
        <f t="shared" si="734"/>
        <v/>
      </c>
      <c r="BK213" s="2" t="str">
        <f t="shared" si="734"/>
        <v/>
      </c>
      <c r="BL213" s="2" t="str">
        <f t="shared" si="734"/>
        <v/>
      </c>
      <c r="BM213" s="2" t="str">
        <f t="shared" si="734"/>
        <v/>
      </c>
      <c r="BN213" s="2" t="str">
        <f t="shared" si="734"/>
        <v/>
      </c>
      <c r="BO213" s="2" t="str">
        <f t="shared" si="734"/>
        <v/>
      </c>
      <c r="BP213" s="2" t="str">
        <f t="shared" si="734"/>
        <v/>
      </c>
      <c r="BQ213" s="2" t="str">
        <f t="shared" si="734"/>
        <v/>
      </c>
      <c r="BR213" s="2" t="str">
        <f t="shared" si="734"/>
        <v/>
      </c>
      <c r="BS213" s="2" t="str">
        <f t="shared" si="734"/>
        <v/>
      </c>
      <c r="BT213" s="2" t="str">
        <f t="shared" si="734"/>
        <v/>
      </c>
      <c r="BU213" s="2" t="str">
        <f t="shared" si="734"/>
        <v/>
      </c>
      <c r="BV213" s="2" t="str">
        <f t="shared" si="734"/>
        <v/>
      </c>
      <c r="BW213" s="2" t="str">
        <f t="shared" si="734"/>
        <v/>
      </c>
      <c r="BX213" s="2" t="str">
        <f t="shared" si="734"/>
        <v/>
      </c>
      <c r="BY213" s="2" t="str">
        <f t="shared" si="734"/>
        <v/>
      </c>
      <c r="BZ213" s="2" t="str">
        <f t="shared" ref="BZ213" si="735">IF(AI213=0,"",IF(AI213&gt;0,AI213))</f>
        <v/>
      </c>
      <c r="CA213" s="2" t="str">
        <f t="shared" ref="CA213" si="736">IF(AJ213=0,"",IF(AJ213&gt;0,AJ213))</f>
        <v/>
      </c>
      <c r="CB213" s="2" t="str">
        <f t="shared" ref="CB213" si="737">IF(AK213=0,"",IF(AK213&gt;0,AK213))</f>
        <v/>
      </c>
      <c r="CC213" s="2" t="str">
        <f t="shared" ref="CC213" si="738">IF(AL213=0,"",IF(AL213&gt;0,AL213))</f>
        <v/>
      </c>
    </row>
    <row r="214" spans="1:81" ht="17.100000000000001" customHeight="1">
      <c r="A214" s="152" t="s">
        <v>30</v>
      </c>
      <c r="B214" s="153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  <c r="AA214" s="46"/>
      <c r="AB214" s="46"/>
      <c r="AC214" s="46"/>
      <c r="AD214" s="46"/>
      <c r="AE214" s="46"/>
      <c r="AF214" s="46"/>
      <c r="AG214" s="46"/>
      <c r="AH214" s="46"/>
      <c r="AI214" s="46"/>
      <c r="AJ214" s="46"/>
      <c r="AK214" s="46"/>
      <c r="AL214" s="46"/>
      <c r="AM214" s="45">
        <f>SUM(C214:AL214)</f>
        <v>0</v>
      </c>
      <c r="AN214" s="33"/>
      <c r="AO214" s="34" t="str">
        <f>IF(AP214&lt;5,"NO ",IF(AP214=5,"ok",IF(AP214&gt;5,"ok")))</f>
        <v xml:space="preserve">NO </v>
      </c>
      <c r="AP214" s="154">
        <f>AP212-AP213-AP215</f>
        <v>0</v>
      </c>
      <c r="AQ214" s="154"/>
      <c r="AR214" s="16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</row>
    <row r="215" spans="1:81" ht="17.100000000000001" customHeight="1">
      <c r="A215" s="152"/>
      <c r="B215" s="153"/>
      <c r="C215" s="47" t="str">
        <f>IF(C213="","",C214-C218*$AM218-C219*$AM219-C220*$AM220-C221*$AM221-C222*$AM222-C223*$AM223-C224*$AM224-C225*$AM225)</f>
        <v/>
      </c>
      <c r="D215" s="47" t="str">
        <f t="shared" ref="D215" si="739">IF(D213="","",D214-D218*$AM218-D219*$AM219-D220*$AM220-D221*$AM221-D222*$AM222-D223*$AM223-D224*$AM224-D225*$AM225)</f>
        <v/>
      </c>
      <c r="E215" s="47" t="str">
        <f t="shared" ref="E215" si="740">IF(E213="","",E214-E218*$AM218-E219*$AM219-E220*$AM220-E221*$AM221-E222*$AM222-E223*$AM223-E224*$AM224-E225*$AM225)</f>
        <v/>
      </c>
      <c r="F215" s="47" t="str">
        <f t="shared" ref="F215" si="741">IF(F213="","",F214-F218*$AM218-F219*$AM219-F220*$AM220-F221*$AM221-F222*$AM222-F223*$AM223-F224*$AM224-F225*$AM225)</f>
        <v/>
      </c>
      <c r="G215" s="47" t="str">
        <f t="shared" ref="G215" si="742">IF(G213="","",G214-G218*$AM218-G219*$AM219-G220*$AM220-G221*$AM221-G222*$AM222-G223*$AM223-G224*$AM224-G225*$AM225)</f>
        <v/>
      </c>
      <c r="H215" s="47" t="str">
        <f t="shared" ref="H215" si="743">IF(H213="","",H214-H218*$AM218-H219*$AM219-H220*$AM220-H221*$AM221-H222*$AM222-H223*$AM223-H224*$AM224-H225*$AM225)</f>
        <v/>
      </c>
      <c r="I215" s="47" t="str">
        <f t="shared" ref="I215" si="744">IF(I213="","",I214-I218*$AM218-I219*$AM219-I220*$AM220-I221*$AM221-I222*$AM222-I223*$AM223-I224*$AM224-I225*$AM225)</f>
        <v/>
      </c>
      <c r="J215" s="47" t="str">
        <f t="shared" ref="J215" si="745">IF(J213="","",J214-J218*$AM218-J219*$AM219-J220*$AM220-J221*$AM221-J222*$AM222-J223*$AM223-J224*$AM224-J225*$AM225)</f>
        <v/>
      </c>
      <c r="K215" s="47" t="str">
        <f t="shared" ref="K215" si="746">IF(K213="","",K214-K218*$AM218-K219*$AM219-K220*$AM220-K221*$AM221-K222*$AM222-K223*$AM223-K224*$AM224-K225*$AM225)</f>
        <v/>
      </c>
      <c r="L215" s="47" t="str">
        <f t="shared" ref="L215" si="747">IF(L213="","",L214-L218*$AM218-L219*$AM219-L220*$AM220-L221*$AM221-L222*$AM222-L223*$AM223-L224*$AM224-L225*$AM225)</f>
        <v/>
      </c>
      <c r="M215" s="47" t="str">
        <f t="shared" ref="M215" si="748">IF(M213="","",M214-M218*$AM218-M219*$AM219-M220*$AM220-M221*$AM221-M222*$AM222-M223*$AM223-M224*$AM224-M225*$AM225)</f>
        <v/>
      </c>
      <c r="N215" s="47" t="str">
        <f t="shared" ref="N215" si="749">IF(N213="","",N214-N218*$AM218-N219*$AM219-N220*$AM220-N221*$AM221-N222*$AM222-N223*$AM223-N224*$AM224-N225*$AM225)</f>
        <v/>
      </c>
      <c r="O215" s="47" t="str">
        <f t="shared" ref="O215" si="750">IF(O213="","",O214-O218*$AM218-O219*$AM219-O220*$AM220-O221*$AM221-O222*$AM222-O223*$AM223-O224*$AM224-O225*$AM225)</f>
        <v/>
      </c>
      <c r="P215" s="47" t="str">
        <f t="shared" ref="P215" si="751">IF(P213="","",P214-P218*$AM218-P219*$AM219-P220*$AM220-P221*$AM221-P222*$AM222-P223*$AM223-P224*$AM224-P225*$AM225)</f>
        <v/>
      </c>
      <c r="Q215" s="47" t="str">
        <f t="shared" ref="Q215" si="752">IF(Q213="","",Q214-Q218*$AM218-Q219*$AM219-Q220*$AM220-Q221*$AM221-Q222*$AM222-Q223*$AM223-Q224*$AM224-Q225*$AM225)</f>
        <v/>
      </c>
      <c r="R215" s="47" t="str">
        <f t="shared" ref="R215" si="753">IF(R213="","",R214-R218*$AM218-R219*$AM219-R220*$AM220-R221*$AM221-R222*$AM222-R223*$AM223-R224*$AM224-R225*$AM225)</f>
        <v/>
      </c>
      <c r="S215" s="47" t="str">
        <f t="shared" ref="S215" si="754">IF(S213="","",S214-S218*$AM218-S219*$AM219-S220*$AM220-S221*$AM221-S222*$AM222-S223*$AM223-S224*$AM224-S225*$AM225)</f>
        <v/>
      </c>
      <c r="T215" s="47" t="str">
        <f t="shared" ref="T215" si="755">IF(T213="","",T214-T218*$AM218-T219*$AM219-T220*$AM220-T221*$AM221-T222*$AM222-T223*$AM223-T224*$AM224-T225*$AM225)</f>
        <v/>
      </c>
      <c r="U215" s="47" t="str">
        <f t="shared" ref="U215" si="756">IF(U213="","",U214-U218*$AM218-U219*$AM219-U220*$AM220-U221*$AM221-U222*$AM222-U223*$AM223-U224*$AM224-U225*$AM225)</f>
        <v/>
      </c>
      <c r="V215" s="47" t="str">
        <f t="shared" ref="V215" si="757">IF(V213="","",V214-V218*$AM218-V219*$AM219-V220*$AM220-V221*$AM221-V222*$AM222-V223*$AM223-V224*$AM224-V225*$AM225)</f>
        <v/>
      </c>
      <c r="W215" s="47" t="str">
        <f t="shared" ref="W215" si="758">IF(W213="","",W214-W218*$AM218-W219*$AM219-W220*$AM220-W221*$AM221-W222*$AM222-W223*$AM223-W224*$AM224-W225*$AM225)</f>
        <v/>
      </c>
      <c r="X215" s="47" t="str">
        <f t="shared" ref="X215" si="759">IF(X213="","",X214-X218*$AM218-X219*$AM219-X220*$AM220-X221*$AM221-X222*$AM222-X223*$AM223-X224*$AM224-X225*$AM225)</f>
        <v/>
      </c>
      <c r="Y215" s="47" t="str">
        <f t="shared" ref="Y215" si="760">IF(Y213="","",Y214-Y218*$AM218-Y219*$AM219-Y220*$AM220-Y221*$AM221-Y222*$AM222-Y223*$AM223-Y224*$AM224-Y225*$AM225)</f>
        <v/>
      </c>
      <c r="Z215" s="47" t="str">
        <f t="shared" ref="Z215" si="761">IF(Z213="","",Z214-Z218*$AM218-Z219*$AM219-Z220*$AM220-Z221*$AM221-Z222*$AM222-Z223*$AM223-Z224*$AM224-Z225*$AM225)</f>
        <v/>
      </c>
      <c r="AA215" s="47" t="str">
        <f t="shared" ref="AA215" si="762">IF(AA213="","",AA214-AA218*$AM218-AA219*$AM219-AA220*$AM220-AA221*$AM221-AA222*$AM222-AA223*$AM223-AA224*$AM224-AA225*$AM225)</f>
        <v/>
      </c>
      <c r="AB215" s="47" t="str">
        <f t="shared" ref="AB215" si="763">IF(AB213="","",AB214-AB218*$AM218-AB219*$AM219-AB220*$AM220-AB221*$AM221-AB222*$AM222-AB223*$AM223-AB224*$AM224-AB225*$AM225)</f>
        <v/>
      </c>
      <c r="AC215" s="47" t="str">
        <f t="shared" ref="AC215" si="764">IF(AC213="","",AC214-AC218*$AM218-AC219*$AM219-AC220*$AM220-AC221*$AM221-AC222*$AM222-AC223*$AM223-AC224*$AM224-AC225*$AM225)</f>
        <v/>
      </c>
      <c r="AD215" s="47" t="str">
        <f t="shared" ref="AD215" si="765">IF(AD213="","",AD214-AD218*$AM218-AD219*$AM219-AD220*$AM220-AD221*$AM221-AD222*$AM222-AD223*$AM223-AD224*$AM224-AD225*$AM225)</f>
        <v/>
      </c>
      <c r="AE215" s="47" t="str">
        <f t="shared" ref="AE215" si="766">IF(AE213="","",AE214-AE218*$AM218-AE219*$AM219-AE220*$AM220-AE221*$AM221-AE222*$AM222-AE223*$AM223-AE224*$AM224-AE225*$AM225)</f>
        <v/>
      </c>
      <c r="AF215" s="47" t="str">
        <f t="shared" ref="AF215" si="767">IF(AF213="","",AF214-AF218*$AM218-AF219*$AM219-AF220*$AM220-AF221*$AM221-AF222*$AM222-AF223*$AM223-AF224*$AM224-AF225*$AM225)</f>
        <v/>
      </c>
      <c r="AG215" s="47" t="str">
        <f t="shared" ref="AG215" si="768">IF(AG213="","",AG214-AG218*$AM218-AG219*$AM219-AG220*$AM220-AG221*$AM221-AG222*$AM222-AG223*$AM223-AG224*$AM224-AG225*$AM225)</f>
        <v/>
      </c>
      <c r="AH215" s="47" t="str">
        <f t="shared" ref="AH215" si="769">IF(AH213="","",AH214-AH218*$AM218-AH219*$AM219-AH220*$AM220-AH221*$AM221-AH222*$AM222-AH223*$AM223-AH224*$AM224-AH225*$AM225)</f>
        <v/>
      </c>
      <c r="AI215" s="47" t="str">
        <f t="shared" ref="AI215" si="770">IF(AI213="","",AI214-AI218*$AM218-AI219*$AM219-AI220*$AM220-AI221*$AM221-AI222*$AM222-AI223*$AM223-AI224*$AM224-AI225*$AM225)</f>
        <v/>
      </c>
      <c r="AJ215" s="47" t="str">
        <f t="shared" ref="AJ215" si="771">IF(AJ213="","",AJ214-AJ218*$AM218-AJ219*$AM219-AJ220*$AM220-AJ221*$AM221-AJ222*$AM222-AJ223*$AM223-AJ224*$AM224-AJ225*$AM225)</f>
        <v/>
      </c>
      <c r="AK215" s="47" t="str">
        <f>IF(AK213="","",AK214-AK218*$AM218-AK219*$AM219-AK220*$AM220-AK221*$AM221-AK222*$AM222-AK223*$AM223-AK224*$AM224-AK225*$AM225)</f>
        <v/>
      </c>
      <c r="AL215" s="47" t="str">
        <f t="shared" ref="AL215" si="772">IF(AL213="","",AL214-AL218*$AM218-AL219*$AM219-AL220*$AM220-AL221*$AM221-AL222*$AM222-AL223*$AM223-AL224*$AM224-AL225*$AM225)</f>
        <v/>
      </c>
      <c r="AM215" s="45">
        <f>SUM(C215:AL215)</f>
        <v>0</v>
      </c>
      <c r="AN215" s="155" t="s">
        <v>33</v>
      </c>
      <c r="AO215" s="156"/>
      <c r="AP215" s="157"/>
      <c r="AQ215" s="158"/>
      <c r="AR215" s="17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</row>
    <row r="216" spans="1:81" ht="17.100000000000001" customHeight="1">
      <c r="A216" s="177" t="s">
        <v>20</v>
      </c>
      <c r="B216" s="178"/>
      <c r="C216" s="181" t="s">
        <v>0</v>
      </c>
      <c r="D216" s="182"/>
      <c r="E216" s="182"/>
      <c r="F216" s="182"/>
      <c r="G216" s="182"/>
      <c r="H216" s="182"/>
      <c r="I216" s="182"/>
      <c r="J216" s="182"/>
      <c r="K216" s="182"/>
      <c r="L216" s="182"/>
      <c r="M216" s="182"/>
      <c r="N216" s="182"/>
      <c r="O216" s="182"/>
      <c r="P216" s="182"/>
      <c r="Q216" s="182"/>
      <c r="R216" s="182"/>
      <c r="S216" s="182"/>
      <c r="T216" s="182"/>
      <c r="U216" s="182"/>
      <c r="V216" s="182"/>
      <c r="W216" s="182"/>
      <c r="X216" s="182"/>
      <c r="Y216" s="182"/>
      <c r="Z216" s="182"/>
      <c r="AA216" s="182"/>
      <c r="AB216" s="182"/>
      <c r="AC216" s="182"/>
      <c r="AD216" s="182"/>
      <c r="AE216" s="182"/>
      <c r="AF216" s="182"/>
      <c r="AG216" s="182"/>
      <c r="AH216" s="182"/>
      <c r="AI216" s="182"/>
      <c r="AJ216" s="182"/>
      <c r="AK216" s="182"/>
      <c r="AL216" s="183"/>
      <c r="AM216" s="187" t="s">
        <v>1</v>
      </c>
      <c r="AN216" s="200" t="s">
        <v>11</v>
      </c>
      <c r="AO216" s="196" t="s">
        <v>12</v>
      </c>
      <c r="AP216" s="197"/>
      <c r="AQ216" s="193" t="s">
        <v>6</v>
      </c>
      <c r="AR216" s="24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</row>
    <row r="217" spans="1:81" ht="17.100000000000001" customHeight="1">
      <c r="A217" s="179"/>
      <c r="B217" s="180"/>
      <c r="C217" s="184"/>
      <c r="D217" s="185"/>
      <c r="E217" s="185"/>
      <c r="F217" s="185"/>
      <c r="G217" s="185"/>
      <c r="H217" s="185"/>
      <c r="I217" s="185"/>
      <c r="J217" s="185"/>
      <c r="K217" s="185"/>
      <c r="L217" s="185"/>
      <c r="M217" s="185"/>
      <c r="N217" s="185"/>
      <c r="O217" s="185"/>
      <c r="P217" s="185"/>
      <c r="Q217" s="185"/>
      <c r="R217" s="185"/>
      <c r="S217" s="185"/>
      <c r="T217" s="185"/>
      <c r="U217" s="185"/>
      <c r="V217" s="185"/>
      <c r="W217" s="185"/>
      <c r="X217" s="185"/>
      <c r="Y217" s="185"/>
      <c r="Z217" s="185"/>
      <c r="AA217" s="185"/>
      <c r="AB217" s="185"/>
      <c r="AC217" s="185"/>
      <c r="AD217" s="185"/>
      <c r="AE217" s="185"/>
      <c r="AF217" s="185"/>
      <c r="AG217" s="185"/>
      <c r="AH217" s="185"/>
      <c r="AI217" s="185"/>
      <c r="AJ217" s="185"/>
      <c r="AK217" s="185"/>
      <c r="AL217" s="186"/>
      <c r="AM217" s="188"/>
      <c r="AN217" s="190"/>
      <c r="AO217" s="18" t="s">
        <v>3</v>
      </c>
      <c r="AP217" s="19" t="s">
        <v>13</v>
      </c>
      <c r="AQ217" s="172"/>
      <c r="AR217" s="27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</row>
    <row r="218" spans="1:81" ht="17.100000000000001" customHeight="1">
      <c r="A218" s="173"/>
      <c r="B218" s="30" t="s">
        <v>21</v>
      </c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/>
      <c r="S218" s="39"/>
      <c r="T218" s="39"/>
      <c r="U218" s="39"/>
      <c r="V218" s="39"/>
      <c r="W218" s="39"/>
      <c r="X218" s="39"/>
      <c r="Y218" s="39"/>
      <c r="Z218" s="39"/>
      <c r="AA218" s="39"/>
      <c r="AB218" s="39"/>
      <c r="AC218" s="39"/>
      <c r="AD218" s="39"/>
      <c r="AE218" s="39"/>
      <c r="AF218" s="39"/>
      <c r="AG218" s="39"/>
      <c r="AH218" s="39"/>
      <c r="AI218" s="39"/>
      <c r="AJ218" s="39"/>
      <c r="AK218" s="39"/>
      <c r="AL218" s="39"/>
      <c r="AM218" s="39"/>
      <c r="AN218" s="40" t="str">
        <f>IF(AM218="","",SUM(C218:AL218)*AM218)</f>
        <v/>
      </c>
      <c r="AO218" s="39"/>
      <c r="AP218" s="39"/>
      <c r="AQ218" s="42">
        <f>(AO218+AR218)*AM218</f>
        <v>0</v>
      </c>
      <c r="AR218" s="25">
        <f>AP218/36</f>
        <v>0</v>
      </c>
      <c r="AT218" s="3" t="str">
        <f t="shared" ref="AT218:CA218" si="773">IF(C218=0,"",ROUNDUP(C215/C218,0))</f>
        <v/>
      </c>
      <c r="AU218" s="3" t="str">
        <f t="shared" si="773"/>
        <v/>
      </c>
      <c r="AV218" s="3" t="str">
        <f t="shared" si="773"/>
        <v/>
      </c>
      <c r="AW218" s="3" t="str">
        <f t="shared" si="773"/>
        <v/>
      </c>
      <c r="AX218" s="3" t="str">
        <f t="shared" si="773"/>
        <v/>
      </c>
      <c r="AY218" s="3" t="str">
        <f t="shared" si="773"/>
        <v/>
      </c>
      <c r="AZ218" s="3" t="str">
        <f t="shared" si="773"/>
        <v/>
      </c>
      <c r="BA218" s="3" t="str">
        <f t="shared" si="773"/>
        <v/>
      </c>
      <c r="BB218" s="3" t="str">
        <f t="shared" si="773"/>
        <v/>
      </c>
      <c r="BC218" s="3" t="str">
        <f t="shared" si="773"/>
        <v/>
      </c>
      <c r="BD218" s="3" t="str">
        <f t="shared" si="773"/>
        <v/>
      </c>
      <c r="BE218" s="3" t="str">
        <f t="shared" si="773"/>
        <v/>
      </c>
      <c r="BF218" s="3" t="str">
        <f t="shared" si="773"/>
        <v/>
      </c>
      <c r="BG218" s="3" t="str">
        <f t="shared" si="773"/>
        <v/>
      </c>
      <c r="BH218" s="3" t="str">
        <f t="shared" si="773"/>
        <v/>
      </c>
      <c r="BI218" s="3" t="str">
        <f t="shared" si="773"/>
        <v/>
      </c>
      <c r="BJ218" s="3" t="str">
        <f t="shared" si="773"/>
        <v/>
      </c>
      <c r="BK218" s="3" t="str">
        <f t="shared" si="773"/>
        <v/>
      </c>
      <c r="BL218" s="3" t="str">
        <f t="shared" si="773"/>
        <v/>
      </c>
      <c r="BM218" s="3" t="str">
        <f t="shared" si="773"/>
        <v/>
      </c>
      <c r="BN218" s="3" t="str">
        <f t="shared" si="773"/>
        <v/>
      </c>
      <c r="BO218" s="3" t="str">
        <f t="shared" si="773"/>
        <v/>
      </c>
      <c r="BP218" s="3" t="str">
        <f t="shared" si="773"/>
        <v/>
      </c>
      <c r="BQ218" s="3" t="str">
        <f t="shared" si="773"/>
        <v/>
      </c>
      <c r="BR218" s="3" t="str">
        <f t="shared" si="773"/>
        <v/>
      </c>
      <c r="BS218" s="3" t="str">
        <f t="shared" si="773"/>
        <v/>
      </c>
      <c r="BT218" s="3" t="str">
        <f t="shared" si="773"/>
        <v/>
      </c>
      <c r="BU218" s="3" t="str">
        <f t="shared" si="773"/>
        <v/>
      </c>
      <c r="BV218" s="3" t="str">
        <f t="shared" si="773"/>
        <v/>
      </c>
      <c r="BW218" s="3" t="str">
        <f t="shared" si="773"/>
        <v/>
      </c>
      <c r="BX218" s="3" t="str">
        <f t="shared" si="773"/>
        <v/>
      </c>
      <c r="BY218" s="3" t="str">
        <f t="shared" si="773"/>
        <v/>
      </c>
      <c r="BZ218" s="3" t="str">
        <f t="shared" si="773"/>
        <v/>
      </c>
      <c r="CA218" s="3" t="str">
        <f t="shared" si="773"/>
        <v/>
      </c>
      <c r="CB218" s="3" t="str">
        <f t="shared" ref="CB218" si="774">IF(AK218=0,"",ROUNDUP(AK215/AK218,0))</f>
        <v/>
      </c>
      <c r="CC218" s="3" t="str">
        <f t="shared" ref="CC218" si="775">IF(AL218=0,"",ROUNDUP(AL215/AL218,0))</f>
        <v/>
      </c>
    </row>
    <row r="219" spans="1:81" ht="17.100000000000001" customHeight="1">
      <c r="A219" s="174"/>
      <c r="B219" s="30" t="s">
        <v>22</v>
      </c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39"/>
      <c r="S219" s="39"/>
      <c r="T219" s="39"/>
      <c r="U219" s="39"/>
      <c r="V219" s="39"/>
      <c r="W219" s="39"/>
      <c r="X219" s="39"/>
      <c r="Y219" s="39"/>
      <c r="Z219" s="39"/>
      <c r="AA219" s="39"/>
      <c r="AB219" s="39"/>
      <c r="AC219" s="39"/>
      <c r="AD219" s="39"/>
      <c r="AE219" s="39"/>
      <c r="AF219" s="39"/>
      <c r="AG219" s="39"/>
      <c r="AH219" s="39"/>
      <c r="AI219" s="39"/>
      <c r="AJ219" s="39"/>
      <c r="AK219" s="39"/>
      <c r="AL219" s="39"/>
      <c r="AM219" s="39"/>
      <c r="AN219" s="40" t="str">
        <f t="shared" ref="AN219:AN222" si="776">IF(AM219="","",SUM(C219:AL219)*AM219)</f>
        <v/>
      </c>
      <c r="AO219" s="39"/>
      <c r="AP219" s="39"/>
      <c r="AQ219" s="42">
        <f t="shared" ref="AQ219:AQ225" si="777">(AO219+AR219)*AM219</f>
        <v>0</v>
      </c>
      <c r="AR219" s="25">
        <f t="shared" ref="AR219:AR225" si="778">AP219/36</f>
        <v>0</v>
      </c>
      <c r="AT219" s="3" t="str">
        <f t="shared" ref="AT219:CA219" si="779">IF(C219=0,"",ROUNDUP(C215/C219,0))</f>
        <v/>
      </c>
      <c r="AU219" s="3" t="str">
        <f t="shared" si="779"/>
        <v/>
      </c>
      <c r="AV219" s="3" t="str">
        <f t="shared" si="779"/>
        <v/>
      </c>
      <c r="AW219" s="3" t="str">
        <f t="shared" si="779"/>
        <v/>
      </c>
      <c r="AX219" s="3" t="str">
        <f t="shared" si="779"/>
        <v/>
      </c>
      <c r="AY219" s="3" t="str">
        <f t="shared" si="779"/>
        <v/>
      </c>
      <c r="AZ219" s="3" t="str">
        <f t="shared" si="779"/>
        <v/>
      </c>
      <c r="BA219" s="3" t="str">
        <f t="shared" si="779"/>
        <v/>
      </c>
      <c r="BB219" s="3" t="str">
        <f t="shared" si="779"/>
        <v/>
      </c>
      <c r="BC219" s="3" t="str">
        <f t="shared" si="779"/>
        <v/>
      </c>
      <c r="BD219" s="3" t="str">
        <f t="shared" si="779"/>
        <v/>
      </c>
      <c r="BE219" s="3" t="str">
        <f t="shared" si="779"/>
        <v/>
      </c>
      <c r="BF219" s="3" t="str">
        <f t="shared" si="779"/>
        <v/>
      </c>
      <c r="BG219" s="3" t="str">
        <f t="shared" si="779"/>
        <v/>
      </c>
      <c r="BH219" s="3" t="str">
        <f t="shared" si="779"/>
        <v/>
      </c>
      <c r="BI219" s="3" t="str">
        <f t="shared" si="779"/>
        <v/>
      </c>
      <c r="BJ219" s="3" t="str">
        <f t="shared" si="779"/>
        <v/>
      </c>
      <c r="BK219" s="3" t="str">
        <f t="shared" si="779"/>
        <v/>
      </c>
      <c r="BL219" s="3" t="str">
        <f t="shared" si="779"/>
        <v/>
      </c>
      <c r="BM219" s="3" t="str">
        <f t="shared" si="779"/>
        <v/>
      </c>
      <c r="BN219" s="3" t="str">
        <f t="shared" si="779"/>
        <v/>
      </c>
      <c r="BO219" s="3" t="str">
        <f t="shared" si="779"/>
        <v/>
      </c>
      <c r="BP219" s="3" t="str">
        <f t="shared" si="779"/>
        <v/>
      </c>
      <c r="BQ219" s="3" t="str">
        <f t="shared" si="779"/>
        <v/>
      </c>
      <c r="BR219" s="3" t="str">
        <f t="shared" si="779"/>
        <v/>
      </c>
      <c r="BS219" s="3" t="str">
        <f t="shared" si="779"/>
        <v/>
      </c>
      <c r="BT219" s="3" t="str">
        <f t="shared" si="779"/>
        <v/>
      </c>
      <c r="BU219" s="3" t="str">
        <f t="shared" si="779"/>
        <v/>
      </c>
      <c r="BV219" s="3" t="str">
        <f t="shared" si="779"/>
        <v/>
      </c>
      <c r="BW219" s="3" t="str">
        <f t="shared" si="779"/>
        <v/>
      </c>
      <c r="BX219" s="3" t="str">
        <f t="shared" si="779"/>
        <v/>
      </c>
      <c r="BY219" s="3" t="str">
        <f t="shared" si="779"/>
        <v/>
      </c>
      <c r="BZ219" s="3" t="str">
        <f t="shared" si="779"/>
        <v/>
      </c>
      <c r="CA219" s="3" t="str">
        <f t="shared" si="779"/>
        <v/>
      </c>
      <c r="CB219" s="3" t="str">
        <f t="shared" ref="CB219" si="780">IF(AK219=0,"",ROUNDUP(AK215/AK219,0))</f>
        <v/>
      </c>
      <c r="CC219" s="3" t="str">
        <f t="shared" ref="CC219" si="781">IF(AL219=0,"",ROUNDUP(AL215/AL219,0))</f>
        <v/>
      </c>
    </row>
    <row r="220" spans="1:81" ht="17.100000000000001" customHeight="1">
      <c r="A220" s="174"/>
      <c r="B220" s="30" t="s">
        <v>23</v>
      </c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39"/>
      <c r="P220" s="39"/>
      <c r="Q220" s="39"/>
      <c r="R220" s="39"/>
      <c r="S220" s="39"/>
      <c r="T220" s="39"/>
      <c r="U220" s="39"/>
      <c r="V220" s="39"/>
      <c r="W220" s="39"/>
      <c r="X220" s="39"/>
      <c r="Y220" s="39"/>
      <c r="Z220" s="39"/>
      <c r="AA220" s="39"/>
      <c r="AB220" s="39"/>
      <c r="AC220" s="39"/>
      <c r="AD220" s="39"/>
      <c r="AE220" s="39"/>
      <c r="AF220" s="39"/>
      <c r="AG220" s="39"/>
      <c r="AH220" s="39"/>
      <c r="AI220" s="39"/>
      <c r="AJ220" s="39"/>
      <c r="AK220" s="39"/>
      <c r="AL220" s="39"/>
      <c r="AM220" s="39"/>
      <c r="AN220" s="40" t="str">
        <f t="shared" si="776"/>
        <v/>
      </c>
      <c r="AO220" s="39"/>
      <c r="AP220" s="39"/>
      <c r="AQ220" s="42">
        <f t="shared" si="777"/>
        <v>0</v>
      </c>
      <c r="AR220" s="25">
        <f t="shared" si="778"/>
        <v>0</v>
      </c>
      <c r="AT220" s="3" t="str">
        <f t="shared" ref="AT220:CA220" si="782">IF(C220=0,"",ROUNDUP(C215/C220,0))</f>
        <v/>
      </c>
      <c r="AU220" s="3" t="str">
        <f t="shared" si="782"/>
        <v/>
      </c>
      <c r="AV220" s="3" t="str">
        <f t="shared" si="782"/>
        <v/>
      </c>
      <c r="AW220" s="3" t="str">
        <f t="shared" si="782"/>
        <v/>
      </c>
      <c r="AX220" s="3" t="str">
        <f t="shared" si="782"/>
        <v/>
      </c>
      <c r="AY220" s="3" t="str">
        <f t="shared" si="782"/>
        <v/>
      </c>
      <c r="AZ220" s="3" t="str">
        <f t="shared" si="782"/>
        <v/>
      </c>
      <c r="BA220" s="3" t="str">
        <f t="shared" si="782"/>
        <v/>
      </c>
      <c r="BB220" s="3" t="str">
        <f t="shared" si="782"/>
        <v/>
      </c>
      <c r="BC220" s="3" t="str">
        <f t="shared" si="782"/>
        <v/>
      </c>
      <c r="BD220" s="3" t="str">
        <f t="shared" si="782"/>
        <v/>
      </c>
      <c r="BE220" s="3" t="str">
        <f t="shared" si="782"/>
        <v/>
      </c>
      <c r="BF220" s="3" t="str">
        <f t="shared" si="782"/>
        <v/>
      </c>
      <c r="BG220" s="3" t="str">
        <f t="shared" si="782"/>
        <v/>
      </c>
      <c r="BH220" s="3" t="str">
        <f t="shared" si="782"/>
        <v/>
      </c>
      <c r="BI220" s="3" t="str">
        <f t="shared" si="782"/>
        <v/>
      </c>
      <c r="BJ220" s="3" t="str">
        <f t="shared" si="782"/>
        <v/>
      </c>
      <c r="BK220" s="3" t="str">
        <f t="shared" si="782"/>
        <v/>
      </c>
      <c r="BL220" s="3" t="str">
        <f t="shared" si="782"/>
        <v/>
      </c>
      <c r="BM220" s="3" t="str">
        <f t="shared" si="782"/>
        <v/>
      </c>
      <c r="BN220" s="3" t="str">
        <f t="shared" si="782"/>
        <v/>
      </c>
      <c r="BO220" s="3" t="str">
        <f t="shared" si="782"/>
        <v/>
      </c>
      <c r="BP220" s="3" t="str">
        <f t="shared" si="782"/>
        <v/>
      </c>
      <c r="BQ220" s="3" t="str">
        <f t="shared" si="782"/>
        <v/>
      </c>
      <c r="BR220" s="3" t="str">
        <f t="shared" si="782"/>
        <v/>
      </c>
      <c r="BS220" s="3" t="str">
        <f t="shared" si="782"/>
        <v/>
      </c>
      <c r="BT220" s="3" t="str">
        <f t="shared" si="782"/>
        <v/>
      </c>
      <c r="BU220" s="3" t="str">
        <f t="shared" si="782"/>
        <v/>
      </c>
      <c r="BV220" s="3" t="str">
        <f t="shared" si="782"/>
        <v/>
      </c>
      <c r="BW220" s="3" t="str">
        <f t="shared" si="782"/>
        <v/>
      </c>
      <c r="BX220" s="3" t="str">
        <f t="shared" si="782"/>
        <v/>
      </c>
      <c r="BY220" s="3" t="str">
        <f t="shared" si="782"/>
        <v/>
      </c>
      <c r="BZ220" s="3" t="str">
        <f t="shared" si="782"/>
        <v/>
      </c>
      <c r="CA220" s="3" t="str">
        <f t="shared" si="782"/>
        <v/>
      </c>
      <c r="CB220" s="3" t="str">
        <f t="shared" ref="CB220" si="783">IF(AK220=0,"",ROUNDUP(AK215/AK220,0))</f>
        <v/>
      </c>
      <c r="CC220" s="3" t="str">
        <f t="shared" ref="CC220" si="784">IF(AL220=0,"",ROUNDUP(AL215/AL220,0))</f>
        <v/>
      </c>
    </row>
    <row r="221" spans="1:81" ht="17.100000000000001" customHeight="1">
      <c r="A221" s="174"/>
      <c r="B221" s="30" t="s">
        <v>24</v>
      </c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  <c r="S221" s="39"/>
      <c r="T221" s="39"/>
      <c r="U221" s="39"/>
      <c r="V221" s="39"/>
      <c r="W221" s="39"/>
      <c r="X221" s="39"/>
      <c r="Y221" s="39"/>
      <c r="Z221" s="39"/>
      <c r="AA221" s="39"/>
      <c r="AB221" s="39"/>
      <c r="AC221" s="39"/>
      <c r="AD221" s="39"/>
      <c r="AE221" s="39"/>
      <c r="AF221" s="39"/>
      <c r="AG221" s="39"/>
      <c r="AH221" s="39"/>
      <c r="AI221" s="39"/>
      <c r="AJ221" s="39"/>
      <c r="AK221" s="39"/>
      <c r="AL221" s="39"/>
      <c r="AM221" s="39"/>
      <c r="AN221" s="40" t="str">
        <f t="shared" si="776"/>
        <v/>
      </c>
      <c r="AO221" s="39"/>
      <c r="AP221" s="39"/>
      <c r="AQ221" s="42">
        <f t="shared" si="777"/>
        <v>0</v>
      </c>
      <c r="AR221" s="25">
        <f t="shared" si="778"/>
        <v>0</v>
      </c>
      <c r="AT221" s="3" t="str">
        <f t="shared" ref="AT221:CA221" si="785">IF(C221=0,"",ROUNDUP(C215/C221,0))</f>
        <v/>
      </c>
      <c r="AU221" s="3" t="str">
        <f t="shared" si="785"/>
        <v/>
      </c>
      <c r="AV221" s="3" t="str">
        <f t="shared" si="785"/>
        <v/>
      </c>
      <c r="AW221" s="3" t="str">
        <f t="shared" si="785"/>
        <v/>
      </c>
      <c r="AX221" s="3" t="str">
        <f t="shared" si="785"/>
        <v/>
      </c>
      <c r="AY221" s="3" t="str">
        <f t="shared" si="785"/>
        <v/>
      </c>
      <c r="AZ221" s="3" t="str">
        <f t="shared" si="785"/>
        <v/>
      </c>
      <c r="BA221" s="3" t="str">
        <f t="shared" si="785"/>
        <v/>
      </c>
      <c r="BB221" s="3" t="str">
        <f t="shared" si="785"/>
        <v/>
      </c>
      <c r="BC221" s="3" t="str">
        <f t="shared" si="785"/>
        <v/>
      </c>
      <c r="BD221" s="3" t="str">
        <f t="shared" si="785"/>
        <v/>
      </c>
      <c r="BE221" s="3" t="str">
        <f t="shared" si="785"/>
        <v/>
      </c>
      <c r="BF221" s="3" t="str">
        <f t="shared" si="785"/>
        <v/>
      </c>
      <c r="BG221" s="3" t="str">
        <f t="shared" si="785"/>
        <v/>
      </c>
      <c r="BH221" s="3" t="str">
        <f t="shared" si="785"/>
        <v/>
      </c>
      <c r="BI221" s="3" t="str">
        <f t="shared" si="785"/>
        <v/>
      </c>
      <c r="BJ221" s="3" t="str">
        <f t="shared" si="785"/>
        <v/>
      </c>
      <c r="BK221" s="3" t="str">
        <f t="shared" si="785"/>
        <v/>
      </c>
      <c r="BL221" s="3" t="str">
        <f t="shared" si="785"/>
        <v/>
      </c>
      <c r="BM221" s="3" t="str">
        <f t="shared" si="785"/>
        <v/>
      </c>
      <c r="BN221" s="3" t="str">
        <f t="shared" si="785"/>
        <v/>
      </c>
      <c r="BO221" s="3" t="str">
        <f t="shared" si="785"/>
        <v/>
      </c>
      <c r="BP221" s="3" t="str">
        <f t="shared" si="785"/>
        <v/>
      </c>
      <c r="BQ221" s="3" t="str">
        <f t="shared" si="785"/>
        <v/>
      </c>
      <c r="BR221" s="3" t="str">
        <f t="shared" si="785"/>
        <v/>
      </c>
      <c r="BS221" s="3" t="str">
        <f t="shared" si="785"/>
        <v/>
      </c>
      <c r="BT221" s="3" t="str">
        <f t="shared" si="785"/>
        <v/>
      </c>
      <c r="BU221" s="3" t="str">
        <f t="shared" si="785"/>
        <v/>
      </c>
      <c r="BV221" s="3" t="str">
        <f t="shared" si="785"/>
        <v/>
      </c>
      <c r="BW221" s="3" t="str">
        <f t="shared" si="785"/>
        <v/>
      </c>
      <c r="BX221" s="3" t="str">
        <f t="shared" si="785"/>
        <v/>
      </c>
      <c r="BY221" s="3" t="str">
        <f t="shared" si="785"/>
        <v/>
      </c>
      <c r="BZ221" s="3" t="str">
        <f t="shared" si="785"/>
        <v/>
      </c>
      <c r="CA221" s="3" t="str">
        <f t="shared" si="785"/>
        <v/>
      </c>
      <c r="CB221" s="3" t="str">
        <f t="shared" ref="CB221" si="786">IF(AK221=0,"",ROUNDUP(AK215/AK221,0))</f>
        <v/>
      </c>
      <c r="CC221" s="3" t="str">
        <f t="shared" ref="CC221" si="787">IF(AL221=0,"",ROUNDUP(AL215/AL221,0))</f>
        <v/>
      </c>
    </row>
    <row r="222" spans="1:81" ht="17.100000000000001" customHeight="1">
      <c r="A222" s="174"/>
      <c r="B222" s="30" t="s">
        <v>25</v>
      </c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39"/>
      <c r="X222" s="39"/>
      <c r="Y222" s="39"/>
      <c r="Z222" s="39"/>
      <c r="AA222" s="39"/>
      <c r="AB222" s="39"/>
      <c r="AC222" s="39"/>
      <c r="AD222" s="39"/>
      <c r="AE222" s="39"/>
      <c r="AF222" s="39"/>
      <c r="AG222" s="39"/>
      <c r="AH222" s="39"/>
      <c r="AI222" s="39"/>
      <c r="AJ222" s="39"/>
      <c r="AK222" s="39"/>
      <c r="AL222" s="39"/>
      <c r="AM222" s="39"/>
      <c r="AN222" s="40" t="str">
        <f t="shared" si="776"/>
        <v/>
      </c>
      <c r="AO222" s="39"/>
      <c r="AP222" s="39"/>
      <c r="AQ222" s="42">
        <f t="shared" si="777"/>
        <v>0</v>
      </c>
      <c r="AR222" s="25">
        <f t="shared" si="778"/>
        <v>0</v>
      </c>
      <c r="AT222" s="3" t="str">
        <f t="shared" ref="AT222:CA222" si="788">IF(C222=0,"",ROUNDUP(C215/C222,0))</f>
        <v/>
      </c>
      <c r="AU222" s="3" t="str">
        <f t="shared" si="788"/>
        <v/>
      </c>
      <c r="AV222" s="3" t="str">
        <f t="shared" si="788"/>
        <v/>
      </c>
      <c r="AW222" s="3" t="str">
        <f t="shared" si="788"/>
        <v/>
      </c>
      <c r="AX222" s="3" t="str">
        <f t="shared" si="788"/>
        <v/>
      </c>
      <c r="AY222" s="3" t="str">
        <f t="shared" si="788"/>
        <v/>
      </c>
      <c r="AZ222" s="3" t="str">
        <f t="shared" si="788"/>
        <v/>
      </c>
      <c r="BA222" s="3" t="str">
        <f t="shared" si="788"/>
        <v/>
      </c>
      <c r="BB222" s="3" t="str">
        <f t="shared" si="788"/>
        <v/>
      </c>
      <c r="BC222" s="3" t="str">
        <f t="shared" si="788"/>
        <v/>
      </c>
      <c r="BD222" s="3" t="str">
        <f t="shared" si="788"/>
        <v/>
      </c>
      <c r="BE222" s="3" t="str">
        <f t="shared" si="788"/>
        <v/>
      </c>
      <c r="BF222" s="3" t="str">
        <f t="shared" si="788"/>
        <v/>
      </c>
      <c r="BG222" s="3" t="str">
        <f t="shared" si="788"/>
        <v/>
      </c>
      <c r="BH222" s="3" t="str">
        <f t="shared" si="788"/>
        <v/>
      </c>
      <c r="BI222" s="3" t="str">
        <f t="shared" si="788"/>
        <v/>
      </c>
      <c r="BJ222" s="3" t="str">
        <f t="shared" si="788"/>
        <v/>
      </c>
      <c r="BK222" s="3" t="str">
        <f t="shared" si="788"/>
        <v/>
      </c>
      <c r="BL222" s="3" t="str">
        <f t="shared" si="788"/>
        <v/>
      </c>
      <c r="BM222" s="3" t="str">
        <f t="shared" si="788"/>
        <v/>
      </c>
      <c r="BN222" s="3" t="str">
        <f t="shared" si="788"/>
        <v/>
      </c>
      <c r="BO222" s="3" t="str">
        <f t="shared" si="788"/>
        <v/>
      </c>
      <c r="BP222" s="3" t="str">
        <f t="shared" si="788"/>
        <v/>
      </c>
      <c r="BQ222" s="3" t="str">
        <f t="shared" si="788"/>
        <v/>
      </c>
      <c r="BR222" s="3" t="str">
        <f t="shared" si="788"/>
        <v/>
      </c>
      <c r="BS222" s="3" t="str">
        <f t="shared" si="788"/>
        <v/>
      </c>
      <c r="BT222" s="3" t="str">
        <f t="shared" si="788"/>
        <v/>
      </c>
      <c r="BU222" s="3" t="str">
        <f t="shared" si="788"/>
        <v/>
      </c>
      <c r="BV222" s="3" t="str">
        <f t="shared" si="788"/>
        <v/>
      </c>
      <c r="BW222" s="3" t="str">
        <f t="shared" si="788"/>
        <v/>
      </c>
      <c r="BX222" s="3" t="str">
        <f t="shared" si="788"/>
        <v/>
      </c>
      <c r="BY222" s="3" t="str">
        <f t="shared" si="788"/>
        <v/>
      </c>
      <c r="BZ222" s="3" t="str">
        <f t="shared" si="788"/>
        <v/>
      </c>
      <c r="CA222" s="3" t="str">
        <f t="shared" si="788"/>
        <v/>
      </c>
      <c r="CB222" s="3" t="str">
        <f t="shared" ref="CB222" si="789">IF(AK222=0,"",ROUNDUP(AK215/AK222,0))</f>
        <v/>
      </c>
      <c r="CC222" s="3" t="str">
        <f t="shared" ref="CC222" si="790">IF(AL222=0,"",ROUNDUP(AL215/AL222,0))</f>
        <v/>
      </c>
    </row>
    <row r="223" spans="1:81" ht="17.100000000000001" customHeight="1">
      <c r="A223" s="174"/>
      <c r="B223" s="30" t="s">
        <v>26</v>
      </c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39"/>
      <c r="P223" s="39"/>
      <c r="Q223" s="39"/>
      <c r="R223" s="39"/>
      <c r="S223" s="39"/>
      <c r="T223" s="39"/>
      <c r="U223" s="39"/>
      <c r="V223" s="39"/>
      <c r="W223" s="39"/>
      <c r="X223" s="39"/>
      <c r="Y223" s="39"/>
      <c r="Z223" s="39"/>
      <c r="AA223" s="39"/>
      <c r="AB223" s="39"/>
      <c r="AC223" s="39"/>
      <c r="AD223" s="39"/>
      <c r="AE223" s="39"/>
      <c r="AF223" s="39"/>
      <c r="AG223" s="39"/>
      <c r="AH223" s="39"/>
      <c r="AI223" s="39"/>
      <c r="AJ223" s="39"/>
      <c r="AK223" s="39"/>
      <c r="AL223" s="39"/>
      <c r="AM223" s="39"/>
      <c r="AN223" s="40" t="str">
        <f>IF(AM223="","",SUM(C223:AL223)*AM223)</f>
        <v/>
      </c>
      <c r="AO223" s="39"/>
      <c r="AP223" s="39"/>
      <c r="AQ223" s="42">
        <f t="shared" si="777"/>
        <v>0</v>
      </c>
      <c r="AR223" s="25">
        <f t="shared" si="778"/>
        <v>0</v>
      </c>
      <c r="AT223" s="3" t="str">
        <f t="shared" ref="AT223:CA223" si="791">IF(C223=0,"",ROUNDUP(C215/C223,0))</f>
        <v/>
      </c>
      <c r="AU223" s="3" t="str">
        <f t="shared" si="791"/>
        <v/>
      </c>
      <c r="AV223" s="3" t="str">
        <f t="shared" si="791"/>
        <v/>
      </c>
      <c r="AW223" s="3" t="str">
        <f t="shared" si="791"/>
        <v/>
      </c>
      <c r="AX223" s="3" t="str">
        <f t="shared" si="791"/>
        <v/>
      </c>
      <c r="AY223" s="3" t="str">
        <f t="shared" si="791"/>
        <v/>
      </c>
      <c r="AZ223" s="3" t="str">
        <f t="shared" si="791"/>
        <v/>
      </c>
      <c r="BA223" s="3" t="str">
        <f t="shared" si="791"/>
        <v/>
      </c>
      <c r="BB223" s="3" t="str">
        <f t="shared" si="791"/>
        <v/>
      </c>
      <c r="BC223" s="3" t="str">
        <f t="shared" si="791"/>
        <v/>
      </c>
      <c r="BD223" s="3" t="str">
        <f t="shared" si="791"/>
        <v/>
      </c>
      <c r="BE223" s="3" t="str">
        <f t="shared" si="791"/>
        <v/>
      </c>
      <c r="BF223" s="3" t="str">
        <f t="shared" si="791"/>
        <v/>
      </c>
      <c r="BG223" s="3" t="str">
        <f t="shared" si="791"/>
        <v/>
      </c>
      <c r="BH223" s="3" t="str">
        <f t="shared" si="791"/>
        <v/>
      </c>
      <c r="BI223" s="3" t="str">
        <f t="shared" si="791"/>
        <v/>
      </c>
      <c r="BJ223" s="3" t="str">
        <f t="shared" si="791"/>
        <v/>
      </c>
      <c r="BK223" s="3" t="str">
        <f t="shared" si="791"/>
        <v/>
      </c>
      <c r="BL223" s="3" t="str">
        <f t="shared" si="791"/>
        <v/>
      </c>
      <c r="BM223" s="3" t="str">
        <f t="shared" si="791"/>
        <v/>
      </c>
      <c r="BN223" s="3" t="str">
        <f t="shared" si="791"/>
        <v/>
      </c>
      <c r="BO223" s="3" t="str">
        <f t="shared" si="791"/>
        <v/>
      </c>
      <c r="BP223" s="3" t="str">
        <f t="shared" si="791"/>
        <v/>
      </c>
      <c r="BQ223" s="3" t="str">
        <f t="shared" si="791"/>
        <v/>
      </c>
      <c r="BR223" s="3" t="str">
        <f t="shared" si="791"/>
        <v/>
      </c>
      <c r="BS223" s="3" t="str">
        <f t="shared" si="791"/>
        <v/>
      </c>
      <c r="BT223" s="3" t="str">
        <f t="shared" si="791"/>
        <v/>
      </c>
      <c r="BU223" s="3" t="str">
        <f t="shared" si="791"/>
        <v/>
      </c>
      <c r="BV223" s="3" t="str">
        <f t="shared" si="791"/>
        <v/>
      </c>
      <c r="BW223" s="3" t="str">
        <f t="shared" si="791"/>
        <v/>
      </c>
      <c r="BX223" s="3" t="str">
        <f t="shared" si="791"/>
        <v/>
      </c>
      <c r="BY223" s="3" t="str">
        <f t="shared" si="791"/>
        <v/>
      </c>
      <c r="BZ223" s="3" t="str">
        <f t="shared" si="791"/>
        <v/>
      </c>
      <c r="CA223" s="3" t="str">
        <f t="shared" si="791"/>
        <v/>
      </c>
      <c r="CB223" s="3" t="str">
        <f t="shared" ref="CB223" si="792">IF(AK223=0,"",ROUNDUP(AK215/AK223,0))</f>
        <v/>
      </c>
      <c r="CC223" s="3" t="str">
        <f t="shared" ref="CC223" si="793">IF(AL223=0,"",ROUNDUP(AL215/AL223,0))</f>
        <v/>
      </c>
    </row>
    <row r="224" spans="1:81" ht="17.100000000000001" customHeight="1">
      <c r="A224" s="174"/>
      <c r="B224" s="30" t="s">
        <v>27</v>
      </c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39"/>
      <c r="Q224" s="39"/>
      <c r="R224" s="39"/>
      <c r="S224" s="39"/>
      <c r="T224" s="39"/>
      <c r="U224" s="39"/>
      <c r="V224" s="39"/>
      <c r="W224" s="39"/>
      <c r="X224" s="39"/>
      <c r="Y224" s="39"/>
      <c r="Z224" s="39"/>
      <c r="AA224" s="39"/>
      <c r="AB224" s="39"/>
      <c r="AC224" s="39"/>
      <c r="AD224" s="39"/>
      <c r="AE224" s="39"/>
      <c r="AF224" s="39"/>
      <c r="AG224" s="39"/>
      <c r="AH224" s="39"/>
      <c r="AI224" s="39"/>
      <c r="AJ224" s="39"/>
      <c r="AK224" s="39"/>
      <c r="AL224" s="39"/>
      <c r="AM224" s="39"/>
      <c r="AN224" s="40" t="str">
        <f t="shared" ref="AN224:AN225" si="794">IF(AM224="","",SUM(C224:AL224)*AM224)</f>
        <v/>
      </c>
      <c r="AO224" s="39"/>
      <c r="AP224" s="39"/>
      <c r="AQ224" s="42">
        <f t="shared" si="777"/>
        <v>0</v>
      </c>
      <c r="AR224" s="25">
        <f t="shared" si="778"/>
        <v>0</v>
      </c>
      <c r="AT224" s="3" t="str">
        <f t="shared" ref="AT224:CA224" si="795">IF(C224=0,"",ROUNDUP(C215/C224,0))</f>
        <v/>
      </c>
      <c r="AU224" s="3" t="str">
        <f t="shared" si="795"/>
        <v/>
      </c>
      <c r="AV224" s="3" t="str">
        <f t="shared" si="795"/>
        <v/>
      </c>
      <c r="AW224" s="3" t="str">
        <f t="shared" si="795"/>
        <v/>
      </c>
      <c r="AX224" s="3" t="str">
        <f t="shared" si="795"/>
        <v/>
      </c>
      <c r="AY224" s="3" t="str">
        <f t="shared" si="795"/>
        <v/>
      </c>
      <c r="AZ224" s="3" t="str">
        <f t="shared" si="795"/>
        <v/>
      </c>
      <c r="BA224" s="3" t="str">
        <f t="shared" si="795"/>
        <v/>
      </c>
      <c r="BB224" s="3" t="str">
        <f t="shared" si="795"/>
        <v/>
      </c>
      <c r="BC224" s="3" t="str">
        <f t="shared" si="795"/>
        <v/>
      </c>
      <c r="BD224" s="3" t="str">
        <f t="shared" si="795"/>
        <v/>
      </c>
      <c r="BE224" s="3" t="str">
        <f t="shared" si="795"/>
        <v/>
      </c>
      <c r="BF224" s="3" t="str">
        <f t="shared" si="795"/>
        <v/>
      </c>
      <c r="BG224" s="3" t="str">
        <f t="shared" si="795"/>
        <v/>
      </c>
      <c r="BH224" s="3" t="str">
        <f t="shared" si="795"/>
        <v/>
      </c>
      <c r="BI224" s="3" t="str">
        <f t="shared" si="795"/>
        <v/>
      </c>
      <c r="BJ224" s="3" t="str">
        <f t="shared" si="795"/>
        <v/>
      </c>
      <c r="BK224" s="3" t="str">
        <f t="shared" si="795"/>
        <v/>
      </c>
      <c r="BL224" s="3" t="str">
        <f t="shared" si="795"/>
        <v/>
      </c>
      <c r="BM224" s="3" t="str">
        <f t="shared" si="795"/>
        <v/>
      </c>
      <c r="BN224" s="3" t="str">
        <f t="shared" si="795"/>
        <v/>
      </c>
      <c r="BO224" s="3" t="str">
        <f t="shared" si="795"/>
        <v/>
      </c>
      <c r="BP224" s="3" t="str">
        <f t="shared" si="795"/>
        <v/>
      </c>
      <c r="BQ224" s="3" t="str">
        <f t="shared" si="795"/>
        <v/>
      </c>
      <c r="BR224" s="3" t="str">
        <f t="shared" si="795"/>
        <v/>
      </c>
      <c r="BS224" s="3" t="str">
        <f t="shared" si="795"/>
        <v/>
      </c>
      <c r="BT224" s="3" t="str">
        <f t="shared" si="795"/>
        <v/>
      </c>
      <c r="BU224" s="3" t="str">
        <f t="shared" si="795"/>
        <v/>
      </c>
      <c r="BV224" s="3" t="str">
        <f t="shared" si="795"/>
        <v/>
      </c>
      <c r="BW224" s="3" t="str">
        <f t="shared" si="795"/>
        <v/>
      </c>
      <c r="BX224" s="3" t="str">
        <f t="shared" si="795"/>
        <v/>
      </c>
      <c r="BY224" s="3" t="str">
        <f t="shared" si="795"/>
        <v/>
      </c>
      <c r="BZ224" s="3" t="str">
        <f t="shared" si="795"/>
        <v/>
      </c>
      <c r="CA224" s="3" t="str">
        <f t="shared" si="795"/>
        <v/>
      </c>
      <c r="CB224" s="3" t="str">
        <f t="shared" ref="CB224" si="796">IF(AK224=0,"",ROUNDUP(AK215/AK224,0))</f>
        <v/>
      </c>
      <c r="CC224" s="3" t="str">
        <f t="shared" ref="CC224" si="797">IF(AL224=0,"",ROUNDUP(AL215/AL224,0))</f>
        <v/>
      </c>
    </row>
    <row r="225" spans="1:81" ht="17.100000000000001" customHeight="1">
      <c r="A225" s="175"/>
      <c r="B225" s="30" t="s">
        <v>28</v>
      </c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39"/>
      <c r="Q225" s="39"/>
      <c r="R225" s="39"/>
      <c r="S225" s="39"/>
      <c r="T225" s="39"/>
      <c r="U225" s="39"/>
      <c r="V225" s="39"/>
      <c r="W225" s="39"/>
      <c r="X225" s="39"/>
      <c r="Y225" s="39"/>
      <c r="Z225" s="39"/>
      <c r="AA225" s="39"/>
      <c r="AB225" s="39"/>
      <c r="AC225" s="39"/>
      <c r="AD225" s="39"/>
      <c r="AE225" s="39"/>
      <c r="AF225" s="39"/>
      <c r="AG225" s="39"/>
      <c r="AH225" s="39"/>
      <c r="AI225" s="39"/>
      <c r="AJ225" s="39"/>
      <c r="AK225" s="39"/>
      <c r="AL225" s="39"/>
      <c r="AM225" s="39"/>
      <c r="AN225" s="41" t="str">
        <f t="shared" si="794"/>
        <v/>
      </c>
      <c r="AO225" s="39"/>
      <c r="AP225" s="39"/>
      <c r="AQ225" s="42">
        <f t="shared" si="777"/>
        <v>0</v>
      </c>
      <c r="AR225" s="25">
        <f t="shared" si="778"/>
        <v>0</v>
      </c>
      <c r="AT225" s="3" t="str">
        <f t="shared" ref="AT225:CA225" si="798">IF(C225=0,"",ROUNDUP(C215/C225,0))</f>
        <v/>
      </c>
      <c r="AU225" s="3" t="str">
        <f t="shared" si="798"/>
        <v/>
      </c>
      <c r="AV225" s="3" t="str">
        <f t="shared" si="798"/>
        <v/>
      </c>
      <c r="AW225" s="3" t="str">
        <f t="shared" si="798"/>
        <v/>
      </c>
      <c r="AX225" s="3" t="str">
        <f t="shared" si="798"/>
        <v/>
      </c>
      <c r="AY225" s="3" t="str">
        <f t="shared" si="798"/>
        <v/>
      </c>
      <c r="AZ225" s="3" t="str">
        <f t="shared" si="798"/>
        <v/>
      </c>
      <c r="BA225" s="3" t="str">
        <f t="shared" si="798"/>
        <v/>
      </c>
      <c r="BB225" s="3" t="str">
        <f t="shared" si="798"/>
        <v/>
      </c>
      <c r="BC225" s="3" t="str">
        <f t="shared" si="798"/>
        <v/>
      </c>
      <c r="BD225" s="3" t="str">
        <f t="shared" si="798"/>
        <v/>
      </c>
      <c r="BE225" s="3" t="str">
        <f t="shared" si="798"/>
        <v/>
      </c>
      <c r="BF225" s="3" t="str">
        <f t="shared" si="798"/>
        <v/>
      </c>
      <c r="BG225" s="3" t="str">
        <f t="shared" si="798"/>
        <v/>
      </c>
      <c r="BH225" s="3" t="str">
        <f t="shared" si="798"/>
        <v/>
      </c>
      <c r="BI225" s="3" t="str">
        <f t="shared" si="798"/>
        <v/>
      </c>
      <c r="BJ225" s="3" t="str">
        <f t="shared" si="798"/>
        <v/>
      </c>
      <c r="BK225" s="3" t="str">
        <f t="shared" si="798"/>
        <v/>
      </c>
      <c r="BL225" s="3" t="str">
        <f t="shared" si="798"/>
        <v/>
      </c>
      <c r="BM225" s="3" t="str">
        <f t="shared" si="798"/>
        <v/>
      </c>
      <c r="BN225" s="3" t="str">
        <f t="shared" si="798"/>
        <v/>
      </c>
      <c r="BO225" s="3" t="str">
        <f t="shared" si="798"/>
        <v/>
      </c>
      <c r="BP225" s="3" t="str">
        <f t="shared" si="798"/>
        <v/>
      </c>
      <c r="BQ225" s="3" t="str">
        <f t="shared" si="798"/>
        <v/>
      </c>
      <c r="BR225" s="3" t="str">
        <f t="shared" si="798"/>
        <v/>
      </c>
      <c r="BS225" s="3" t="str">
        <f t="shared" si="798"/>
        <v/>
      </c>
      <c r="BT225" s="3" t="str">
        <f t="shared" si="798"/>
        <v/>
      </c>
      <c r="BU225" s="3" t="str">
        <f t="shared" si="798"/>
        <v/>
      </c>
      <c r="BV225" s="3" t="str">
        <f t="shared" si="798"/>
        <v/>
      </c>
      <c r="BW225" s="3" t="str">
        <f t="shared" si="798"/>
        <v/>
      </c>
      <c r="BX225" s="3" t="str">
        <f t="shared" si="798"/>
        <v/>
      </c>
      <c r="BY225" s="3" t="str">
        <f t="shared" si="798"/>
        <v/>
      </c>
      <c r="BZ225" s="3" t="str">
        <f t="shared" si="798"/>
        <v/>
      </c>
      <c r="CA225" s="3" t="str">
        <f t="shared" si="798"/>
        <v/>
      </c>
      <c r="CB225" s="3" t="str">
        <f t="shared" ref="CB225" si="799">IF(AK225=0,"",ROUNDUP(AK215/AK225,0))</f>
        <v/>
      </c>
      <c r="CC225" s="3" t="str">
        <f t="shared" ref="CC225" si="800">IF(AL225=0,"",ROUNDUP(AL215/AL225,0))</f>
        <v/>
      </c>
    </row>
    <row r="226" spans="1:81" ht="17.100000000000001" customHeight="1" thickBot="1">
      <c r="AN226" s="7">
        <f>SUM(AN218:AN225)</f>
        <v>0</v>
      </c>
      <c r="AQ226" s="12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</row>
    <row r="227" spans="1:81" ht="21.95" customHeight="1" thickBot="1">
      <c r="A227" s="201">
        <v>15</v>
      </c>
      <c r="B227" s="202"/>
      <c r="C227" s="203"/>
      <c r="AQ227" s="12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</row>
    <row r="228" spans="1:81" ht="17.100000000000001" customHeight="1">
      <c r="A228" s="51" t="s">
        <v>29</v>
      </c>
      <c r="B228" s="50"/>
      <c r="C228" s="147" t="s">
        <v>10</v>
      </c>
      <c r="D228" s="148"/>
      <c r="E228" s="148"/>
      <c r="F228" s="148"/>
      <c r="G228" s="148"/>
      <c r="H228" s="148"/>
      <c r="I228" s="148"/>
      <c r="J228" s="148"/>
      <c r="K228" s="148"/>
      <c r="L228" s="148"/>
      <c r="M228" s="148"/>
      <c r="N228" s="148"/>
      <c r="O228" s="148"/>
      <c r="P228" s="148"/>
      <c r="Q228" s="148"/>
      <c r="R228" s="148"/>
      <c r="S228" s="148"/>
      <c r="T228" s="148"/>
      <c r="U228" s="148"/>
      <c r="V228" s="148"/>
      <c r="W228" s="148"/>
      <c r="X228" s="148"/>
      <c r="Y228" s="148"/>
      <c r="Z228" s="148"/>
      <c r="AA228" s="148"/>
      <c r="AB228" s="148"/>
      <c r="AC228" s="148"/>
      <c r="AD228" s="148"/>
      <c r="AE228" s="148"/>
      <c r="AF228" s="148"/>
      <c r="AG228" s="148"/>
      <c r="AH228" s="148"/>
      <c r="AI228" s="148"/>
      <c r="AJ228" s="148"/>
      <c r="AK228" s="148"/>
      <c r="AL228" s="148"/>
      <c r="AM228" s="10"/>
      <c r="AN228" s="31"/>
      <c r="AO228" s="35" t="s">
        <v>4</v>
      </c>
      <c r="AP228" s="149"/>
      <c r="AQ228" s="150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</row>
    <row r="229" spans="1:81" ht="27">
      <c r="A229" s="52" t="s">
        <v>36</v>
      </c>
      <c r="B229" s="50"/>
      <c r="C229" s="26" t="str">
        <f>IF(C213=0,"",IF(C213&gt;0,C213))</f>
        <v/>
      </c>
      <c r="D229" s="26" t="str">
        <f t="shared" ref="D229:AL229" si="801">IF(D213=0,"",IF(D213&gt;0,D213))</f>
        <v/>
      </c>
      <c r="E229" s="26" t="str">
        <f t="shared" si="801"/>
        <v/>
      </c>
      <c r="F229" s="26" t="str">
        <f t="shared" si="801"/>
        <v/>
      </c>
      <c r="G229" s="26" t="str">
        <f t="shared" si="801"/>
        <v/>
      </c>
      <c r="H229" s="26" t="str">
        <f t="shared" si="801"/>
        <v/>
      </c>
      <c r="I229" s="26" t="str">
        <f t="shared" si="801"/>
        <v/>
      </c>
      <c r="J229" s="26" t="str">
        <f t="shared" si="801"/>
        <v/>
      </c>
      <c r="K229" s="26" t="str">
        <f t="shared" si="801"/>
        <v/>
      </c>
      <c r="L229" s="26" t="str">
        <f t="shared" si="801"/>
        <v/>
      </c>
      <c r="M229" s="26" t="str">
        <f t="shared" si="801"/>
        <v/>
      </c>
      <c r="N229" s="26" t="str">
        <f t="shared" si="801"/>
        <v/>
      </c>
      <c r="O229" s="26" t="str">
        <f t="shared" si="801"/>
        <v/>
      </c>
      <c r="P229" s="26" t="str">
        <f t="shared" si="801"/>
        <v/>
      </c>
      <c r="Q229" s="26" t="str">
        <f t="shared" si="801"/>
        <v/>
      </c>
      <c r="R229" s="26" t="str">
        <f t="shared" si="801"/>
        <v/>
      </c>
      <c r="S229" s="26" t="str">
        <f t="shared" si="801"/>
        <v/>
      </c>
      <c r="T229" s="26" t="str">
        <f t="shared" si="801"/>
        <v/>
      </c>
      <c r="U229" s="26" t="str">
        <f t="shared" si="801"/>
        <v/>
      </c>
      <c r="V229" s="26" t="str">
        <f t="shared" si="801"/>
        <v/>
      </c>
      <c r="W229" s="26" t="str">
        <f t="shared" si="801"/>
        <v/>
      </c>
      <c r="X229" s="26" t="str">
        <f t="shared" si="801"/>
        <v/>
      </c>
      <c r="Y229" s="26" t="str">
        <f t="shared" si="801"/>
        <v/>
      </c>
      <c r="Z229" s="26" t="str">
        <f t="shared" si="801"/>
        <v/>
      </c>
      <c r="AA229" s="26" t="str">
        <f t="shared" si="801"/>
        <v/>
      </c>
      <c r="AB229" s="26" t="str">
        <f t="shared" si="801"/>
        <v/>
      </c>
      <c r="AC229" s="26" t="str">
        <f t="shared" si="801"/>
        <v/>
      </c>
      <c r="AD229" s="26" t="str">
        <f t="shared" si="801"/>
        <v/>
      </c>
      <c r="AE229" s="26" t="str">
        <f t="shared" si="801"/>
        <v/>
      </c>
      <c r="AF229" s="26" t="str">
        <f t="shared" si="801"/>
        <v/>
      </c>
      <c r="AG229" s="26" t="str">
        <f t="shared" si="801"/>
        <v/>
      </c>
      <c r="AH229" s="26" t="str">
        <f t="shared" si="801"/>
        <v/>
      </c>
      <c r="AI229" s="26" t="str">
        <f t="shared" si="801"/>
        <v/>
      </c>
      <c r="AJ229" s="26" t="str">
        <f t="shared" si="801"/>
        <v/>
      </c>
      <c r="AK229" s="26" t="str">
        <f t="shared" si="801"/>
        <v/>
      </c>
      <c r="AL229" s="26" t="str">
        <f t="shared" si="801"/>
        <v/>
      </c>
      <c r="AM229" s="5" t="s">
        <v>2</v>
      </c>
      <c r="AN229" s="31"/>
      <c r="AO229" s="32" t="s">
        <v>5</v>
      </c>
      <c r="AP229" s="151">
        <f>SUM(AQ234:AQ241)</f>
        <v>0</v>
      </c>
      <c r="AQ229" s="151"/>
      <c r="AT229" s="2" t="str">
        <f t="shared" ref="AT229:BY229" si="802">IF(C229=0,"",IF(C229&gt;0,C229))</f>
        <v/>
      </c>
      <c r="AU229" s="2" t="str">
        <f t="shared" si="802"/>
        <v/>
      </c>
      <c r="AV229" s="2" t="str">
        <f t="shared" si="802"/>
        <v/>
      </c>
      <c r="AW229" s="2" t="str">
        <f t="shared" si="802"/>
        <v/>
      </c>
      <c r="AX229" s="2" t="str">
        <f t="shared" si="802"/>
        <v/>
      </c>
      <c r="AY229" s="2" t="str">
        <f t="shared" si="802"/>
        <v/>
      </c>
      <c r="AZ229" s="2" t="str">
        <f t="shared" si="802"/>
        <v/>
      </c>
      <c r="BA229" s="2" t="str">
        <f t="shared" si="802"/>
        <v/>
      </c>
      <c r="BB229" s="2" t="str">
        <f t="shared" si="802"/>
        <v/>
      </c>
      <c r="BC229" s="2" t="str">
        <f t="shared" si="802"/>
        <v/>
      </c>
      <c r="BD229" s="2" t="str">
        <f t="shared" si="802"/>
        <v/>
      </c>
      <c r="BE229" s="2" t="str">
        <f t="shared" si="802"/>
        <v/>
      </c>
      <c r="BF229" s="2" t="str">
        <f t="shared" si="802"/>
        <v/>
      </c>
      <c r="BG229" s="2" t="str">
        <f t="shared" si="802"/>
        <v/>
      </c>
      <c r="BH229" s="2" t="str">
        <f t="shared" si="802"/>
        <v/>
      </c>
      <c r="BI229" s="2" t="str">
        <f t="shared" si="802"/>
        <v/>
      </c>
      <c r="BJ229" s="2" t="str">
        <f t="shared" si="802"/>
        <v/>
      </c>
      <c r="BK229" s="2" t="str">
        <f t="shared" si="802"/>
        <v/>
      </c>
      <c r="BL229" s="2" t="str">
        <f t="shared" si="802"/>
        <v/>
      </c>
      <c r="BM229" s="2" t="str">
        <f t="shared" si="802"/>
        <v/>
      </c>
      <c r="BN229" s="2" t="str">
        <f t="shared" si="802"/>
        <v/>
      </c>
      <c r="BO229" s="2" t="str">
        <f t="shared" si="802"/>
        <v/>
      </c>
      <c r="BP229" s="2" t="str">
        <f t="shared" si="802"/>
        <v/>
      </c>
      <c r="BQ229" s="2" t="str">
        <f t="shared" si="802"/>
        <v/>
      </c>
      <c r="BR229" s="2" t="str">
        <f t="shared" si="802"/>
        <v/>
      </c>
      <c r="BS229" s="2" t="str">
        <f t="shared" si="802"/>
        <v/>
      </c>
      <c r="BT229" s="2" t="str">
        <f t="shared" si="802"/>
        <v/>
      </c>
      <c r="BU229" s="2" t="str">
        <f t="shared" si="802"/>
        <v/>
      </c>
      <c r="BV229" s="2" t="str">
        <f t="shared" si="802"/>
        <v/>
      </c>
      <c r="BW229" s="2" t="str">
        <f t="shared" si="802"/>
        <v/>
      </c>
      <c r="BX229" s="2" t="str">
        <f t="shared" si="802"/>
        <v/>
      </c>
      <c r="BY229" s="2" t="str">
        <f t="shared" si="802"/>
        <v/>
      </c>
      <c r="BZ229" s="2" t="str">
        <f t="shared" ref="BZ229" si="803">IF(AI229=0,"",IF(AI229&gt;0,AI229))</f>
        <v/>
      </c>
      <c r="CA229" s="2" t="str">
        <f t="shared" ref="CA229" si="804">IF(AJ229=0,"",IF(AJ229&gt;0,AJ229))</f>
        <v/>
      </c>
      <c r="CB229" s="2" t="str">
        <f t="shared" ref="CB229" si="805">IF(AK229=0,"",IF(AK229&gt;0,AK229))</f>
        <v/>
      </c>
      <c r="CC229" s="2" t="str">
        <f t="shared" ref="CC229" si="806">IF(AL229=0,"",IF(AL229&gt;0,AL229))</f>
        <v/>
      </c>
    </row>
    <row r="230" spans="1:81" ht="17.100000000000001" customHeight="1">
      <c r="A230" s="152" t="s">
        <v>30</v>
      </c>
      <c r="B230" s="153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  <c r="W230" s="46"/>
      <c r="X230" s="46"/>
      <c r="Y230" s="46"/>
      <c r="Z230" s="46"/>
      <c r="AA230" s="46"/>
      <c r="AB230" s="46"/>
      <c r="AC230" s="46"/>
      <c r="AD230" s="46"/>
      <c r="AE230" s="46"/>
      <c r="AF230" s="46"/>
      <c r="AG230" s="46"/>
      <c r="AH230" s="46"/>
      <c r="AI230" s="46"/>
      <c r="AJ230" s="46"/>
      <c r="AK230" s="46"/>
      <c r="AL230" s="46"/>
      <c r="AM230" s="45">
        <f>SUM(C230:AL230)</f>
        <v>0</v>
      </c>
      <c r="AN230" s="33"/>
      <c r="AO230" s="34" t="str">
        <f>IF(AP230&lt;5,"NO ",IF(AP230=5,"ok",IF(AP230&gt;5,"ok")))</f>
        <v xml:space="preserve">NO </v>
      </c>
      <c r="AP230" s="154">
        <f>AP228-AP229-AP231</f>
        <v>0</v>
      </c>
      <c r="AQ230" s="154"/>
      <c r="AR230" s="16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</row>
    <row r="231" spans="1:81" ht="17.100000000000001" customHeight="1">
      <c r="A231" s="152"/>
      <c r="B231" s="153"/>
      <c r="C231" s="47" t="str">
        <f>IF(C229="","",C230-C234*$AM234-C235*$AM235-C236*$AM236-C237*$AM237-C238*$AM238-C239*$AM239-C240*$AM240-C241*$AM241)</f>
        <v/>
      </c>
      <c r="D231" s="47" t="str">
        <f t="shared" ref="D231" si="807">IF(D229="","",D230-D234*$AM234-D235*$AM235-D236*$AM236-D237*$AM237-D238*$AM238-D239*$AM239-D240*$AM240-D241*$AM241)</f>
        <v/>
      </c>
      <c r="E231" s="47" t="str">
        <f t="shared" ref="E231" si="808">IF(E229="","",E230-E234*$AM234-E235*$AM235-E236*$AM236-E237*$AM237-E238*$AM238-E239*$AM239-E240*$AM240-E241*$AM241)</f>
        <v/>
      </c>
      <c r="F231" s="47" t="str">
        <f t="shared" ref="F231" si="809">IF(F229="","",F230-F234*$AM234-F235*$AM235-F236*$AM236-F237*$AM237-F238*$AM238-F239*$AM239-F240*$AM240-F241*$AM241)</f>
        <v/>
      </c>
      <c r="G231" s="47" t="str">
        <f t="shared" ref="G231" si="810">IF(G229="","",G230-G234*$AM234-G235*$AM235-G236*$AM236-G237*$AM237-G238*$AM238-G239*$AM239-G240*$AM240-G241*$AM241)</f>
        <v/>
      </c>
      <c r="H231" s="47" t="str">
        <f t="shared" ref="H231" si="811">IF(H229="","",H230-H234*$AM234-H235*$AM235-H236*$AM236-H237*$AM237-H238*$AM238-H239*$AM239-H240*$AM240-H241*$AM241)</f>
        <v/>
      </c>
      <c r="I231" s="47" t="str">
        <f t="shared" ref="I231" si="812">IF(I229="","",I230-I234*$AM234-I235*$AM235-I236*$AM236-I237*$AM237-I238*$AM238-I239*$AM239-I240*$AM240-I241*$AM241)</f>
        <v/>
      </c>
      <c r="J231" s="47" t="str">
        <f t="shared" ref="J231" si="813">IF(J229="","",J230-J234*$AM234-J235*$AM235-J236*$AM236-J237*$AM237-J238*$AM238-J239*$AM239-J240*$AM240-J241*$AM241)</f>
        <v/>
      </c>
      <c r="K231" s="47" t="str">
        <f t="shared" ref="K231" si="814">IF(K229="","",K230-K234*$AM234-K235*$AM235-K236*$AM236-K237*$AM237-K238*$AM238-K239*$AM239-K240*$AM240-K241*$AM241)</f>
        <v/>
      </c>
      <c r="L231" s="47" t="str">
        <f t="shared" ref="L231" si="815">IF(L229="","",L230-L234*$AM234-L235*$AM235-L236*$AM236-L237*$AM237-L238*$AM238-L239*$AM239-L240*$AM240-L241*$AM241)</f>
        <v/>
      </c>
      <c r="M231" s="47" t="str">
        <f t="shared" ref="M231" si="816">IF(M229="","",M230-M234*$AM234-M235*$AM235-M236*$AM236-M237*$AM237-M238*$AM238-M239*$AM239-M240*$AM240-M241*$AM241)</f>
        <v/>
      </c>
      <c r="N231" s="47" t="str">
        <f t="shared" ref="N231" si="817">IF(N229="","",N230-N234*$AM234-N235*$AM235-N236*$AM236-N237*$AM237-N238*$AM238-N239*$AM239-N240*$AM240-N241*$AM241)</f>
        <v/>
      </c>
      <c r="O231" s="47" t="str">
        <f t="shared" ref="O231" si="818">IF(O229="","",O230-O234*$AM234-O235*$AM235-O236*$AM236-O237*$AM237-O238*$AM238-O239*$AM239-O240*$AM240-O241*$AM241)</f>
        <v/>
      </c>
      <c r="P231" s="47" t="str">
        <f t="shared" ref="P231" si="819">IF(P229="","",P230-P234*$AM234-P235*$AM235-P236*$AM236-P237*$AM237-P238*$AM238-P239*$AM239-P240*$AM240-P241*$AM241)</f>
        <v/>
      </c>
      <c r="Q231" s="47" t="str">
        <f t="shared" ref="Q231" si="820">IF(Q229="","",Q230-Q234*$AM234-Q235*$AM235-Q236*$AM236-Q237*$AM237-Q238*$AM238-Q239*$AM239-Q240*$AM240-Q241*$AM241)</f>
        <v/>
      </c>
      <c r="R231" s="47" t="str">
        <f t="shared" ref="R231" si="821">IF(R229="","",R230-R234*$AM234-R235*$AM235-R236*$AM236-R237*$AM237-R238*$AM238-R239*$AM239-R240*$AM240-R241*$AM241)</f>
        <v/>
      </c>
      <c r="S231" s="47" t="str">
        <f t="shared" ref="S231" si="822">IF(S229="","",S230-S234*$AM234-S235*$AM235-S236*$AM236-S237*$AM237-S238*$AM238-S239*$AM239-S240*$AM240-S241*$AM241)</f>
        <v/>
      </c>
      <c r="T231" s="47" t="str">
        <f t="shared" ref="T231" si="823">IF(T229="","",T230-T234*$AM234-T235*$AM235-T236*$AM236-T237*$AM237-T238*$AM238-T239*$AM239-T240*$AM240-T241*$AM241)</f>
        <v/>
      </c>
      <c r="U231" s="47" t="str">
        <f t="shared" ref="U231" si="824">IF(U229="","",U230-U234*$AM234-U235*$AM235-U236*$AM236-U237*$AM237-U238*$AM238-U239*$AM239-U240*$AM240-U241*$AM241)</f>
        <v/>
      </c>
      <c r="V231" s="47" t="str">
        <f t="shared" ref="V231" si="825">IF(V229="","",V230-V234*$AM234-V235*$AM235-V236*$AM236-V237*$AM237-V238*$AM238-V239*$AM239-V240*$AM240-V241*$AM241)</f>
        <v/>
      </c>
      <c r="W231" s="47" t="str">
        <f t="shared" ref="W231" si="826">IF(W229="","",W230-W234*$AM234-W235*$AM235-W236*$AM236-W237*$AM237-W238*$AM238-W239*$AM239-W240*$AM240-W241*$AM241)</f>
        <v/>
      </c>
      <c r="X231" s="47" t="str">
        <f t="shared" ref="X231" si="827">IF(X229="","",X230-X234*$AM234-X235*$AM235-X236*$AM236-X237*$AM237-X238*$AM238-X239*$AM239-X240*$AM240-X241*$AM241)</f>
        <v/>
      </c>
      <c r="Y231" s="47" t="str">
        <f t="shared" ref="Y231" si="828">IF(Y229="","",Y230-Y234*$AM234-Y235*$AM235-Y236*$AM236-Y237*$AM237-Y238*$AM238-Y239*$AM239-Y240*$AM240-Y241*$AM241)</f>
        <v/>
      </c>
      <c r="Z231" s="47" t="str">
        <f t="shared" ref="Z231" si="829">IF(Z229="","",Z230-Z234*$AM234-Z235*$AM235-Z236*$AM236-Z237*$AM237-Z238*$AM238-Z239*$AM239-Z240*$AM240-Z241*$AM241)</f>
        <v/>
      </c>
      <c r="AA231" s="47" t="str">
        <f t="shared" ref="AA231" si="830">IF(AA229="","",AA230-AA234*$AM234-AA235*$AM235-AA236*$AM236-AA237*$AM237-AA238*$AM238-AA239*$AM239-AA240*$AM240-AA241*$AM241)</f>
        <v/>
      </c>
      <c r="AB231" s="47" t="str">
        <f t="shared" ref="AB231" si="831">IF(AB229="","",AB230-AB234*$AM234-AB235*$AM235-AB236*$AM236-AB237*$AM237-AB238*$AM238-AB239*$AM239-AB240*$AM240-AB241*$AM241)</f>
        <v/>
      </c>
      <c r="AC231" s="47" t="str">
        <f t="shared" ref="AC231" si="832">IF(AC229="","",AC230-AC234*$AM234-AC235*$AM235-AC236*$AM236-AC237*$AM237-AC238*$AM238-AC239*$AM239-AC240*$AM240-AC241*$AM241)</f>
        <v/>
      </c>
      <c r="AD231" s="47" t="str">
        <f t="shared" ref="AD231" si="833">IF(AD229="","",AD230-AD234*$AM234-AD235*$AM235-AD236*$AM236-AD237*$AM237-AD238*$AM238-AD239*$AM239-AD240*$AM240-AD241*$AM241)</f>
        <v/>
      </c>
      <c r="AE231" s="47" t="str">
        <f t="shared" ref="AE231" si="834">IF(AE229="","",AE230-AE234*$AM234-AE235*$AM235-AE236*$AM236-AE237*$AM237-AE238*$AM238-AE239*$AM239-AE240*$AM240-AE241*$AM241)</f>
        <v/>
      </c>
      <c r="AF231" s="47" t="str">
        <f t="shared" ref="AF231" si="835">IF(AF229="","",AF230-AF234*$AM234-AF235*$AM235-AF236*$AM236-AF237*$AM237-AF238*$AM238-AF239*$AM239-AF240*$AM240-AF241*$AM241)</f>
        <v/>
      </c>
      <c r="AG231" s="47" t="str">
        <f t="shared" ref="AG231" si="836">IF(AG229="","",AG230-AG234*$AM234-AG235*$AM235-AG236*$AM236-AG237*$AM237-AG238*$AM238-AG239*$AM239-AG240*$AM240-AG241*$AM241)</f>
        <v/>
      </c>
      <c r="AH231" s="47" t="str">
        <f t="shared" ref="AH231" si="837">IF(AH229="","",AH230-AH234*$AM234-AH235*$AM235-AH236*$AM236-AH237*$AM237-AH238*$AM238-AH239*$AM239-AH240*$AM240-AH241*$AM241)</f>
        <v/>
      </c>
      <c r="AI231" s="47" t="str">
        <f t="shared" ref="AI231" si="838">IF(AI229="","",AI230-AI234*$AM234-AI235*$AM235-AI236*$AM236-AI237*$AM237-AI238*$AM238-AI239*$AM239-AI240*$AM240-AI241*$AM241)</f>
        <v/>
      </c>
      <c r="AJ231" s="47" t="str">
        <f t="shared" ref="AJ231" si="839">IF(AJ229="","",AJ230-AJ234*$AM234-AJ235*$AM235-AJ236*$AM236-AJ237*$AM237-AJ238*$AM238-AJ239*$AM239-AJ240*$AM240-AJ241*$AM241)</f>
        <v/>
      </c>
      <c r="AK231" s="47" t="str">
        <f>IF(AK229="","",AK230-AK234*$AM234-AK235*$AM235-AK236*$AM236-AK237*$AM237-AK238*$AM238-AK239*$AM239-AK240*$AM240-AK241*$AM241)</f>
        <v/>
      </c>
      <c r="AL231" s="47" t="str">
        <f t="shared" ref="AL231" si="840">IF(AL229="","",AL230-AL234*$AM234-AL235*$AM235-AL236*$AM236-AL237*$AM237-AL238*$AM238-AL239*$AM239-AL240*$AM240-AL241*$AM241)</f>
        <v/>
      </c>
      <c r="AM231" s="45">
        <f>SUM(C231:AL231)</f>
        <v>0</v>
      </c>
      <c r="AN231" s="155" t="s">
        <v>33</v>
      </c>
      <c r="AO231" s="156"/>
      <c r="AP231" s="157"/>
      <c r="AQ231" s="158"/>
      <c r="AR231" s="17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</row>
    <row r="232" spans="1:81" ht="17.100000000000001" customHeight="1">
      <c r="A232" s="177" t="s">
        <v>20</v>
      </c>
      <c r="B232" s="178"/>
      <c r="C232" s="181" t="s">
        <v>0</v>
      </c>
      <c r="D232" s="182"/>
      <c r="E232" s="182"/>
      <c r="F232" s="182"/>
      <c r="G232" s="182"/>
      <c r="H232" s="182"/>
      <c r="I232" s="182"/>
      <c r="J232" s="182"/>
      <c r="K232" s="182"/>
      <c r="L232" s="182"/>
      <c r="M232" s="182"/>
      <c r="N232" s="182"/>
      <c r="O232" s="182"/>
      <c r="P232" s="182"/>
      <c r="Q232" s="182"/>
      <c r="R232" s="182"/>
      <c r="S232" s="182"/>
      <c r="T232" s="182"/>
      <c r="U232" s="182"/>
      <c r="V232" s="182"/>
      <c r="W232" s="182"/>
      <c r="X232" s="182"/>
      <c r="Y232" s="182"/>
      <c r="Z232" s="182"/>
      <c r="AA232" s="182"/>
      <c r="AB232" s="182"/>
      <c r="AC232" s="182"/>
      <c r="AD232" s="182"/>
      <c r="AE232" s="182"/>
      <c r="AF232" s="182"/>
      <c r="AG232" s="182"/>
      <c r="AH232" s="182"/>
      <c r="AI232" s="182"/>
      <c r="AJ232" s="182"/>
      <c r="AK232" s="182"/>
      <c r="AL232" s="183"/>
      <c r="AM232" s="187" t="s">
        <v>1</v>
      </c>
      <c r="AN232" s="200" t="s">
        <v>11</v>
      </c>
      <c r="AO232" s="196" t="s">
        <v>12</v>
      </c>
      <c r="AP232" s="197"/>
      <c r="AQ232" s="193" t="s">
        <v>6</v>
      </c>
      <c r="AR232" s="24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</row>
    <row r="233" spans="1:81" ht="17.100000000000001" customHeight="1">
      <c r="A233" s="179"/>
      <c r="B233" s="180"/>
      <c r="C233" s="184"/>
      <c r="D233" s="185"/>
      <c r="E233" s="185"/>
      <c r="F233" s="185"/>
      <c r="G233" s="185"/>
      <c r="H233" s="185"/>
      <c r="I233" s="185"/>
      <c r="J233" s="185"/>
      <c r="K233" s="185"/>
      <c r="L233" s="185"/>
      <c r="M233" s="185"/>
      <c r="N233" s="185"/>
      <c r="O233" s="185"/>
      <c r="P233" s="185"/>
      <c r="Q233" s="185"/>
      <c r="R233" s="185"/>
      <c r="S233" s="185"/>
      <c r="T233" s="185"/>
      <c r="U233" s="185"/>
      <c r="V233" s="185"/>
      <c r="W233" s="185"/>
      <c r="X233" s="185"/>
      <c r="Y233" s="185"/>
      <c r="Z233" s="185"/>
      <c r="AA233" s="185"/>
      <c r="AB233" s="185"/>
      <c r="AC233" s="185"/>
      <c r="AD233" s="185"/>
      <c r="AE233" s="185"/>
      <c r="AF233" s="185"/>
      <c r="AG233" s="185"/>
      <c r="AH233" s="185"/>
      <c r="AI233" s="185"/>
      <c r="AJ233" s="185"/>
      <c r="AK233" s="185"/>
      <c r="AL233" s="186"/>
      <c r="AM233" s="188"/>
      <c r="AN233" s="190"/>
      <c r="AO233" s="18" t="s">
        <v>3</v>
      </c>
      <c r="AP233" s="19" t="s">
        <v>13</v>
      </c>
      <c r="AQ233" s="172"/>
      <c r="AR233" s="27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</row>
    <row r="234" spans="1:81" ht="17.100000000000001" customHeight="1">
      <c r="A234" s="173"/>
      <c r="B234" s="30" t="s">
        <v>21</v>
      </c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39"/>
      <c r="P234" s="39"/>
      <c r="Q234" s="39"/>
      <c r="R234" s="39"/>
      <c r="S234" s="39"/>
      <c r="T234" s="39"/>
      <c r="U234" s="39"/>
      <c r="V234" s="39"/>
      <c r="W234" s="39"/>
      <c r="X234" s="39"/>
      <c r="Y234" s="39"/>
      <c r="Z234" s="39"/>
      <c r="AA234" s="39"/>
      <c r="AB234" s="39"/>
      <c r="AC234" s="39"/>
      <c r="AD234" s="39"/>
      <c r="AE234" s="39"/>
      <c r="AF234" s="39"/>
      <c r="AG234" s="39"/>
      <c r="AH234" s="39"/>
      <c r="AI234" s="39"/>
      <c r="AJ234" s="39"/>
      <c r="AK234" s="39"/>
      <c r="AL234" s="39"/>
      <c r="AM234" s="39"/>
      <c r="AN234" s="40" t="str">
        <f>IF(AM234="","",SUM(C234:AL234)*AM234)</f>
        <v/>
      </c>
      <c r="AO234" s="39"/>
      <c r="AP234" s="39"/>
      <c r="AQ234" s="42">
        <f>(AO234+AR234)*AM234</f>
        <v>0</v>
      </c>
      <c r="AR234" s="25">
        <f>AP234/36</f>
        <v>0</v>
      </c>
      <c r="AT234" s="3" t="str">
        <f t="shared" ref="AT234:CA234" si="841">IF(C234=0,"",ROUNDUP(C231/C234,0))</f>
        <v/>
      </c>
      <c r="AU234" s="3" t="str">
        <f t="shared" si="841"/>
        <v/>
      </c>
      <c r="AV234" s="3" t="str">
        <f t="shared" si="841"/>
        <v/>
      </c>
      <c r="AW234" s="3" t="str">
        <f t="shared" si="841"/>
        <v/>
      </c>
      <c r="AX234" s="3" t="str">
        <f t="shared" si="841"/>
        <v/>
      </c>
      <c r="AY234" s="3" t="str">
        <f t="shared" si="841"/>
        <v/>
      </c>
      <c r="AZ234" s="3" t="str">
        <f t="shared" si="841"/>
        <v/>
      </c>
      <c r="BA234" s="3" t="str">
        <f t="shared" si="841"/>
        <v/>
      </c>
      <c r="BB234" s="3" t="str">
        <f t="shared" si="841"/>
        <v/>
      </c>
      <c r="BC234" s="3" t="str">
        <f t="shared" si="841"/>
        <v/>
      </c>
      <c r="BD234" s="3" t="str">
        <f t="shared" si="841"/>
        <v/>
      </c>
      <c r="BE234" s="3" t="str">
        <f t="shared" si="841"/>
        <v/>
      </c>
      <c r="BF234" s="3" t="str">
        <f t="shared" si="841"/>
        <v/>
      </c>
      <c r="BG234" s="3" t="str">
        <f t="shared" si="841"/>
        <v/>
      </c>
      <c r="BH234" s="3" t="str">
        <f t="shared" si="841"/>
        <v/>
      </c>
      <c r="BI234" s="3" t="str">
        <f t="shared" si="841"/>
        <v/>
      </c>
      <c r="BJ234" s="3" t="str">
        <f t="shared" si="841"/>
        <v/>
      </c>
      <c r="BK234" s="3" t="str">
        <f t="shared" si="841"/>
        <v/>
      </c>
      <c r="BL234" s="3" t="str">
        <f t="shared" si="841"/>
        <v/>
      </c>
      <c r="BM234" s="3" t="str">
        <f t="shared" si="841"/>
        <v/>
      </c>
      <c r="BN234" s="3" t="str">
        <f t="shared" si="841"/>
        <v/>
      </c>
      <c r="BO234" s="3" t="str">
        <f t="shared" si="841"/>
        <v/>
      </c>
      <c r="BP234" s="3" t="str">
        <f t="shared" si="841"/>
        <v/>
      </c>
      <c r="BQ234" s="3" t="str">
        <f t="shared" si="841"/>
        <v/>
      </c>
      <c r="BR234" s="3" t="str">
        <f t="shared" si="841"/>
        <v/>
      </c>
      <c r="BS234" s="3" t="str">
        <f t="shared" si="841"/>
        <v/>
      </c>
      <c r="BT234" s="3" t="str">
        <f t="shared" si="841"/>
        <v/>
      </c>
      <c r="BU234" s="3" t="str">
        <f t="shared" si="841"/>
        <v/>
      </c>
      <c r="BV234" s="3" t="str">
        <f t="shared" si="841"/>
        <v/>
      </c>
      <c r="BW234" s="3" t="str">
        <f t="shared" si="841"/>
        <v/>
      </c>
      <c r="BX234" s="3" t="str">
        <f t="shared" si="841"/>
        <v/>
      </c>
      <c r="BY234" s="3" t="str">
        <f t="shared" si="841"/>
        <v/>
      </c>
      <c r="BZ234" s="3" t="str">
        <f t="shared" si="841"/>
        <v/>
      </c>
      <c r="CA234" s="3" t="str">
        <f t="shared" si="841"/>
        <v/>
      </c>
      <c r="CB234" s="3" t="str">
        <f t="shared" ref="CB234" si="842">IF(AK234=0,"",ROUNDUP(AK231/AK234,0))</f>
        <v/>
      </c>
      <c r="CC234" s="3" t="str">
        <f t="shared" ref="CC234" si="843">IF(AL234=0,"",ROUNDUP(AL231/AL234,0))</f>
        <v/>
      </c>
    </row>
    <row r="235" spans="1:81" ht="17.100000000000001" customHeight="1">
      <c r="A235" s="174"/>
      <c r="B235" s="30" t="s">
        <v>22</v>
      </c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39"/>
      <c r="P235" s="39"/>
      <c r="Q235" s="39"/>
      <c r="R235" s="39"/>
      <c r="S235" s="39"/>
      <c r="T235" s="39"/>
      <c r="U235" s="39"/>
      <c r="V235" s="39"/>
      <c r="W235" s="39"/>
      <c r="X235" s="39"/>
      <c r="Y235" s="39"/>
      <c r="Z235" s="39"/>
      <c r="AA235" s="39"/>
      <c r="AB235" s="39"/>
      <c r="AC235" s="39"/>
      <c r="AD235" s="39"/>
      <c r="AE235" s="39"/>
      <c r="AF235" s="39"/>
      <c r="AG235" s="39"/>
      <c r="AH235" s="39"/>
      <c r="AI235" s="39"/>
      <c r="AJ235" s="39"/>
      <c r="AK235" s="39"/>
      <c r="AL235" s="39"/>
      <c r="AM235" s="39"/>
      <c r="AN235" s="40" t="str">
        <f t="shared" ref="AN235:AN238" si="844">IF(AM235="","",SUM(C235:AL235)*AM235)</f>
        <v/>
      </c>
      <c r="AO235" s="39"/>
      <c r="AP235" s="39"/>
      <c r="AQ235" s="42">
        <f t="shared" ref="AQ235:AQ241" si="845">(AO235+AR235)*AM235</f>
        <v>0</v>
      </c>
      <c r="AR235" s="25">
        <f t="shared" ref="AR235:AR241" si="846">AP235/36</f>
        <v>0</v>
      </c>
      <c r="AT235" s="3" t="str">
        <f t="shared" ref="AT235:CA235" si="847">IF(C235=0,"",ROUNDUP(C231/C235,0))</f>
        <v/>
      </c>
      <c r="AU235" s="3" t="str">
        <f t="shared" si="847"/>
        <v/>
      </c>
      <c r="AV235" s="3" t="str">
        <f t="shared" si="847"/>
        <v/>
      </c>
      <c r="AW235" s="3" t="str">
        <f t="shared" si="847"/>
        <v/>
      </c>
      <c r="AX235" s="3" t="str">
        <f t="shared" si="847"/>
        <v/>
      </c>
      <c r="AY235" s="3" t="str">
        <f t="shared" si="847"/>
        <v/>
      </c>
      <c r="AZ235" s="3" t="str">
        <f t="shared" si="847"/>
        <v/>
      </c>
      <c r="BA235" s="3" t="str">
        <f t="shared" si="847"/>
        <v/>
      </c>
      <c r="BB235" s="3" t="str">
        <f t="shared" si="847"/>
        <v/>
      </c>
      <c r="BC235" s="3" t="str">
        <f t="shared" si="847"/>
        <v/>
      </c>
      <c r="BD235" s="3" t="str">
        <f t="shared" si="847"/>
        <v/>
      </c>
      <c r="BE235" s="3" t="str">
        <f t="shared" si="847"/>
        <v/>
      </c>
      <c r="BF235" s="3" t="str">
        <f t="shared" si="847"/>
        <v/>
      </c>
      <c r="BG235" s="3" t="str">
        <f t="shared" si="847"/>
        <v/>
      </c>
      <c r="BH235" s="3" t="str">
        <f t="shared" si="847"/>
        <v/>
      </c>
      <c r="BI235" s="3" t="str">
        <f t="shared" si="847"/>
        <v/>
      </c>
      <c r="BJ235" s="3" t="str">
        <f t="shared" si="847"/>
        <v/>
      </c>
      <c r="BK235" s="3" t="str">
        <f t="shared" si="847"/>
        <v/>
      </c>
      <c r="BL235" s="3" t="str">
        <f t="shared" si="847"/>
        <v/>
      </c>
      <c r="BM235" s="3" t="str">
        <f t="shared" si="847"/>
        <v/>
      </c>
      <c r="BN235" s="3" t="str">
        <f t="shared" si="847"/>
        <v/>
      </c>
      <c r="BO235" s="3" t="str">
        <f t="shared" si="847"/>
        <v/>
      </c>
      <c r="BP235" s="3" t="str">
        <f t="shared" si="847"/>
        <v/>
      </c>
      <c r="BQ235" s="3" t="str">
        <f t="shared" si="847"/>
        <v/>
      </c>
      <c r="BR235" s="3" t="str">
        <f t="shared" si="847"/>
        <v/>
      </c>
      <c r="BS235" s="3" t="str">
        <f t="shared" si="847"/>
        <v/>
      </c>
      <c r="BT235" s="3" t="str">
        <f t="shared" si="847"/>
        <v/>
      </c>
      <c r="BU235" s="3" t="str">
        <f t="shared" si="847"/>
        <v/>
      </c>
      <c r="BV235" s="3" t="str">
        <f t="shared" si="847"/>
        <v/>
      </c>
      <c r="BW235" s="3" t="str">
        <f t="shared" si="847"/>
        <v/>
      </c>
      <c r="BX235" s="3" t="str">
        <f t="shared" si="847"/>
        <v/>
      </c>
      <c r="BY235" s="3" t="str">
        <f t="shared" si="847"/>
        <v/>
      </c>
      <c r="BZ235" s="3" t="str">
        <f t="shared" si="847"/>
        <v/>
      </c>
      <c r="CA235" s="3" t="str">
        <f t="shared" si="847"/>
        <v/>
      </c>
      <c r="CB235" s="3" t="str">
        <f t="shared" ref="CB235" si="848">IF(AK235=0,"",ROUNDUP(AK231/AK235,0))</f>
        <v/>
      </c>
      <c r="CC235" s="3" t="str">
        <f t="shared" ref="CC235" si="849">IF(AL235=0,"",ROUNDUP(AL231/AL235,0))</f>
        <v/>
      </c>
    </row>
    <row r="236" spans="1:81" ht="17.100000000000001" customHeight="1">
      <c r="A236" s="174"/>
      <c r="B236" s="30" t="s">
        <v>23</v>
      </c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39"/>
      <c r="P236" s="39"/>
      <c r="Q236" s="39"/>
      <c r="R236" s="39"/>
      <c r="S236" s="39"/>
      <c r="T236" s="39"/>
      <c r="U236" s="39"/>
      <c r="V236" s="39"/>
      <c r="W236" s="39"/>
      <c r="X236" s="39"/>
      <c r="Y236" s="39"/>
      <c r="Z236" s="39"/>
      <c r="AA236" s="39"/>
      <c r="AB236" s="39"/>
      <c r="AC236" s="39"/>
      <c r="AD236" s="39"/>
      <c r="AE236" s="39"/>
      <c r="AF236" s="39"/>
      <c r="AG236" s="39"/>
      <c r="AH236" s="39"/>
      <c r="AI236" s="39"/>
      <c r="AJ236" s="39"/>
      <c r="AK236" s="39"/>
      <c r="AL236" s="39"/>
      <c r="AM236" s="39"/>
      <c r="AN236" s="40" t="str">
        <f t="shared" si="844"/>
        <v/>
      </c>
      <c r="AO236" s="39"/>
      <c r="AP236" s="39"/>
      <c r="AQ236" s="42">
        <f t="shared" si="845"/>
        <v>0</v>
      </c>
      <c r="AR236" s="25">
        <f t="shared" si="846"/>
        <v>0</v>
      </c>
      <c r="AT236" s="3" t="str">
        <f t="shared" ref="AT236:CA236" si="850">IF(C236=0,"",ROUNDUP(C231/C236,0))</f>
        <v/>
      </c>
      <c r="AU236" s="3" t="str">
        <f t="shared" si="850"/>
        <v/>
      </c>
      <c r="AV236" s="3" t="str">
        <f t="shared" si="850"/>
        <v/>
      </c>
      <c r="AW236" s="3" t="str">
        <f t="shared" si="850"/>
        <v/>
      </c>
      <c r="AX236" s="3" t="str">
        <f t="shared" si="850"/>
        <v/>
      </c>
      <c r="AY236" s="3" t="str">
        <f t="shared" si="850"/>
        <v/>
      </c>
      <c r="AZ236" s="3" t="str">
        <f t="shared" si="850"/>
        <v/>
      </c>
      <c r="BA236" s="3" t="str">
        <f t="shared" si="850"/>
        <v/>
      </c>
      <c r="BB236" s="3" t="str">
        <f t="shared" si="850"/>
        <v/>
      </c>
      <c r="BC236" s="3" t="str">
        <f t="shared" si="850"/>
        <v/>
      </c>
      <c r="BD236" s="3" t="str">
        <f t="shared" si="850"/>
        <v/>
      </c>
      <c r="BE236" s="3" t="str">
        <f t="shared" si="850"/>
        <v/>
      </c>
      <c r="BF236" s="3" t="str">
        <f t="shared" si="850"/>
        <v/>
      </c>
      <c r="BG236" s="3" t="str">
        <f t="shared" si="850"/>
        <v/>
      </c>
      <c r="BH236" s="3" t="str">
        <f t="shared" si="850"/>
        <v/>
      </c>
      <c r="BI236" s="3" t="str">
        <f t="shared" si="850"/>
        <v/>
      </c>
      <c r="BJ236" s="3" t="str">
        <f t="shared" si="850"/>
        <v/>
      </c>
      <c r="BK236" s="3" t="str">
        <f t="shared" si="850"/>
        <v/>
      </c>
      <c r="BL236" s="3" t="str">
        <f t="shared" si="850"/>
        <v/>
      </c>
      <c r="BM236" s="3" t="str">
        <f t="shared" si="850"/>
        <v/>
      </c>
      <c r="BN236" s="3" t="str">
        <f t="shared" si="850"/>
        <v/>
      </c>
      <c r="BO236" s="3" t="str">
        <f t="shared" si="850"/>
        <v/>
      </c>
      <c r="BP236" s="3" t="str">
        <f t="shared" si="850"/>
        <v/>
      </c>
      <c r="BQ236" s="3" t="str">
        <f t="shared" si="850"/>
        <v/>
      </c>
      <c r="BR236" s="3" t="str">
        <f t="shared" si="850"/>
        <v/>
      </c>
      <c r="BS236" s="3" t="str">
        <f t="shared" si="850"/>
        <v/>
      </c>
      <c r="BT236" s="3" t="str">
        <f t="shared" si="850"/>
        <v/>
      </c>
      <c r="BU236" s="3" t="str">
        <f t="shared" si="850"/>
        <v/>
      </c>
      <c r="BV236" s="3" t="str">
        <f t="shared" si="850"/>
        <v/>
      </c>
      <c r="BW236" s="3" t="str">
        <f t="shared" si="850"/>
        <v/>
      </c>
      <c r="BX236" s="3" t="str">
        <f t="shared" si="850"/>
        <v/>
      </c>
      <c r="BY236" s="3" t="str">
        <f t="shared" si="850"/>
        <v/>
      </c>
      <c r="BZ236" s="3" t="str">
        <f t="shared" si="850"/>
        <v/>
      </c>
      <c r="CA236" s="3" t="str">
        <f t="shared" si="850"/>
        <v/>
      </c>
      <c r="CB236" s="3" t="str">
        <f t="shared" ref="CB236" si="851">IF(AK236=0,"",ROUNDUP(AK231/AK236,0))</f>
        <v/>
      </c>
      <c r="CC236" s="3" t="str">
        <f t="shared" ref="CC236" si="852">IF(AL236=0,"",ROUNDUP(AL231/AL236,0))</f>
        <v/>
      </c>
    </row>
    <row r="237" spans="1:81" ht="17.100000000000001" customHeight="1">
      <c r="A237" s="174"/>
      <c r="B237" s="30" t="s">
        <v>24</v>
      </c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39"/>
      <c r="P237" s="39"/>
      <c r="Q237" s="39"/>
      <c r="R237" s="39"/>
      <c r="S237" s="39"/>
      <c r="T237" s="39"/>
      <c r="U237" s="39"/>
      <c r="V237" s="39"/>
      <c r="W237" s="39"/>
      <c r="X237" s="39"/>
      <c r="Y237" s="39"/>
      <c r="Z237" s="39"/>
      <c r="AA237" s="39"/>
      <c r="AB237" s="39"/>
      <c r="AC237" s="39"/>
      <c r="AD237" s="39"/>
      <c r="AE237" s="39"/>
      <c r="AF237" s="39"/>
      <c r="AG237" s="39"/>
      <c r="AH237" s="39"/>
      <c r="AI237" s="39"/>
      <c r="AJ237" s="39"/>
      <c r="AK237" s="39"/>
      <c r="AL237" s="39"/>
      <c r="AM237" s="39"/>
      <c r="AN237" s="40" t="str">
        <f t="shared" si="844"/>
        <v/>
      </c>
      <c r="AO237" s="39"/>
      <c r="AP237" s="39"/>
      <c r="AQ237" s="42">
        <f t="shared" si="845"/>
        <v>0</v>
      </c>
      <c r="AR237" s="25">
        <f t="shared" si="846"/>
        <v>0</v>
      </c>
      <c r="AT237" s="3" t="str">
        <f t="shared" ref="AT237:CA237" si="853">IF(C237=0,"",ROUNDUP(C231/C237,0))</f>
        <v/>
      </c>
      <c r="AU237" s="3" t="str">
        <f t="shared" si="853"/>
        <v/>
      </c>
      <c r="AV237" s="3" t="str">
        <f t="shared" si="853"/>
        <v/>
      </c>
      <c r="AW237" s="3" t="str">
        <f t="shared" si="853"/>
        <v/>
      </c>
      <c r="AX237" s="3" t="str">
        <f t="shared" si="853"/>
        <v/>
      </c>
      <c r="AY237" s="3" t="str">
        <f t="shared" si="853"/>
        <v/>
      </c>
      <c r="AZ237" s="3" t="str">
        <f t="shared" si="853"/>
        <v/>
      </c>
      <c r="BA237" s="3" t="str">
        <f t="shared" si="853"/>
        <v/>
      </c>
      <c r="BB237" s="3" t="str">
        <f t="shared" si="853"/>
        <v/>
      </c>
      <c r="BC237" s="3" t="str">
        <f t="shared" si="853"/>
        <v/>
      </c>
      <c r="BD237" s="3" t="str">
        <f t="shared" si="853"/>
        <v/>
      </c>
      <c r="BE237" s="3" t="str">
        <f t="shared" si="853"/>
        <v/>
      </c>
      <c r="BF237" s="3" t="str">
        <f t="shared" si="853"/>
        <v/>
      </c>
      <c r="BG237" s="3" t="str">
        <f t="shared" si="853"/>
        <v/>
      </c>
      <c r="BH237" s="3" t="str">
        <f t="shared" si="853"/>
        <v/>
      </c>
      <c r="BI237" s="3" t="str">
        <f t="shared" si="853"/>
        <v/>
      </c>
      <c r="BJ237" s="3" t="str">
        <f t="shared" si="853"/>
        <v/>
      </c>
      <c r="BK237" s="3" t="str">
        <f t="shared" si="853"/>
        <v/>
      </c>
      <c r="BL237" s="3" t="str">
        <f t="shared" si="853"/>
        <v/>
      </c>
      <c r="BM237" s="3" t="str">
        <f t="shared" si="853"/>
        <v/>
      </c>
      <c r="BN237" s="3" t="str">
        <f t="shared" si="853"/>
        <v/>
      </c>
      <c r="BO237" s="3" t="str">
        <f t="shared" si="853"/>
        <v/>
      </c>
      <c r="BP237" s="3" t="str">
        <f t="shared" si="853"/>
        <v/>
      </c>
      <c r="BQ237" s="3" t="str">
        <f t="shared" si="853"/>
        <v/>
      </c>
      <c r="BR237" s="3" t="str">
        <f t="shared" si="853"/>
        <v/>
      </c>
      <c r="BS237" s="3" t="str">
        <f t="shared" si="853"/>
        <v/>
      </c>
      <c r="BT237" s="3" t="str">
        <f t="shared" si="853"/>
        <v/>
      </c>
      <c r="BU237" s="3" t="str">
        <f t="shared" si="853"/>
        <v/>
      </c>
      <c r="BV237" s="3" t="str">
        <f t="shared" si="853"/>
        <v/>
      </c>
      <c r="BW237" s="3" t="str">
        <f t="shared" si="853"/>
        <v/>
      </c>
      <c r="BX237" s="3" t="str">
        <f t="shared" si="853"/>
        <v/>
      </c>
      <c r="BY237" s="3" t="str">
        <f t="shared" si="853"/>
        <v/>
      </c>
      <c r="BZ237" s="3" t="str">
        <f t="shared" si="853"/>
        <v/>
      </c>
      <c r="CA237" s="3" t="str">
        <f t="shared" si="853"/>
        <v/>
      </c>
      <c r="CB237" s="3" t="str">
        <f t="shared" ref="CB237" si="854">IF(AK237=0,"",ROUNDUP(AK231/AK237,0))</f>
        <v/>
      </c>
      <c r="CC237" s="3" t="str">
        <f t="shared" ref="CC237" si="855">IF(AL237=0,"",ROUNDUP(AL231/AL237,0))</f>
        <v/>
      </c>
    </row>
    <row r="238" spans="1:81" ht="17.100000000000001" customHeight="1">
      <c r="A238" s="174"/>
      <c r="B238" s="30" t="s">
        <v>25</v>
      </c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39"/>
      <c r="P238" s="39"/>
      <c r="Q238" s="39"/>
      <c r="R238" s="39"/>
      <c r="S238" s="39"/>
      <c r="T238" s="39"/>
      <c r="U238" s="39"/>
      <c r="V238" s="39"/>
      <c r="W238" s="39"/>
      <c r="X238" s="39"/>
      <c r="Y238" s="39"/>
      <c r="Z238" s="39"/>
      <c r="AA238" s="39"/>
      <c r="AB238" s="39"/>
      <c r="AC238" s="39"/>
      <c r="AD238" s="39"/>
      <c r="AE238" s="39"/>
      <c r="AF238" s="39"/>
      <c r="AG238" s="39"/>
      <c r="AH238" s="39"/>
      <c r="AI238" s="39"/>
      <c r="AJ238" s="39"/>
      <c r="AK238" s="39"/>
      <c r="AL238" s="39"/>
      <c r="AM238" s="39"/>
      <c r="AN238" s="40" t="str">
        <f t="shared" si="844"/>
        <v/>
      </c>
      <c r="AO238" s="39"/>
      <c r="AP238" s="39"/>
      <c r="AQ238" s="42">
        <f t="shared" si="845"/>
        <v>0</v>
      </c>
      <c r="AR238" s="25">
        <f t="shared" si="846"/>
        <v>0</v>
      </c>
      <c r="AT238" s="3" t="str">
        <f t="shared" ref="AT238:CA238" si="856">IF(C238=0,"",ROUNDUP(C231/C238,0))</f>
        <v/>
      </c>
      <c r="AU238" s="3" t="str">
        <f t="shared" si="856"/>
        <v/>
      </c>
      <c r="AV238" s="3" t="str">
        <f t="shared" si="856"/>
        <v/>
      </c>
      <c r="AW238" s="3" t="str">
        <f t="shared" si="856"/>
        <v/>
      </c>
      <c r="AX238" s="3" t="str">
        <f t="shared" si="856"/>
        <v/>
      </c>
      <c r="AY238" s="3" t="str">
        <f t="shared" si="856"/>
        <v/>
      </c>
      <c r="AZ238" s="3" t="str">
        <f t="shared" si="856"/>
        <v/>
      </c>
      <c r="BA238" s="3" t="str">
        <f t="shared" si="856"/>
        <v/>
      </c>
      <c r="BB238" s="3" t="str">
        <f t="shared" si="856"/>
        <v/>
      </c>
      <c r="BC238" s="3" t="str">
        <f t="shared" si="856"/>
        <v/>
      </c>
      <c r="BD238" s="3" t="str">
        <f t="shared" si="856"/>
        <v/>
      </c>
      <c r="BE238" s="3" t="str">
        <f t="shared" si="856"/>
        <v/>
      </c>
      <c r="BF238" s="3" t="str">
        <f t="shared" si="856"/>
        <v/>
      </c>
      <c r="BG238" s="3" t="str">
        <f t="shared" si="856"/>
        <v/>
      </c>
      <c r="BH238" s="3" t="str">
        <f t="shared" si="856"/>
        <v/>
      </c>
      <c r="BI238" s="3" t="str">
        <f t="shared" si="856"/>
        <v/>
      </c>
      <c r="BJ238" s="3" t="str">
        <f t="shared" si="856"/>
        <v/>
      </c>
      <c r="BK238" s="3" t="str">
        <f t="shared" si="856"/>
        <v/>
      </c>
      <c r="BL238" s="3" t="str">
        <f t="shared" si="856"/>
        <v/>
      </c>
      <c r="BM238" s="3" t="str">
        <f t="shared" si="856"/>
        <v/>
      </c>
      <c r="BN238" s="3" t="str">
        <f t="shared" si="856"/>
        <v/>
      </c>
      <c r="BO238" s="3" t="str">
        <f t="shared" si="856"/>
        <v/>
      </c>
      <c r="BP238" s="3" t="str">
        <f t="shared" si="856"/>
        <v/>
      </c>
      <c r="BQ238" s="3" t="str">
        <f t="shared" si="856"/>
        <v/>
      </c>
      <c r="BR238" s="3" t="str">
        <f t="shared" si="856"/>
        <v/>
      </c>
      <c r="BS238" s="3" t="str">
        <f t="shared" si="856"/>
        <v/>
      </c>
      <c r="BT238" s="3" t="str">
        <f t="shared" si="856"/>
        <v/>
      </c>
      <c r="BU238" s="3" t="str">
        <f t="shared" si="856"/>
        <v/>
      </c>
      <c r="BV238" s="3" t="str">
        <f t="shared" si="856"/>
        <v/>
      </c>
      <c r="BW238" s="3" t="str">
        <f t="shared" si="856"/>
        <v/>
      </c>
      <c r="BX238" s="3" t="str">
        <f t="shared" si="856"/>
        <v/>
      </c>
      <c r="BY238" s="3" t="str">
        <f t="shared" si="856"/>
        <v/>
      </c>
      <c r="BZ238" s="3" t="str">
        <f t="shared" si="856"/>
        <v/>
      </c>
      <c r="CA238" s="3" t="str">
        <f t="shared" si="856"/>
        <v/>
      </c>
      <c r="CB238" s="3" t="str">
        <f t="shared" ref="CB238" si="857">IF(AK238=0,"",ROUNDUP(AK231/AK238,0))</f>
        <v/>
      </c>
      <c r="CC238" s="3" t="str">
        <f t="shared" ref="CC238" si="858">IF(AL238=0,"",ROUNDUP(AL231/AL238,0))</f>
        <v/>
      </c>
    </row>
    <row r="239" spans="1:81" ht="17.100000000000001" customHeight="1">
      <c r="A239" s="174"/>
      <c r="B239" s="30" t="s">
        <v>26</v>
      </c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39"/>
      <c r="P239" s="39"/>
      <c r="Q239" s="39"/>
      <c r="R239" s="39"/>
      <c r="S239" s="39"/>
      <c r="T239" s="39"/>
      <c r="U239" s="39"/>
      <c r="V239" s="39"/>
      <c r="W239" s="39"/>
      <c r="X239" s="39"/>
      <c r="Y239" s="39"/>
      <c r="Z239" s="39"/>
      <c r="AA239" s="39"/>
      <c r="AB239" s="39"/>
      <c r="AC239" s="39"/>
      <c r="AD239" s="39"/>
      <c r="AE239" s="39"/>
      <c r="AF239" s="39"/>
      <c r="AG239" s="39"/>
      <c r="AH239" s="39"/>
      <c r="AI239" s="39"/>
      <c r="AJ239" s="39"/>
      <c r="AK239" s="39"/>
      <c r="AL239" s="39"/>
      <c r="AM239" s="39"/>
      <c r="AN239" s="40" t="str">
        <f>IF(AM239="","",SUM(C239:AL239)*AM239)</f>
        <v/>
      </c>
      <c r="AO239" s="39"/>
      <c r="AP239" s="39"/>
      <c r="AQ239" s="42">
        <f t="shared" si="845"/>
        <v>0</v>
      </c>
      <c r="AR239" s="25">
        <f t="shared" si="846"/>
        <v>0</v>
      </c>
      <c r="AT239" s="3" t="str">
        <f t="shared" ref="AT239:CA239" si="859">IF(C239=0,"",ROUNDUP(C231/C239,0))</f>
        <v/>
      </c>
      <c r="AU239" s="3" t="str">
        <f t="shared" si="859"/>
        <v/>
      </c>
      <c r="AV239" s="3" t="str">
        <f t="shared" si="859"/>
        <v/>
      </c>
      <c r="AW239" s="3" t="str">
        <f t="shared" si="859"/>
        <v/>
      </c>
      <c r="AX239" s="3" t="str">
        <f t="shared" si="859"/>
        <v/>
      </c>
      <c r="AY239" s="3" t="str">
        <f t="shared" si="859"/>
        <v/>
      </c>
      <c r="AZ239" s="3" t="str">
        <f t="shared" si="859"/>
        <v/>
      </c>
      <c r="BA239" s="3" t="str">
        <f t="shared" si="859"/>
        <v/>
      </c>
      <c r="BB239" s="3" t="str">
        <f t="shared" si="859"/>
        <v/>
      </c>
      <c r="BC239" s="3" t="str">
        <f t="shared" si="859"/>
        <v/>
      </c>
      <c r="BD239" s="3" t="str">
        <f t="shared" si="859"/>
        <v/>
      </c>
      <c r="BE239" s="3" t="str">
        <f t="shared" si="859"/>
        <v/>
      </c>
      <c r="BF239" s="3" t="str">
        <f t="shared" si="859"/>
        <v/>
      </c>
      <c r="BG239" s="3" t="str">
        <f t="shared" si="859"/>
        <v/>
      </c>
      <c r="BH239" s="3" t="str">
        <f t="shared" si="859"/>
        <v/>
      </c>
      <c r="BI239" s="3" t="str">
        <f t="shared" si="859"/>
        <v/>
      </c>
      <c r="BJ239" s="3" t="str">
        <f t="shared" si="859"/>
        <v/>
      </c>
      <c r="BK239" s="3" t="str">
        <f t="shared" si="859"/>
        <v/>
      </c>
      <c r="BL239" s="3" t="str">
        <f t="shared" si="859"/>
        <v/>
      </c>
      <c r="BM239" s="3" t="str">
        <f t="shared" si="859"/>
        <v/>
      </c>
      <c r="BN239" s="3" t="str">
        <f t="shared" si="859"/>
        <v/>
      </c>
      <c r="BO239" s="3" t="str">
        <f t="shared" si="859"/>
        <v/>
      </c>
      <c r="BP239" s="3" t="str">
        <f t="shared" si="859"/>
        <v/>
      </c>
      <c r="BQ239" s="3" t="str">
        <f t="shared" si="859"/>
        <v/>
      </c>
      <c r="BR239" s="3" t="str">
        <f t="shared" si="859"/>
        <v/>
      </c>
      <c r="BS239" s="3" t="str">
        <f t="shared" si="859"/>
        <v/>
      </c>
      <c r="BT239" s="3" t="str">
        <f t="shared" si="859"/>
        <v/>
      </c>
      <c r="BU239" s="3" t="str">
        <f t="shared" si="859"/>
        <v/>
      </c>
      <c r="BV239" s="3" t="str">
        <f t="shared" si="859"/>
        <v/>
      </c>
      <c r="BW239" s="3" t="str">
        <f t="shared" si="859"/>
        <v/>
      </c>
      <c r="BX239" s="3" t="str">
        <f t="shared" si="859"/>
        <v/>
      </c>
      <c r="BY239" s="3" t="str">
        <f t="shared" si="859"/>
        <v/>
      </c>
      <c r="BZ239" s="3" t="str">
        <f t="shared" si="859"/>
        <v/>
      </c>
      <c r="CA239" s="3" t="str">
        <f t="shared" si="859"/>
        <v/>
      </c>
      <c r="CB239" s="3" t="str">
        <f t="shared" ref="CB239" si="860">IF(AK239=0,"",ROUNDUP(AK231/AK239,0))</f>
        <v/>
      </c>
      <c r="CC239" s="3" t="str">
        <f t="shared" ref="CC239" si="861">IF(AL239=0,"",ROUNDUP(AL231/AL239,0))</f>
        <v/>
      </c>
    </row>
    <row r="240" spans="1:81" ht="17.100000000000001" customHeight="1">
      <c r="A240" s="174"/>
      <c r="B240" s="30" t="s">
        <v>27</v>
      </c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39"/>
      <c r="S240" s="39"/>
      <c r="T240" s="39"/>
      <c r="U240" s="39"/>
      <c r="V240" s="39"/>
      <c r="W240" s="39"/>
      <c r="X240" s="39"/>
      <c r="Y240" s="39"/>
      <c r="Z240" s="39"/>
      <c r="AA240" s="39"/>
      <c r="AB240" s="39"/>
      <c r="AC240" s="39"/>
      <c r="AD240" s="39"/>
      <c r="AE240" s="39"/>
      <c r="AF240" s="39"/>
      <c r="AG240" s="39"/>
      <c r="AH240" s="39"/>
      <c r="AI240" s="39"/>
      <c r="AJ240" s="39"/>
      <c r="AK240" s="39"/>
      <c r="AL240" s="39"/>
      <c r="AM240" s="39"/>
      <c r="AN240" s="40" t="str">
        <f t="shared" ref="AN240:AN241" si="862">IF(AM240="","",SUM(C240:AL240)*AM240)</f>
        <v/>
      </c>
      <c r="AO240" s="39"/>
      <c r="AP240" s="39"/>
      <c r="AQ240" s="42">
        <f t="shared" si="845"/>
        <v>0</v>
      </c>
      <c r="AR240" s="25">
        <f t="shared" si="846"/>
        <v>0</v>
      </c>
      <c r="AT240" s="3" t="str">
        <f t="shared" ref="AT240:CA240" si="863">IF(C240=0,"",ROUNDUP(C231/C240,0))</f>
        <v/>
      </c>
      <c r="AU240" s="3" t="str">
        <f t="shared" si="863"/>
        <v/>
      </c>
      <c r="AV240" s="3" t="str">
        <f t="shared" si="863"/>
        <v/>
      </c>
      <c r="AW240" s="3" t="str">
        <f t="shared" si="863"/>
        <v/>
      </c>
      <c r="AX240" s="3" t="str">
        <f t="shared" si="863"/>
        <v/>
      </c>
      <c r="AY240" s="3" t="str">
        <f t="shared" si="863"/>
        <v/>
      </c>
      <c r="AZ240" s="3" t="str">
        <f t="shared" si="863"/>
        <v/>
      </c>
      <c r="BA240" s="3" t="str">
        <f t="shared" si="863"/>
        <v/>
      </c>
      <c r="BB240" s="3" t="str">
        <f t="shared" si="863"/>
        <v/>
      </c>
      <c r="BC240" s="3" t="str">
        <f t="shared" si="863"/>
        <v/>
      </c>
      <c r="BD240" s="3" t="str">
        <f t="shared" si="863"/>
        <v/>
      </c>
      <c r="BE240" s="3" t="str">
        <f t="shared" si="863"/>
        <v/>
      </c>
      <c r="BF240" s="3" t="str">
        <f t="shared" si="863"/>
        <v/>
      </c>
      <c r="BG240" s="3" t="str">
        <f t="shared" si="863"/>
        <v/>
      </c>
      <c r="BH240" s="3" t="str">
        <f t="shared" si="863"/>
        <v/>
      </c>
      <c r="BI240" s="3" t="str">
        <f t="shared" si="863"/>
        <v/>
      </c>
      <c r="BJ240" s="3" t="str">
        <f t="shared" si="863"/>
        <v/>
      </c>
      <c r="BK240" s="3" t="str">
        <f t="shared" si="863"/>
        <v/>
      </c>
      <c r="BL240" s="3" t="str">
        <f t="shared" si="863"/>
        <v/>
      </c>
      <c r="BM240" s="3" t="str">
        <f t="shared" si="863"/>
        <v/>
      </c>
      <c r="BN240" s="3" t="str">
        <f t="shared" si="863"/>
        <v/>
      </c>
      <c r="BO240" s="3" t="str">
        <f t="shared" si="863"/>
        <v/>
      </c>
      <c r="BP240" s="3" t="str">
        <f t="shared" si="863"/>
        <v/>
      </c>
      <c r="BQ240" s="3" t="str">
        <f t="shared" si="863"/>
        <v/>
      </c>
      <c r="BR240" s="3" t="str">
        <f t="shared" si="863"/>
        <v/>
      </c>
      <c r="BS240" s="3" t="str">
        <f t="shared" si="863"/>
        <v/>
      </c>
      <c r="BT240" s="3" t="str">
        <f t="shared" si="863"/>
        <v/>
      </c>
      <c r="BU240" s="3" t="str">
        <f t="shared" si="863"/>
        <v/>
      </c>
      <c r="BV240" s="3" t="str">
        <f t="shared" si="863"/>
        <v/>
      </c>
      <c r="BW240" s="3" t="str">
        <f t="shared" si="863"/>
        <v/>
      </c>
      <c r="BX240" s="3" t="str">
        <f t="shared" si="863"/>
        <v/>
      </c>
      <c r="BY240" s="3" t="str">
        <f t="shared" si="863"/>
        <v/>
      </c>
      <c r="BZ240" s="3" t="str">
        <f t="shared" si="863"/>
        <v/>
      </c>
      <c r="CA240" s="3" t="str">
        <f t="shared" si="863"/>
        <v/>
      </c>
      <c r="CB240" s="3" t="str">
        <f t="shared" ref="CB240" si="864">IF(AK240=0,"",ROUNDUP(AK231/AK240,0))</f>
        <v/>
      </c>
      <c r="CC240" s="3" t="str">
        <f t="shared" ref="CC240" si="865">IF(AL240=0,"",ROUNDUP(AL231/AL240,0))</f>
        <v/>
      </c>
    </row>
    <row r="241" spans="1:81" ht="17.100000000000001" customHeight="1">
      <c r="A241" s="175"/>
      <c r="B241" s="30" t="s">
        <v>28</v>
      </c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39"/>
      <c r="P241" s="39"/>
      <c r="Q241" s="39"/>
      <c r="R241" s="39"/>
      <c r="S241" s="39"/>
      <c r="T241" s="39"/>
      <c r="U241" s="39"/>
      <c r="V241" s="39"/>
      <c r="W241" s="39"/>
      <c r="X241" s="39"/>
      <c r="Y241" s="39"/>
      <c r="Z241" s="39"/>
      <c r="AA241" s="39"/>
      <c r="AB241" s="39"/>
      <c r="AC241" s="39"/>
      <c r="AD241" s="39"/>
      <c r="AE241" s="39"/>
      <c r="AF241" s="39"/>
      <c r="AG241" s="39"/>
      <c r="AH241" s="39"/>
      <c r="AI241" s="39"/>
      <c r="AJ241" s="39"/>
      <c r="AK241" s="39"/>
      <c r="AL241" s="39"/>
      <c r="AM241" s="39"/>
      <c r="AN241" s="41" t="str">
        <f t="shared" si="862"/>
        <v/>
      </c>
      <c r="AO241" s="39"/>
      <c r="AP241" s="39"/>
      <c r="AQ241" s="42">
        <f t="shared" si="845"/>
        <v>0</v>
      </c>
      <c r="AR241" s="25">
        <f t="shared" si="846"/>
        <v>0</v>
      </c>
      <c r="AT241" s="3" t="str">
        <f t="shared" ref="AT241:CA241" si="866">IF(C241=0,"",ROUNDUP(C231/C241,0))</f>
        <v/>
      </c>
      <c r="AU241" s="3" t="str">
        <f t="shared" si="866"/>
        <v/>
      </c>
      <c r="AV241" s="3" t="str">
        <f t="shared" si="866"/>
        <v/>
      </c>
      <c r="AW241" s="3" t="str">
        <f t="shared" si="866"/>
        <v/>
      </c>
      <c r="AX241" s="3" t="str">
        <f t="shared" si="866"/>
        <v/>
      </c>
      <c r="AY241" s="3" t="str">
        <f t="shared" si="866"/>
        <v/>
      </c>
      <c r="AZ241" s="3" t="str">
        <f t="shared" si="866"/>
        <v/>
      </c>
      <c r="BA241" s="3" t="str">
        <f t="shared" si="866"/>
        <v/>
      </c>
      <c r="BB241" s="3" t="str">
        <f t="shared" si="866"/>
        <v/>
      </c>
      <c r="BC241" s="3" t="str">
        <f t="shared" si="866"/>
        <v/>
      </c>
      <c r="BD241" s="3" t="str">
        <f t="shared" si="866"/>
        <v/>
      </c>
      <c r="BE241" s="3" t="str">
        <f t="shared" si="866"/>
        <v/>
      </c>
      <c r="BF241" s="3" t="str">
        <f t="shared" si="866"/>
        <v/>
      </c>
      <c r="BG241" s="3" t="str">
        <f t="shared" si="866"/>
        <v/>
      </c>
      <c r="BH241" s="3" t="str">
        <f t="shared" si="866"/>
        <v/>
      </c>
      <c r="BI241" s="3" t="str">
        <f t="shared" si="866"/>
        <v/>
      </c>
      <c r="BJ241" s="3" t="str">
        <f t="shared" si="866"/>
        <v/>
      </c>
      <c r="BK241" s="3" t="str">
        <f t="shared" si="866"/>
        <v/>
      </c>
      <c r="BL241" s="3" t="str">
        <f t="shared" si="866"/>
        <v/>
      </c>
      <c r="BM241" s="3" t="str">
        <f t="shared" si="866"/>
        <v/>
      </c>
      <c r="BN241" s="3" t="str">
        <f t="shared" si="866"/>
        <v/>
      </c>
      <c r="BO241" s="3" t="str">
        <f t="shared" si="866"/>
        <v/>
      </c>
      <c r="BP241" s="3" t="str">
        <f t="shared" si="866"/>
        <v/>
      </c>
      <c r="BQ241" s="3" t="str">
        <f t="shared" si="866"/>
        <v/>
      </c>
      <c r="BR241" s="3" t="str">
        <f t="shared" si="866"/>
        <v/>
      </c>
      <c r="BS241" s="3" t="str">
        <f t="shared" si="866"/>
        <v/>
      </c>
      <c r="BT241" s="3" t="str">
        <f t="shared" si="866"/>
        <v/>
      </c>
      <c r="BU241" s="3" t="str">
        <f t="shared" si="866"/>
        <v/>
      </c>
      <c r="BV241" s="3" t="str">
        <f t="shared" si="866"/>
        <v/>
      </c>
      <c r="BW241" s="3" t="str">
        <f t="shared" si="866"/>
        <v/>
      </c>
      <c r="BX241" s="3" t="str">
        <f t="shared" si="866"/>
        <v/>
      </c>
      <c r="BY241" s="3" t="str">
        <f t="shared" si="866"/>
        <v/>
      </c>
      <c r="BZ241" s="3" t="str">
        <f t="shared" si="866"/>
        <v/>
      </c>
      <c r="CA241" s="3" t="str">
        <f t="shared" si="866"/>
        <v/>
      </c>
      <c r="CB241" s="3" t="str">
        <f t="shared" ref="CB241" si="867">IF(AK241=0,"",ROUNDUP(AK231/AK241,0))</f>
        <v/>
      </c>
      <c r="CC241" s="3" t="str">
        <f t="shared" ref="CC241" si="868">IF(AL241=0,"",ROUNDUP(AL231/AL241,0))</f>
        <v/>
      </c>
    </row>
    <row r="242" spans="1:81" ht="17.100000000000001" customHeight="1" thickBot="1">
      <c r="AN242" s="7">
        <f>SUM(AN234:AN241)</f>
        <v>0</v>
      </c>
      <c r="AQ242" s="12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</row>
    <row r="243" spans="1:81" ht="21.95" customHeight="1" outlineLevel="1" thickBot="1">
      <c r="A243" s="201">
        <v>16</v>
      </c>
      <c r="B243" s="202"/>
      <c r="C243" s="203"/>
      <c r="AQ243" s="12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</row>
    <row r="244" spans="1:81" ht="17.100000000000001" customHeight="1" outlineLevel="1">
      <c r="A244" s="51" t="s">
        <v>29</v>
      </c>
      <c r="B244" s="50"/>
      <c r="C244" s="147" t="s">
        <v>10</v>
      </c>
      <c r="D244" s="148"/>
      <c r="E244" s="148"/>
      <c r="F244" s="148"/>
      <c r="G244" s="148"/>
      <c r="H244" s="148"/>
      <c r="I244" s="148"/>
      <c r="J244" s="148"/>
      <c r="K244" s="148"/>
      <c r="L244" s="148"/>
      <c r="M244" s="148"/>
      <c r="N244" s="148"/>
      <c r="O244" s="148"/>
      <c r="P244" s="148"/>
      <c r="Q244" s="148"/>
      <c r="R244" s="148"/>
      <c r="S244" s="148"/>
      <c r="T244" s="148"/>
      <c r="U244" s="148"/>
      <c r="V244" s="148"/>
      <c r="W244" s="148"/>
      <c r="X244" s="148"/>
      <c r="Y244" s="148"/>
      <c r="Z244" s="148"/>
      <c r="AA244" s="148"/>
      <c r="AB244" s="148"/>
      <c r="AC244" s="148"/>
      <c r="AD244" s="148"/>
      <c r="AE244" s="148"/>
      <c r="AF244" s="148"/>
      <c r="AG244" s="148"/>
      <c r="AH244" s="148"/>
      <c r="AI244" s="148"/>
      <c r="AJ244" s="148"/>
      <c r="AK244" s="148"/>
      <c r="AL244" s="148"/>
      <c r="AM244" s="10"/>
      <c r="AN244" s="31"/>
      <c r="AO244" s="35" t="s">
        <v>4</v>
      </c>
      <c r="AP244" s="149"/>
      <c r="AQ244" s="150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</row>
    <row r="245" spans="1:81" ht="27" outlineLevel="1">
      <c r="A245" s="52" t="s">
        <v>36</v>
      </c>
      <c r="B245" s="50"/>
      <c r="C245" s="26" t="str">
        <f>IF(C229=0,"",IF(C229&gt;0,C229))</f>
        <v/>
      </c>
      <c r="D245" s="26" t="str">
        <f t="shared" ref="D245:AL245" si="869">IF(D229=0,"",IF(D229&gt;0,D229))</f>
        <v/>
      </c>
      <c r="E245" s="26" t="str">
        <f t="shared" si="869"/>
        <v/>
      </c>
      <c r="F245" s="26" t="str">
        <f t="shared" si="869"/>
        <v/>
      </c>
      <c r="G245" s="26" t="str">
        <f t="shared" si="869"/>
        <v/>
      </c>
      <c r="H245" s="26" t="str">
        <f t="shared" si="869"/>
        <v/>
      </c>
      <c r="I245" s="26" t="str">
        <f t="shared" si="869"/>
        <v/>
      </c>
      <c r="J245" s="26" t="str">
        <f t="shared" si="869"/>
        <v/>
      </c>
      <c r="K245" s="26" t="str">
        <f t="shared" si="869"/>
        <v/>
      </c>
      <c r="L245" s="26" t="str">
        <f t="shared" si="869"/>
        <v/>
      </c>
      <c r="M245" s="26" t="str">
        <f t="shared" si="869"/>
        <v/>
      </c>
      <c r="N245" s="26" t="str">
        <f t="shared" si="869"/>
        <v/>
      </c>
      <c r="O245" s="26" t="str">
        <f t="shared" si="869"/>
        <v/>
      </c>
      <c r="P245" s="26" t="str">
        <f t="shared" si="869"/>
        <v/>
      </c>
      <c r="Q245" s="26" t="str">
        <f t="shared" si="869"/>
        <v/>
      </c>
      <c r="R245" s="26" t="str">
        <f t="shared" si="869"/>
        <v/>
      </c>
      <c r="S245" s="26" t="str">
        <f t="shared" si="869"/>
        <v/>
      </c>
      <c r="T245" s="26" t="str">
        <f t="shared" si="869"/>
        <v/>
      </c>
      <c r="U245" s="26" t="str">
        <f t="shared" si="869"/>
        <v/>
      </c>
      <c r="V245" s="26" t="str">
        <f t="shared" si="869"/>
        <v/>
      </c>
      <c r="W245" s="26" t="str">
        <f t="shared" si="869"/>
        <v/>
      </c>
      <c r="X245" s="26" t="str">
        <f t="shared" si="869"/>
        <v/>
      </c>
      <c r="Y245" s="26" t="str">
        <f t="shared" si="869"/>
        <v/>
      </c>
      <c r="Z245" s="26" t="str">
        <f t="shared" si="869"/>
        <v/>
      </c>
      <c r="AA245" s="26" t="str">
        <f t="shared" si="869"/>
        <v/>
      </c>
      <c r="AB245" s="26" t="str">
        <f t="shared" si="869"/>
        <v/>
      </c>
      <c r="AC245" s="26" t="str">
        <f t="shared" si="869"/>
        <v/>
      </c>
      <c r="AD245" s="26" t="str">
        <f t="shared" si="869"/>
        <v/>
      </c>
      <c r="AE245" s="26" t="str">
        <f t="shared" si="869"/>
        <v/>
      </c>
      <c r="AF245" s="26" t="str">
        <f t="shared" si="869"/>
        <v/>
      </c>
      <c r="AG245" s="26" t="str">
        <f t="shared" si="869"/>
        <v/>
      </c>
      <c r="AH245" s="26" t="str">
        <f t="shared" si="869"/>
        <v/>
      </c>
      <c r="AI245" s="26" t="str">
        <f t="shared" si="869"/>
        <v/>
      </c>
      <c r="AJ245" s="26" t="str">
        <f t="shared" si="869"/>
        <v/>
      </c>
      <c r="AK245" s="26" t="str">
        <f t="shared" si="869"/>
        <v/>
      </c>
      <c r="AL245" s="26" t="str">
        <f t="shared" si="869"/>
        <v/>
      </c>
      <c r="AM245" s="5" t="s">
        <v>2</v>
      </c>
      <c r="AN245" s="31"/>
      <c r="AO245" s="32" t="s">
        <v>5</v>
      </c>
      <c r="AP245" s="151">
        <f>SUM(AQ250:AQ257)</f>
        <v>0</v>
      </c>
      <c r="AQ245" s="151"/>
      <c r="AT245" s="2" t="str">
        <f t="shared" ref="AT245:BY245" si="870">IF(C245=0,"",IF(C245&gt;0,C245))</f>
        <v/>
      </c>
      <c r="AU245" s="2" t="str">
        <f t="shared" si="870"/>
        <v/>
      </c>
      <c r="AV245" s="2" t="str">
        <f t="shared" si="870"/>
        <v/>
      </c>
      <c r="AW245" s="2" t="str">
        <f t="shared" si="870"/>
        <v/>
      </c>
      <c r="AX245" s="2" t="str">
        <f t="shared" si="870"/>
        <v/>
      </c>
      <c r="AY245" s="2" t="str">
        <f t="shared" si="870"/>
        <v/>
      </c>
      <c r="AZ245" s="2" t="str">
        <f t="shared" si="870"/>
        <v/>
      </c>
      <c r="BA245" s="2" t="str">
        <f t="shared" si="870"/>
        <v/>
      </c>
      <c r="BB245" s="2" t="str">
        <f t="shared" si="870"/>
        <v/>
      </c>
      <c r="BC245" s="2" t="str">
        <f t="shared" si="870"/>
        <v/>
      </c>
      <c r="BD245" s="2" t="str">
        <f t="shared" si="870"/>
        <v/>
      </c>
      <c r="BE245" s="2" t="str">
        <f t="shared" si="870"/>
        <v/>
      </c>
      <c r="BF245" s="2" t="str">
        <f t="shared" si="870"/>
        <v/>
      </c>
      <c r="BG245" s="2" t="str">
        <f t="shared" si="870"/>
        <v/>
      </c>
      <c r="BH245" s="2" t="str">
        <f t="shared" si="870"/>
        <v/>
      </c>
      <c r="BI245" s="2" t="str">
        <f t="shared" si="870"/>
        <v/>
      </c>
      <c r="BJ245" s="2" t="str">
        <f t="shared" si="870"/>
        <v/>
      </c>
      <c r="BK245" s="2" t="str">
        <f t="shared" si="870"/>
        <v/>
      </c>
      <c r="BL245" s="2" t="str">
        <f t="shared" si="870"/>
        <v/>
      </c>
      <c r="BM245" s="2" t="str">
        <f t="shared" si="870"/>
        <v/>
      </c>
      <c r="BN245" s="2" t="str">
        <f t="shared" si="870"/>
        <v/>
      </c>
      <c r="BO245" s="2" t="str">
        <f t="shared" si="870"/>
        <v/>
      </c>
      <c r="BP245" s="2" t="str">
        <f t="shared" si="870"/>
        <v/>
      </c>
      <c r="BQ245" s="2" t="str">
        <f t="shared" si="870"/>
        <v/>
      </c>
      <c r="BR245" s="2" t="str">
        <f t="shared" si="870"/>
        <v/>
      </c>
      <c r="BS245" s="2" t="str">
        <f t="shared" si="870"/>
        <v/>
      </c>
      <c r="BT245" s="2" t="str">
        <f t="shared" si="870"/>
        <v/>
      </c>
      <c r="BU245" s="2" t="str">
        <f t="shared" si="870"/>
        <v/>
      </c>
      <c r="BV245" s="2" t="str">
        <f t="shared" si="870"/>
        <v/>
      </c>
      <c r="BW245" s="2" t="str">
        <f t="shared" si="870"/>
        <v/>
      </c>
      <c r="BX245" s="2" t="str">
        <f t="shared" si="870"/>
        <v/>
      </c>
      <c r="BY245" s="2" t="str">
        <f t="shared" si="870"/>
        <v/>
      </c>
      <c r="BZ245" s="2" t="str">
        <f t="shared" ref="BZ245" si="871">IF(AI245=0,"",IF(AI245&gt;0,AI245))</f>
        <v/>
      </c>
      <c r="CA245" s="2" t="str">
        <f t="shared" ref="CA245" si="872">IF(AJ245=0,"",IF(AJ245&gt;0,AJ245))</f>
        <v/>
      </c>
      <c r="CB245" s="2" t="str">
        <f t="shared" ref="CB245" si="873">IF(AK245=0,"",IF(AK245&gt;0,AK245))</f>
        <v/>
      </c>
      <c r="CC245" s="2" t="str">
        <f t="shared" ref="CC245" si="874">IF(AL245=0,"",IF(AL245&gt;0,AL245))</f>
        <v/>
      </c>
    </row>
    <row r="246" spans="1:81" ht="17.100000000000001" customHeight="1" outlineLevel="1">
      <c r="A246" s="152" t="s">
        <v>30</v>
      </c>
      <c r="B246" s="153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46"/>
      <c r="P246" s="46"/>
      <c r="Q246" s="46"/>
      <c r="R246" s="46"/>
      <c r="S246" s="46"/>
      <c r="T246" s="46"/>
      <c r="U246" s="46"/>
      <c r="V246" s="46"/>
      <c r="W246" s="46"/>
      <c r="X246" s="46"/>
      <c r="Y246" s="46"/>
      <c r="Z246" s="46"/>
      <c r="AA246" s="46"/>
      <c r="AB246" s="46"/>
      <c r="AC246" s="46"/>
      <c r="AD246" s="46"/>
      <c r="AE246" s="46"/>
      <c r="AF246" s="46"/>
      <c r="AG246" s="46"/>
      <c r="AH246" s="46"/>
      <c r="AI246" s="46"/>
      <c r="AJ246" s="46"/>
      <c r="AK246" s="46"/>
      <c r="AL246" s="46"/>
      <c r="AM246" s="45">
        <f>SUM(C246:AL246)</f>
        <v>0</v>
      </c>
      <c r="AN246" s="33"/>
      <c r="AO246" s="34" t="str">
        <f>IF(AP246&lt;5,"NO ",IF(AP246=5,"ok",IF(AP246&gt;5,"ok")))</f>
        <v xml:space="preserve">NO </v>
      </c>
      <c r="AP246" s="154">
        <f>AP244-AP245-AP247</f>
        <v>0</v>
      </c>
      <c r="AQ246" s="154"/>
      <c r="AR246" s="16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</row>
    <row r="247" spans="1:81" ht="17.100000000000001" customHeight="1" outlineLevel="1">
      <c r="A247" s="152"/>
      <c r="B247" s="153"/>
      <c r="C247" s="47" t="str">
        <f>IF(C245="","",C246-C250*$AM250-C251*$AM251-C252*$AM252-C253*$AM253-C254*$AM254-C255*$AM255-C256*$AM256-C257*$AM257)</f>
        <v/>
      </c>
      <c r="D247" s="47" t="str">
        <f t="shared" ref="D247" si="875">IF(D245="","",D246-D250*$AM250-D251*$AM251-D252*$AM252-D253*$AM253-D254*$AM254-D255*$AM255-D256*$AM256-D257*$AM257)</f>
        <v/>
      </c>
      <c r="E247" s="47" t="str">
        <f t="shared" ref="E247" si="876">IF(E245="","",E246-E250*$AM250-E251*$AM251-E252*$AM252-E253*$AM253-E254*$AM254-E255*$AM255-E256*$AM256-E257*$AM257)</f>
        <v/>
      </c>
      <c r="F247" s="47" t="str">
        <f t="shared" ref="F247" si="877">IF(F245="","",F246-F250*$AM250-F251*$AM251-F252*$AM252-F253*$AM253-F254*$AM254-F255*$AM255-F256*$AM256-F257*$AM257)</f>
        <v/>
      </c>
      <c r="G247" s="47" t="str">
        <f t="shared" ref="G247" si="878">IF(G245="","",G246-G250*$AM250-G251*$AM251-G252*$AM252-G253*$AM253-G254*$AM254-G255*$AM255-G256*$AM256-G257*$AM257)</f>
        <v/>
      </c>
      <c r="H247" s="47" t="str">
        <f t="shared" ref="H247" si="879">IF(H245="","",H246-H250*$AM250-H251*$AM251-H252*$AM252-H253*$AM253-H254*$AM254-H255*$AM255-H256*$AM256-H257*$AM257)</f>
        <v/>
      </c>
      <c r="I247" s="47" t="str">
        <f t="shared" ref="I247" si="880">IF(I245="","",I246-I250*$AM250-I251*$AM251-I252*$AM252-I253*$AM253-I254*$AM254-I255*$AM255-I256*$AM256-I257*$AM257)</f>
        <v/>
      </c>
      <c r="J247" s="47" t="str">
        <f t="shared" ref="J247" si="881">IF(J245="","",J246-J250*$AM250-J251*$AM251-J252*$AM252-J253*$AM253-J254*$AM254-J255*$AM255-J256*$AM256-J257*$AM257)</f>
        <v/>
      </c>
      <c r="K247" s="47" t="str">
        <f t="shared" ref="K247" si="882">IF(K245="","",K246-K250*$AM250-K251*$AM251-K252*$AM252-K253*$AM253-K254*$AM254-K255*$AM255-K256*$AM256-K257*$AM257)</f>
        <v/>
      </c>
      <c r="L247" s="47" t="str">
        <f t="shared" ref="L247" si="883">IF(L245="","",L246-L250*$AM250-L251*$AM251-L252*$AM252-L253*$AM253-L254*$AM254-L255*$AM255-L256*$AM256-L257*$AM257)</f>
        <v/>
      </c>
      <c r="M247" s="47" t="str">
        <f t="shared" ref="M247" si="884">IF(M245="","",M246-M250*$AM250-M251*$AM251-M252*$AM252-M253*$AM253-M254*$AM254-M255*$AM255-M256*$AM256-M257*$AM257)</f>
        <v/>
      </c>
      <c r="N247" s="47" t="str">
        <f t="shared" ref="N247" si="885">IF(N245="","",N246-N250*$AM250-N251*$AM251-N252*$AM252-N253*$AM253-N254*$AM254-N255*$AM255-N256*$AM256-N257*$AM257)</f>
        <v/>
      </c>
      <c r="O247" s="47" t="str">
        <f t="shared" ref="O247" si="886">IF(O245="","",O246-O250*$AM250-O251*$AM251-O252*$AM252-O253*$AM253-O254*$AM254-O255*$AM255-O256*$AM256-O257*$AM257)</f>
        <v/>
      </c>
      <c r="P247" s="47" t="str">
        <f t="shared" ref="P247" si="887">IF(P245="","",P246-P250*$AM250-P251*$AM251-P252*$AM252-P253*$AM253-P254*$AM254-P255*$AM255-P256*$AM256-P257*$AM257)</f>
        <v/>
      </c>
      <c r="Q247" s="47" t="str">
        <f t="shared" ref="Q247" si="888">IF(Q245="","",Q246-Q250*$AM250-Q251*$AM251-Q252*$AM252-Q253*$AM253-Q254*$AM254-Q255*$AM255-Q256*$AM256-Q257*$AM257)</f>
        <v/>
      </c>
      <c r="R247" s="47" t="str">
        <f t="shared" ref="R247" si="889">IF(R245="","",R246-R250*$AM250-R251*$AM251-R252*$AM252-R253*$AM253-R254*$AM254-R255*$AM255-R256*$AM256-R257*$AM257)</f>
        <v/>
      </c>
      <c r="S247" s="47" t="str">
        <f t="shared" ref="S247" si="890">IF(S245="","",S246-S250*$AM250-S251*$AM251-S252*$AM252-S253*$AM253-S254*$AM254-S255*$AM255-S256*$AM256-S257*$AM257)</f>
        <v/>
      </c>
      <c r="T247" s="47" t="str">
        <f t="shared" ref="T247" si="891">IF(T245="","",T246-T250*$AM250-T251*$AM251-T252*$AM252-T253*$AM253-T254*$AM254-T255*$AM255-T256*$AM256-T257*$AM257)</f>
        <v/>
      </c>
      <c r="U247" s="47" t="str">
        <f t="shared" ref="U247" si="892">IF(U245="","",U246-U250*$AM250-U251*$AM251-U252*$AM252-U253*$AM253-U254*$AM254-U255*$AM255-U256*$AM256-U257*$AM257)</f>
        <v/>
      </c>
      <c r="V247" s="47" t="str">
        <f t="shared" ref="V247" si="893">IF(V245="","",V246-V250*$AM250-V251*$AM251-V252*$AM252-V253*$AM253-V254*$AM254-V255*$AM255-V256*$AM256-V257*$AM257)</f>
        <v/>
      </c>
      <c r="W247" s="47" t="str">
        <f t="shared" ref="W247" si="894">IF(W245="","",W246-W250*$AM250-W251*$AM251-W252*$AM252-W253*$AM253-W254*$AM254-W255*$AM255-W256*$AM256-W257*$AM257)</f>
        <v/>
      </c>
      <c r="X247" s="47" t="str">
        <f t="shared" ref="X247" si="895">IF(X245="","",X246-X250*$AM250-X251*$AM251-X252*$AM252-X253*$AM253-X254*$AM254-X255*$AM255-X256*$AM256-X257*$AM257)</f>
        <v/>
      </c>
      <c r="Y247" s="47" t="str">
        <f t="shared" ref="Y247" si="896">IF(Y245="","",Y246-Y250*$AM250-Y251*$AM251-Y252*$AM252-Y253*$AM253-Y254*$AM254-Y255*$AM255-Y256*$AM256-Y257*$AM257)</f>
        <v/>
      </c>
      <c r="Z247" s="47" t="str">
        <f t="shared" ref="Z247" si="897">IF(Z245="","",Z246-Z250*$AM250-Z251*$AM251-Z252*$AM252-Z253*$AM253-Z254*$AM254-Z255*$AM255-Z256*$AM256-Z257*$AM257)</f>
        <v/>
      </c>
      <c r="AA247" s="47" t="str">
        <f t="shared" ref="AA247" si="898">IF(AA245="","",AA246-AA250*$AM250-AA251*$AM251-AA252*$AM252-AA253*$AM253-AA254*$AM254-AA255*$AM255-AA256*$AM256-AA257*$AM257)</f>
        <v/>
      </c>
      <c r="AB247" s="47" t="str">
        <f t="shared" ref="AB247" si="899">IF(AB245="","",AB246-AB250*$AM250-AB251*$AM251-AB252*$AM252-AB253*$AM253-AB254*$AM254-AB255*$AM255-AB256*$AM256-AB257*$AM257)</f>
        <v/>
      </c>
      <c r="AC247" s="47" t="str">
        <f t="shared" ref="AC247" si="900">IF(AC245="","",AC246-AC250*$AM250-AC251*$AM251-AC252*$AM252-AC253*$AM253-AC254*$AM254-AC255*$AM255-AC256*$AM256-AC257*$AM257)</f>
        <v/>
      </c>
      <c r="AD247" s="47" t="str">
        <f t="shared" ref="AD247" si="901">IF(AD245="","",AD246-AD250*$AM250-AD251*$AM251-AD252*$AM252-AD253*$AM253-AD254*$AM254-AD255*$AM255-AD256*$AM256-AD257*$AM257)</f>
        <v/>
      </c>
      <c r="AE247" s="47" t="str">
        <f t="shared" ref="AE247" si="902">IF(AE245="","",AE246-AE250*$AM250-AE251*$AM251-AE252*$AM252-AE253*$AM253-AE254*$AM254-AE255*$AM255-AE256*$AM256-AE257*$AM257)</f>
        <v/>
      </c>
      <c r="AF247" s="47" t="str">
        <f t="shared" ref="AF247" si="903">IF(AF245="","",AF246-AF250*$AM250-AF251*$AM251-AF252*$AM252-AF253*$AM253-AF254*$AM254-AF255*$AM255-AF256*$AM256-AF257*$AM257)</f>
        <v/>
      </c>
      <c r="AG247" s="47" t="str">
        <f t="shared" ref="AG247" si="904">IF(AG245="","",AG246-AG250*$AM250-AG251*$AM251-AG252*$AM252-AG253*$AM253-AG254*$AM254-AG255*$AM255-AG256*$AM256-AG257*$AM257)</f>
        <v/>
      </c>
      <c r="AH247" s="47" t="str">
        <f t="shared" ref="AH247" si="905">IF(AH245="","",AH246-AH250*$AM250-AH251*$AM251-AH252*$AM252-AH253*$AM253-AH254*$AM254-AH255*$AM255-AH256*$AM256-AH257*$AM257)</f>
        <v/>
      </c>
      <c r="AI247" s="47" t="str">
        <f t="shared" ref="AI247" si="906">IF(AI245="","",AI246-AI250*$AM250-AI251*$AM251-AI252*$AM252-AI253*$AM253-AI254*$AM254-AI255*$AM255-AI256*$AM256-AI257*$AM257)</f>
        <v/>
      </c>
      <c r="AJ247" s="47" t="str">
        <f t="shared" ref="AJ247" si="907">IF(AJ245="","",AJ246-AJ250*$AM250-AJ251*$AM251-AJ252*$AM252-AJ253*$AM253-AJ254*$AM254-AJ255*$AM255-AJ256*$AM256-AJ257*$AM257)</f>
        <v/>
      </c>
      <c r="AK247" s="47" t="str">
        <f>IF(AK245="","",AK246-AK250*$AM250-AK251*$AM251-AK252*$AM252-AK253*$AM253-AK254*$AM254-AK255*$AM255-AK256*$AM256-AK257*$AM257)</f>
        <v/>
      </c>
      <c r="AL247" s="47" t="str">
        <f t="shared" ref="AL247" si="908">IF(AL245="","",AL246-AL250*$AM250-AL251*$AM251-AL252*$AM252-AL253*$AM253-AL254*$AM254-AL255*$AM255-AL256*$AM256-AL257*$AM257)</f>
        <v/>
      </c>
      <c r="AM247" s="45">
        <f>SUM(C247:AL247)</f>
        <v>0</v>
      </c>
      <c r="AN247" s="155" t="s">
        <v>33</v>
      </c>
      <c r="AO247" s="156"/>
      <c r="AP247" s="157"/>
      <c r="AQ247" s="158"/>
      <c r="AR247" s="17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</row>
    <row r="248" spans="1:81" ht="17.100000000000001" customHeight="1" outlineLevel="1">
      <c r="A248" s="177" t="s">
        <v>20</v>
      </c>
      <c r="B248" s="178"/>
      <c r="C248" s="181" t="s">
        <v>0</v>
      </c>
      <c r="D248" s="182"/>
      <c r="E248" s="182"/>
      <c r="F248" s="182"/>
      <c r="G248" s="182"/>
      <c r="H248" s="182"/>
      <c r="I248" s="182"/>
      <c r="J248" s="182"/>
      <c r="K248" s="182"/>
      <c r="L248" s="182"/>
      <c r="M248" s="182"/>
      <c r="N248" s="182"/>
      <c r="O248" s="182"/>
      <c r="P248" s="182"/>
      <c r="Q248" s="182"/>
      <c r="R248" s="182"/>
      <c r="S248" s="182"/>
      <c r="T248" s="182"/>
      <c r="U248" s="182"/>
      <c r="V248" s="182"/>
      <c r="W248" s="182"/>
      <c r="X248" s="182"/>
      <c r="Y248" s="182"/>
      <c r="Z248" s="182"/>
      <c r="AA248" s="182"/>
      <c r="AB248" s="182"/>
      <c r="AC248" s="182"/>
      <c r="AD248" s="182"/>
      <c r="AE248" s="182"/>
      <c r="AF248" s="182"/>
      <c r="AG248" s="182"/>
      <c r="AH248" s="182"/>
      <c r="AI248" s="182"/>
      <c r="AJ248" s="182"/>
      <c r="AK248" s="182"/>
      <c r="AL248" s="183"/>
      <c r="AM248" s="187" t="s">
        <v>1</v>
      </c>
      <c r="AN248" s="200" t="s">
        <v>11</v>
      </c>
      <c r="AO248" s="196" t="s">
        <v>12</v>
      </c>
      <c r="AP248" s="197"/>
      <c r="AQ248" s="193" t="s">
        <v>6</v>
      </c>
      <c r="AR248" s="24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</row>
    <row r="249" spans="1:81" ht="17.100000000000001" customHeight="1" outlineLevel="1">
      <c r="A249" s="179"/>
      <c r="B249" s="180"/>
      <c r="C249" s="184"/>
      <c r="D249" s="185"/>
      <c r="E249" s="185"/>
      <c r="F249" s="185"/>
      <c r="G249" s="185"/>
      <c r="H249" s="185"/>
      <c r="I249" s="185"/>
      <c r="J249" s="185"/>
      <c r="K249" s="185"/>
      <c r="L249" s="185"/>
      <c r="M249" s="185"/>
      <c r="N249" s="185"/>
      <c r="O249" s="185"/>
      <c r="P249" s="185"/>
      <c r="Q249" s="185"/>
      <c r="R249" s="185"/>
      <c r="S249" s="185"/>
      <c r="T249" s="185"/>
      <c r="U249" s="185"/>
      <c r="V249" s="185"/>
      <c r="W249" s="185"/>
      <c r="X249" s="185"/>
      <c r="Y249" s="185"/>
      <c r="Z249" s="185"/>
      <c r="AA249" s="185"/>
      <c r="AB249" s="185"/>
      <c r="AC249" s="185"/>
      <c r="AD249" s="185"/>
      <c r="AE249" s="185"/>
      <c r="AF249" s="185"/>
      <c r="AG249" s="185"/>
      <c r="AH249" s="185"/>
      <c r="AI249" s="185"/>
      <c r="AJ249" s="185"/>
      <c r="AK249" s="185"/>
      <c r="AL249" s="186"/>
      <c r="AM249" s="188"/>
      <c r="AN249" s="190"/>
      <c r="AO249" s="18" t="s">
        <v>3</v>
      </c>
      <c r="AP249" s="19" t="s">
        <v>13</v>
      </c>
      <c r="AQ249" s="172"/>
      <c r="AR249" s="27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</row>
    <row r="250" spans="1:81" ht="17.100000000000001" customHeight="1" outlineLevel="1">
      <c r="A250" s="173"/>
      <c r="B250" s="30" t="s">
        <v>21</v>
      </c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9"/>
      <c r="Q250" s="39"/>
      <c r="R250" s="39"/>
      <c r="S250" s="39"/>
      <c r="T250" s="39"/>
      <c r="U250" s="39"/>
      <c r="V250" s="39"/>
      <c r="W250" s="39"/>
      <c r="X250" s="39"/>
      <c r="Y250" s="39"/>
      <c r="Z250" s="39"/>
      <c r="AA250" s="39"/>
      <c r="AB250" s="39"/>
      <c r="AC250" s="39"/>
      <c r="AD250" s="39"/>
      <c r="AE250" s="39"/>
      <c r="AF250" s="39"/>
      <c r="AG250" s="39"/>
      <c r="AH250" s="39"/>
      <c r="AI250" s="39"/>
      <c r="AJ250" s="39"/>
      <c r="AK250" s="39"/>
      <c r="AL250" s="39"/>
      <c r="AM250" s="39"/>
      <c r="AN250" s="40" t="str">
        <f>IF(AM250="","",SUM(C250:AL250)*AM250)</f>
        <v/>
      </c>
      <c r="AO250" s="39"/>
      <c r="AP250" s="39"/>
      <c r="AQ250" s="42">
        <f>(AO250+AR250)*AM250</f>
        <v>0</v>
      </c>
      <c r="AR250" s="25">
        <f>AP250/36</f>
        <v>0</v>
      </c>
      <c r="AT250" s="3" t="str">
        <f t="shared" ref="AT250:CA250" si="909">IF(C250=0,"",ROUNDUP(C247/C250,0))</f>
        <v/>
      </c>
      <c r="AU250" s="3" t="str">
        <f t="shared" si="909"/>
        <v/>
      </c>
      <c r="AV250" s="3" t="str">
        <f t="shared" si="909"/>
        <v/>
      </c>
      <c r="AW250" s="3" t="str">
        <f t="shared" si="909"/>
        <v/>
      </c>
      <c r="AX250" s="3" t="str">
        <f t="shared" si="909"/>
        <v/>
      </c>
      <c r="AY250" s="3" t="str">
        <f t="shared" si="909"/>
        <v/>
      </c>
      <c r="AZ250" s="3" t="str">
        <f t="shared" si="909"/>
        <v/>
      </c>
      <c r="BA250" s="3" t="str">
        <f t="shared" si="909"/>
        <v/>
      </c>
      <c r="BB250" s="3" t="str">
        <f t="shared" si="909"/>
        <v/>
      </c>
      <c r="BC250" s="3" t="str">
        <f t="shared" si="909"/>
        <v/>
      </c>
      <c r="BD250" s="3" t="str">
        <f t="shared" si="909"/>
        <v/>
      </c>
      <c r="BE250" s="3" t="str">
        <f t="shared" si="909"/>
        <v/>
      </c>
      <c r="BF250" s="3" t="str">
        <f t="shared" si="909"/>
        <v/>
      </c>
      <c r="BG250" s="3" t="str">
        <f t="shared" si="909"/>
        <v/>
      </c>
      <c r="BH250" s="3" t="str">
        <f t="shared" si="909"/>
        <v/>
      </c>
      <c r="BI250" s="3" t="str">
        <f t="shared" si="909"/>
        <v/>
      </c>
      <c r="BJ250" s="3" t="str">
        <f t="shared" si="909"/>
        <v/>
      </c>
      <c r="BK250" s="3" t="str">
        <f t="shared" si="909"/>
        <v/>
      </c>
      <c r="BL250" s="3" t="str">
        <f t="shared" si="909"/>
        <v/>
      </c>
      <c r="BM250" s="3" t="str">
        <f t="shared" si="909"/>
        <v/>
      </c>
      <c r="BN250" s="3" t="str">
        <f t="shared" si="909"/>
        <v/>
      </c>
      <c r="BO250" s="3" t="str">
        <f t="shared" si="909"/>
        <v/>
      </c>
      <c r="BP250" s="3" t="str">
        <f t="shared" si="909"/>
        <v/>
      </c>
      <c r="BQ250" s="3" t="str">
        <f t="shared" si="909"/>
        <v/>
      </c>
      <c r="BR250" s="3" t="str">
        <f t="shared" si="909"/>
        <v/>
      </c>
      <c r="BS250" s="3" t="str">
        <f t="shared" si="909"/>
        <v/>
      </c>
      <c r="BT250" s="3" t="str">
        <f t="shared" si="909"/>
        <v/>
      </c>
      <c r="BU250" s="3" t="str">
        <f t="shared" si="909"/>
        <v/>
      </c>
      <c r="BV250" s="3" t="str">
        <f t="shared" si="909"/>
        <v/>
      </c>
      <c r="BW250" s="3" t="str">
        <f t="shared" si="909"/>
        <v/>
      </c>
      <c r="BX250" s="3" t="str">
        <f t="shared" si="909"/>
        <v/>
      </c>
      <c r="BY250" s="3" t="str">
        <f t="shared" si="909"/>
        <v/>
      </c>
      <c r="BZ250" s="3" t="str">
        <f t="shared" si="909"/>
        <v/>
      </c>
      <c r="CA250" s="3" t="str">
        <f t="shared" si="909"/>
        <v/>
      </c>
      <c r="CB250" s="3" t="str">
        <f t="shared" ref="CB250" si="910">IF(AK250=0,"",ROUNDUP(AK247/AK250,0))</f>
        <v/>
      </c>
      <c r="CC250" s="3" t="str">
        <f t="shared" ref="CC250" si="911">IF(AL250=0,"",ROUNDUP(AL247/AL250,0))</f>
        <v/>
      </c>
    </row>
    <row r="251" spans="1:81" ht="17.100000000000001" customHeight="1" outlineLevel="1">
      <c r="A251" s="174"/>
      <c r="B251" s="30" t="s">
        <v>22</v>
      </c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  <c r="AC251" s="39"/>
      <c r="AD251" s="39"/>
      <c r="AE251" s="39"/>
      <c r="AF251" s="39"/>
      <c r="AG251" s="39"/>
      <c r="AH251" s="39"/>
      <c r="AI251" s="39"/>
      <c r="AJ251" s="39"/>
      <c r="AK251" s="39"/>
      <c r="AL251" s="39"/>
      <c r="AM251" s="39"/>
      <c r="AN251" s="40" t="str">
        <f t="shared" ref="AN251:AN254" si="912">IF(AM251="","",SUM(C251:AL251)*AM251)</f>
        <v/>
      </c>
      <c r="AO251" s="39"/>
      <c r="AP251" s="39"/>
      <c r="AQ251" s="42">
        <f t="shared" ref="AQ251:AQ257" si="913">(AO251+AR251)*AM251</f>
        <v>0</v>
      </c>
      <c r="AR251" s="25">
        <f t="shared" ref="AR251:AR257" si="914">AP251/36</f>
        <v>0</v>
      </c>
      <c r="AT251" s="3" t="str">
        <f t="shared" ref="AT251:CA251" si="915">IF(C251=0,"",ROUNDUP(C247/C251,0))</f>
        <v/>
      </c>
      <c r="AU251" s="3" t="str">
        <f t="shared" si="915"/>
        <v/>
      </c>
      <c r="AV251" s="3" t="str">
        <f t="shared" si="915"/>
        <v/>
      </c>
      <c r="AW251" s="3" t="str">
        <f t="shared" si="915"/>
        <v/>
      </c>
      <c r="AX251" s="3" t="str">
        <f t="shared" si="915"/>
        <v/>
      </c>
      <c r="AY251" s="3" t="str">
        <f t="shared" si="915"/>
        <v/>
      </c>
      <c r="AZ251" s="3" t="str">
        <f t="shared" si="915"/>
        <v/>
      </c>
      <c r="BA251" s="3" t="str">
        <f t="shared" si="915"/>
        <v/>
      </c>
      <c r="BB251" s="3" t="str">
        <f t="shared" si="915"/>
        <v/>
      </c>
      <c r="BC251" s="3" t="str">
        <f t="shared" si="915"/>
        <v/>
      </c>
      <c r="BD251" s="3" t="str">
        <f t="shared" si="915"/>
        <v/>
      </c>
      <c r="BE251" s="3" t="str">
        <f t="shared" si="915"/>
        <v/>
      </c>
      <c r="BF251" s="3" t="str">
        <f t="shared" si="915"/>
        <v/>
      </c>
      <c r="BG251" s="3" t="str">
        <f t="shared" si="915"/>
        <v/>
      </c>
      <c r="BH251" s="3" t="str">
        <f t="shared" si="915"/>
        <v/>
      </c>
      <c r="BI251" s="3" t="str">
        <f t="shared" si="915"/>
        <v/>
      </c>
      <c r="BJ251" s="3" t="str">
        <f t="shared" si="915"/>
        <v/>
      </c>
      <c r="BK251" s="3" t="str">
        <f t="shared" si="915"/>
        <v/>
      </c>
      <c r="BL251" s="3" t="str">
        <f t="shared" si="915"/>
        <v/>
      </c>
      <c r="BM251" s="3" t="str">
        <f t="shared" si="915"/>
        <v/>
      </c>
      <c r="BN251" s="3" t="str">
        <f t="shared" si="915"/>
        <v/>
      </c>
      <c r="BO251" s="3" t="str">
        <f t="shared" si="915"/>
        <v/>
      </c>
      <c r="BP251" s="3" t="str">
        <f t="shared" si="915"/>
        <v/>
      </c>
      <c r="BQ251" s="3" t="str">
        <f t="shared" si="915"/>
        <v/>
      </c>
      <c r="BR251" s="3" t="str">
        <f t="shared" si="915"/>
        <v/>
      </c>
      <c r="BS251" s="3" t="str">
        <f t="shared" si="915"/>
        <v/>
      </c>
      <c r="BT251" s="3" t="str">
        <f t="shared" si="915"/>
        <v/>
      </c>
      <c r="BU251" s="3" t="str">
        <f t="shared" si="915"/>
        <v/>
      </c>
      <c r="BV251" s="3" t="str">
        <f t="shared" si="915"/>
        <v/>
      </c>
      <c r="BW251" s="3" t="str">
        <f t="shared" si="915"/>
        <v/>
      </c>
      <c r="BX251" s="3" t="str">
        <f t="shared" si="915"/>
        <v/>
      </c>
      <c r="BY251" s="3" t="str">
        <f t="shared" si="915"/>
        <v/>
      </c>
      <c r="BZ251" s="3" t="str">
        <f t="shared" si="915"/>
        <v/>
      </c>
      <c r="CA251" s="3" t="str">
        <f t="shared" si="915"/>
        <v/>
      </c>
      <c r="CB251" s="3" t="str">
        <f t="shared" ref="CB251" si="916">IF(AK251=0,"",ROUNDUP(AK247/AK251,0))</f>
        <v/>
      </c>
      <c r="CC251" s="3" t="str">
        <f t="shared" ref="CC251" si="917">IF(AL251=0,"",ROUNDUP(AL247/AL251,0))</f>
        <v/>
      </c>
    </row>
    <row r="252" spans="1:81" ht="17.100000000000001" customHeight="1" outlineLevel="1">
      <c r="A252" s="174"/>
      <c r="B252" s="30" t="s">
        <v>23</v>
      </c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39"/>
      <c r="P252" s="39"/>
      <c r="Q252" s="39"/>
      <c r="R252" s="39"/>
      <c r="S252" s="39"/>
      <c r="T252" s="39"/>
      <c r="U252" s="39"/>
      <c r="V252" s="39"/>
      <c r="W252" s="39"/>
      <c r="X252" s="39"/>
      <c r="Y252" s="39"/>
      <c r="Z252" s="39"/>
      <c r="AA252" s="39"/>
      <c r="AB252" s="39"/>
      <c r="AC252" s="39"/>
      <c r="AD252" s="39"/>
      <c r="AE252" s="39"/>
      <c r="AF252" s="39"/>
      <c r="AG252" s="39"/>
      <c r="AH252" s="39"/>
      <c r="AI252" s="39"/>
      <c r="AJ252" s="39"/>
      <c r="AK252" s="39"/>
      <c r="AL252" s="39"/>
      <c r="AM252" s="39"/>
      <c r="AN252" s="40" t="str">
        <f t="shared" si="912"/>
        <v/>
      </c>
      <c r="AO252" s="39"/>
      <c r="AP252" s="39"/>
      <c r="AQ252" s="42">
        <f t="shared" si="913"/>
        <v>0</v>
      </c>
      <c r="AR252" s="25">
        <f t="shared" si="914"/>
        <v>0</v>
      </c>
      <c r="AT252" s="3" t="str">
        <f t="shared" ref="AT252:CA252" si="918">IF(C252=0,"",ROUNDUP(C247/C252,0))</f>
        <v/>
      </c>
      <c r="AU252" s="3" t="str">
        <f t="shared" si="918"/>
        <v/>
      </c>
      <c r="AV252" s="3" t="str">
        <f t="shared" si="918"/>
        <v/>
      </c>
      <c r="AW252" s="3" t="str">
        <f t="shared" si="918"/>
        <v/>
      </c>
      <c r="AX252" s="3" t="str">
        <f t="shared" si="918"/>
        <v/>
      </c>
      <c r="AY252" s="3" t="str">
        <f t="shared" si="918"/>
        <v/>
      </c>
      <c r="AZ252" s="3" t="str">
        <f t="shared" si="918"/>
        <v/>
      </c>
      <c r="BA252" s="3" t="str">
        <f t="shared" si="918"/>
        <v/>
      </c>
      <c r="BB252" s="3" t="str">
        <f t="shared" si="918"/>
        <v/>
      </c>
      <c r="BC252" s="3" t="str">
        <f t="shared" si="918"/>
        <v/>
      </c>
      <c r="BD252" s="3" t="str">
        <f t="shared" si="918"/>
        <v/>
      </c>
      <c r="BE252" s="3" t="str">
        <f t="shared" si="918"/>
        <v/>
      </c>
      <c r="BF252" s="3" t="str">
        <f t="shared" si="918"/>
        <v/>
      </c>
      <c r="BG252" s="3" t="str">
        <f t="shared" si="918"/>
        <v/>
      </c>
      <c r="BH252" s="3" t="str">
        <f t="shared" si="918"/>
        <v/>
      </c>
      <c r="BI252" s="3" t="str">
        <f t="shared" si="918"/>
        <v/>
      </c>
      <c r="BJ252" s="3" t="str">
        <f t="shared" si="918"/>
        <v/>
      </c>
      <c r="BK252" s="3" t="str">
        <f t="shared" si="918"/>
        <v/>
      </c>
      <c r="BL252" s="3" t="str">
        <f t="shared" si="918"/>
        <v/>
      </c>
      <c r="BM252" s="3" t="str">
        <f t="shared" si="918"/>
        <v/>
      </c>
      <c r="BN252" s="3" t="str">
        <f t="shared" si="918"/>
        <v/>
      </c>
      <c r="BO252" s="3" t="str">
        <f t="shared" si="918"/>
        <v/>
      </c>
      <c r="BP252" s="3" t="str">
        <f t="shared" si="918"/>
        <v/>
      </c>
      <c r="BQ252" s="3" t="str">
        <f t="shared" si="918"/>
        <v/>
      </c>
      <c r="BR252" s="3" t="str">
        <f t="shared" si="918"/>
        <v/>
      </c>
      <c r="BS252" s="3" t="str">
        <f t="shared" si="918"/>
        <v/>
      </c>
      <c r="BT252" s="3" t="str">
        <f t="shared" si="918"/>
        <v/>
      </c>
      <c r="BU252" s="3" t="str">
        <f t="shared" si="918"/>
        <v/>
      </c>
      <c r="BV252" s="3" t="str">
        <f t="shared" si="918"/>
        <v/>
      </c>
      <c r="BW252" s="3" t="str">
        <f t="shared" si="918"/>
        <v/>
      </c>
      <c r="BX252" s="3" t="str">
        <f t="shared" si="918"/>
        <v/>
      </c>
      <c r="BY252" s="3" t="str">
        <f t="shared" si="918"/>
        <v/>
      </c>
      <c r="BZ252" s="3" t="str">
        <f t="shared" si="918"/>
        <v/>
      </c>
      <c r="CA252" s="3" t="str">
        <f t="shared" si="918"/>
        <v/>
      </c>
      <c r="CB252" s="3" t="str">
        <f t="shared" ref="CB252" si="919">IF(AK252=0,"",ROUNDUP(AK247/AK252,0))</f>
        <v/>
      </c>
      <c r="CC252" s="3" t="str">
        <f t="shared" ref="CC252" si="920">IF(AL252=0,"",ROUNDUP(AL247/AL252,0))</f>
        <v/>
      </c>
    </row>
    <row r="253" spans="1:81" ht="17.100000000000001" customHeight="1" outlineLevel="1">
      <c r="A253" s="174"/>
      <c r="B253" s="30" t="s">
        <v>24</v>
      </c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39"/>
      <c r="P253" s="39"/>
      <c r="Q253" s="39"/>
      <c r="R253" s="39"/>
      <c r="S253" s="39"/>
      <c r="T253" s="39"/>
      <c r="U253" s="39"/>
      <c r="V253" s="39"/>
      <c r="W253" s="39"/>
      <c r="X253" s="39"/>
      <c r="Y253" s="39"/>
      <c r="Z253" s="39"/>
      <c r="AA253" s="39"/>
      <c r="AB253" s="39"/>
      <c r="AC253" s="39"/>
      <c r="AD253" s="39"/>
      <c r="AE253" s="39"/>
      <c r="AF253" s="39"/>
      <c r="AG253" s="39"/>
      <c r="AH253" s="39"/>
      <c r="AI253" s="39"/>
      <c r="AJ253" s="39"/>
      <c r="AK253" s="39"/>
      <c r="AL253" s="39"/>
      <c r="AM253" s="39"/>
      <c r="AN253" s="40" t="str">
        <f t="shared" si="912"/>
        <v/>
      </c>
      <c r="AO253" s="39"/>
      <c r="AP253" s="39"/>
      <c r="AQ253" s="42">
        <f t="shared" si="913"/>
        <v>0</v>
      </c>
      <c r="AR253" s="25">
        <f t="shared" si="914"/>
        <v>0</v>
      </c>
      <c r="AT253" s="3" t="str">
        <f t="shared" ref="AT253:CA253" si="921">IF(C253=0,"",ROUNDUP(C247/C253,0))</f>
        <v/>
      </c>
      <c r="AU253" s="3" t="str">
        <f t="shared" si="921"/>
        <v/>
      </c>
      <c r="AV253" s="3" t="str">
        <f t="shared" si="921"/>
        <v/>
      </c>
      <c r="AW253" s="3" t="str">
        <f t="shared" si="921"/>
        <v/>
      </c>
      <c r="AX253" s="3" t="str">
        <f t="shared" si="921"/>
        <v/>
      </c>
      <c r="AY253" s="3" t="str">
        <f t="shared" si="921"/>
        <v/>
      </c>
      <c r="AZ253" s="3" t="str">
        <f t="shared" si="921"/>
        <v/>
      </c>
      <c r="BA253" s="3" t="str">
        <f t="shared" si="921"/>
        <v/>
      </c>
      <c r="BB253" s="3" t="str">
        <f t="shared" si="921"/>
        <v/>
      </c>
      <c r="BC253" s="3" t="str">
        <f t="shared" si="921"/>
        <v/>
      </c>
      <c r="BD253" s="3" t="str">
        <f t="shared" si="921"/>
        <v/>
      </c>
      <c r="BE253" s="3" t="str">
        <f t="shared" si="921"/>
        <v/>
      </c>
      <c r="BF253" s="3" t="str">
        <f t="shared" si="921"/>
        <v/>
      </c>
      <c r="BG253" s="3" t="str">
        <f t="shared" si="921"/>
        <v/>
      </c>
      <c r="BH253" s="3" t="str">
        <f t="shared" si="921"/>
        <v/>
      </c>
      <c r="BI253" s="3" t="str">
        <f t="shared" si="921"/>
        <v/>
      </c>
      <c r="BJ253" s="3" t="str">
        <f t="shared" si="921"/>
        <v/>
      </c>
      <c r="BK253" s="3" t="str">
        <f t="shared" si="921"/>
        <v/>
      </c>
      <c r="BL253" s="3" t="str">
        <f t="shared" si="921"/>
        <v/>
      </c>
      <c r="BM253" s="3" t="str">
        <f t="shared" si="921"/>
        <v/>
      </c>
      <c r="BN253" s="3" t="str">
        <f t="shared" si="921"/>
        <v/>
      </c>
      <c r="BO253" s="3" t="str">
        <f t="shared" si="921"/>
        <v/>
      </c>
      <c r="BP253" s="3" t="str">
        <f t="shared" si="921"/>
        <v/>
      </c>
      <c r="BQ253" s="3" t="str">
        <f t="shared" si="921"/>
        <v/>
      </c>
      <c r="BR253" s="3" t="str">
        <f t="shared" si="921"/>
        <v/>
      </c>
      <c r="BS253" s="3" t="str">
        <f t="shared" si="921"/>
        <v/>
      </c>
      <c r="BT253" s="3" t="str">
        <f t="shared" si="921"/>
        <v/>
      </c>
      <c r="BU253" s="3" t="str">
        <f t="shared" si="921"/>
        <v/>
      </c>
      <c r="BV253" s="3" t="str">
        <f t="shared" si="921"/>
        <v/>
      </c>
      <c r="BW253" s="3" t="str">
        <f t="shared" si="921"/>
        <v/>
      </c>
      <c r="BX253" s="3" t="str">
        <f t="shared" si="921"/>
        <v/>
      </c>
      <c r="BY253" s="3" t="str">
        <f t="shared" si="921"/>
        <v/>
      </c>
      <c r="BZ253" s="3" t="str">
        <f t="shared" si="921"/>
        <v/>
      </c>
      <c r="CA253" s="3" t="str">
        <f t="shared" si="921"/>
        <v/>
      </c>
      <c r="CB253" s="3" t="str">
        <f t="shared" ref="CB253" si="922">IF(AK253=0,"",ROUNDUP(AK247/AK253,0))</f>
        <v/>
      </c>
      <c r="CC253" s="3" t="str">
        <f t="shared" ref="CC253" si="923">IF(AL253=0,"",ROUNDUP(AL247/AL253,0))</f>
        <v/>
      </c>
    </row>
    <row r="254" spans="1:81" ht="17.100000000000001" customHeight="1" outlineLevel="1">
      <c r="A254" s="174"/>
      <c r="B254" s="30" t="s">
        <v>25</v>
      </c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39"/>
      <c r="S254" s="39"/>
      <c r="T254" s="39"/>
      <c r="U254" s="39"/>
      <c r="V254" s="39"/>
      <c r="W254" s="39"/>
      <c r="X254" s="39"/>
      <c r="Y254" s="39"/>
      <c r="Z254" s="39"/>
      <c r="AA254" s="39"/>
      <c r="AB254" s="39"/>
      <c r="AC254" s="39"/>
      <c r="AD254" s="39"/>
      <c r="AE254" s="39"/>
      <c r="AF254" s="39"/>
      <c r="AG254" s="39"/>
      <c r="AH254" s="39"/>
      <c r="AI254" s="39"/>
      <c r="AJ254" s="39"/>
      <c r="AK254" s="39"/>
      <c r="AL254" s="39"/>
      <c r="AM254" s="39"/>
      <c r="AN254" s="40" t="str">
        <f t="shared" si="912"/>
        <v/>
      </c>
      <c r="AO254" s="39"/>
      <c r="AP254" s="39"/>
      <c r="AQ254" s="42">
        <f t="shared" si="913"/>
        <v>0</v>
      </c>
      <c r="AR254" s="25">
        <f t="shared" si="914"/>
        <v>0</v>
      </c>
      <c r="AT254" s="3" t="str">
        <f t="shared" ref="AT254:CA254" si="924">IF(C254=0,"",ROUNDUP(C247/C254,0))</f>
        <v/>
      </c>
      <c r="AU254" s="3" t="str">
        <f t="shared" si="924"/>
        <v/>
      </c>
      <c r="AV254" s="3" t="str">
        <f t="shared" si="924"/>
        <v/>
      </c>
      <c r="AW254" s="3" t="str">
        <f t="shared" si="924"/>
        <v/>
      </c>
      <c r="AX254" s="3" t="str">
        <f t="shared" si="924"/>
        <v/>
      </c>
      <c r="AY254" s="3" t="str">
        <f t="shared" si="924"/>
        <v/>
      </c>
      <c r="AZ254" s="3" t="str">
        <f t="shared" si="924"/>
        <v/>
      </c>
      <c r="BA254" s="3" t="str">
        <f t="shared" si="924"/>
        <v/>
      </c>
      <c r="BB254" s="3" t="str">
        <f t="shared" si="924"/>
        <v/>
      </c>
      <c r="BC254" s="3" t="str">
        <f t="shared" si="924"/>
        <v/>
      </c>
      <c r="BD254" s="3" t="str">
        <f t="shared" si="924"/>
        <v/>
      </c>
      <c r="BE254" s="3" t="str">
        <f t="shared" si="924"/>
        <v/>
      </c>
      <c r="BF254" s="3" t="str">
        <f t="shared" si="924"/>
        <v/>
      </c>
      <c r="BG254" s="3" t="str">
        <f t="shared" si="924"/>
        <v/>
      </c>
      <c r="BH254" s="3" t="str">
        <f t="shared" si="924"/>
        <v/>
      </c>
      <c r="BI254" s="3" t="str">
        <f t="shared" si="924"/>
        <v/>
      </c>
      <c r="BJ254" s="3" t="str">
        <f t="shared" si="924"/>
        <v/>
      </c>
      <c r="BK254" s="3" t="str">
        <f t="shared" si="924"/>
        <v/>
      </c>
      <c r="BL254" s="3" t="str">
        <f t="shared" si="924"/>
        <v/>
      </c>
      <c r="BM254" s="3" t="str">
        <f t="shared" si="924"/>
        <v/>
      </c>
      <c r="BN254" s="3" t="str">
        <f t="shared" si="924"/>
        <v/>
      </c>
      <c r="BO254" s="3" t="str">
        <f t="shared" si="924"/>
        <v/>
      </c>
      <c r="BP254" s="3" t="str">
        <f t="shared" si="924"/>
        <v/>
      </c>
      <c r="BQ254" s="3" t="str">
        <f t="shared" si="924"/>
        <v/>
      </c>
      <c r="BR254" s="3" t="str">
        <f t="shared" si="924"/>
        <v/>
      </c>
      <c r="BS254" s="3" t="str">
        <f t="shared" si="924"/>
        <v/>
      </c>
      <c r="BT254" s="3" t="str">
        <f t="shared" si="924"/>
        <v/>
      </c>
      <c r="BU254" s="3" t="str">
        <f t="shared" si="924"/>
        <v/>
      </c>
      <c r="BV254" s="3" t="str">
        <f t="shared" si="924"/>
        <v/>
      </c>
      <c r="BW254" s="3" t="str">
        <f t="shared" si="924"/>
        <v/>
      </c>
      <c r="BX254" s="3" t="str">
        <f t="shared" si="924"/>
        <v/>
      </c>
      <c r="BY254" s="3" t="str">
        <f t="shared" si="924"/>
        <v/>
      </c>
      <c r="BZ254" s="3" t="str">
        <f t="shared" si="924"/>
        <v/>
      </c>
      <c r="CA254" s="3" t="str">
        <f t="shared" si="924"/>
        <v/>
      </c>
      <c r="CB254" s="3" t="str">
        <f t="shared" ref="CB254" si="925">IF(AK254=0,"",ROUNDUP(AK247/AK254,0))</f>
        <v/>
      </c>
      <c r="CC254" s="3" t="str">
        <f t="shared" ref="CC254" si="926">IF(AL254=0,"",ROUNDUP(AL247/AL254,0))</f>
        <v/>
      </c>
    </row>
    <row r="255" spans="1:81" ht="17.100000000000001" customHeight="1" outlineLevel="1">
      <c r="A255" s="174"/>
      <c r="B255" s="30" t="s">
        <v>26</v>
      </c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39"/>
      <c r="Q255" s="39"/>
      <c r="R255" s="39"/>
      <c r="S255" s="39"/>
      <c r="T255" s="39"/>
      <c r="U255" s="39"/>
      <c r="V255" s="39"/>
      <c r="W255" s="39"/>
      <c r="X255" s="39"/>
      <c r="Y255" s="39"/>
      <c r="Z255" s="39"/>
      <c r="AA255" s="39"/>
      <c r="AB255" s="39"/>
      <c r="AC255" s="39"/>
      <c r="AD255" s="39"/>
      <c r="AE255" s="39"/>
      <c r="AF255" s="39"/>
      <c r="AG255" s="39"/>
      <c r="AH255" s="39"/>
      <c r="AI255" s="39"/>
      <c r="AJ255" s="39"/>
      <c r="AK255" s="39"/>
      <c r="AL255" s="39"/>
      <c r="AM255" s="39"/>
      <c r="AN255" s="40" t="str">
        <f>IF(AM255="","",SUM(C255:AL255)*AM255)</f>
        <v/>
      </c>
      <c r="AO255" s="39"/>
      <c r="AP255" s="39"/>
      <c r="AQ255" s="42">
        <f t="shared" si="913"/>
        <v>0</v>
      </c>
      <c r="AR255" s="25">
        <f t="shared" si="914"/>
        <v>0</v>
      </c>
      <c r="AT255" s="3" t="str">
        <f t="shared" ref="AT255:CA255" si="927">IF(C255=0,"",ROUNDUP(C247/C255,0))</f>
        <v/>
      </c>
      <c r="AU255" s="3" t="str">
        <f t="shared" si="927"/>
        <v/>
      </c>
      <c r="AV255" s="3" t="str">
        <f t="shared" si="927"/>
        <v/>
      </c>
      <c r="AW255" s="3" t="str">
        <f t="shared" si="927"/>
        <v/>
      </c>
      <c r="AX255" s="3" t="str">
        <f t="shared" si="927"/>
        <v/>
      </c>
      <c r="AY255" s="3" t="str">
        <f t="shared" si="927"/>
        <v/>
      </c>
      <c r="AZ255" s="3" t="str">
        <f t="shared" si="927"/>
        <v/>
      </c>
      <c r="BA255" s="3" t="str">
        <f t="shared" si="927"/>
        <v/>
      </c>
      <c r="BB255" s="3" t="str">
        <f t="shared" si="927"/>
        <v/>
      </c>
      <c r="BC255" s="3" t="str">
        <f t="shared" si="927"/>
        <v/>
      </c>
      <c r="BD255" s="3" t="str">
        <f t="shared" si="927"/>
        <v/>
      </c>
      <c r="BE255" s="3" t="str">
        <f t="shared" si="927"/>
        <v/>
      </c>
      <c r="BF255" s="3" t="str">
        <f t="shared" si="927"/>
        <v/>
      </c>
      <c r="BG255" s="3" t="str">
        <f t="shared" si="927"/>
        <v/>
      </c>
      <c r="BH255" s="3" t="str">
        <f t="shared" si="927"/>
        <v/>
      </c>
      <c r="BI255" s="3" t="str">
        <f t="shared" si="927"/>
        <v/>
      </c>
      <c r="BJ255" s="3" t="str">
        <f t="shared" si="927"/>
        <v/>
      </c>
      <c r="BK255" s="3" t="str">
        <f t="shared" si="927"/>
        <v/>
      </c>
      <c r="BL255" s="3" t="str">
        <f t="shared" si="927"/>
        <v/>
      </c>
      <c r="BM255" s="3" t="str">
        <f t="shared" si="927"/>
        <v/>
      </c>
      <c r="BN255" s="3" t="str">
        <f t="shared" si="927"/>
        <v/>
      </c>
      <c r="BO255" s="3" t="str">
        <f t="shared" si="927"/>
        <v/>
      </c>
      <c r="BP255" s="3" t="str">
        <f t="shared" si="927"/>
        <v/>
      </c>
      <c r="BQ255" s="3" t="str">
        <f t="shared" si="927"/>
        <v/>
      </c>
      <c r="BR255" s="3" t="str">
        <f t="shared" si="927"/>
        <v/>
      </c>
      <c r="BS255" s="3" t="str">
        <f t="shared" si="927"/>
        <v/>
      </c>
      <c r="BT255" s="3" t="str">
        <f t="shared" si="927"/>
        <v/>
      </c>
      <c r="BU255" s="3" t="str">
        <f t="shared" si="927"/>
        <v/>
      </c>
      <c r="BV255" s="3" t="str">
        <f t="shared" si="927"/>
        <v/>
      </c>
      <c r="BW255" s="3" t="str">
        <f t="shared" si="927"/>
        <v/>
      </c>
      <c r="BX255" s="3" t="str">
        <f t="shared" si="927"/>
        <v/>
      </c>
      <c r="BY255" s="3" t="str">
        <f t="shared" si="927"/>
        <v/>
      </c>
      <c r="BZ255" s="3" t="str">
        <f t="shared" si="927"/>
        <v/>
      </c>
      <c r="CA255" s="3" t="str">
        <f t="shared" si="927"/>
        <v/>
      </c>
      <c r="CB255" s="3" t="str">
        <f t="shared" ref="CB255" si="928">IF(AK255=0,"",ROUNDUP(AK247/AK255,0))</f>
        <v/>
      </c>
      <c r="CC255" s="3" t="str">
        <f t="shared" ref="CC255" si="929">IF(AL255=0,"",ROUNDUP(AL247/AL255,0))</f>
        <v/>
      </c>
    </row>
    <row r="256" spans="1:81" ht="17.100000000000001" customHeight="1" outlineLevel="1">
      <c r="A256" s="174"/>
      <c r="B256" s="30" t="s">
        <v>27</v>
      </c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39"/>
      <c r="Q256" s="39"/>
      <c r="R256" s="39"/>
      <c r="S256" s="39"/>
      <c r="T256" s="39"/>
      <c r="U256" s="39"/>
      <c r="V256" s="39"/>
      <c r="W256" s="39"/>
      <c r="X256" s="39"/>
      <c r="Y256" s="39"/>
      <c r="Z256" s="39"/>
      <c r="AA256" s="39"/>
      <c r="AB256" s="39"/>
      <c r="AC256" s="39"/>
      <c r="AD256" s="39"/>
      <c r="AE256" s="39"/>
      <c r="AF256" s="39"/>
      <c r="AG256" s="39"/>
      <c r="AH256" s="39"/>
      <c r="AI256" s="39"/>
      <c r="AJ256" s="39"/>
      <c r="AK256" s="39"/>
      <c r="AL256" s="39"/>
      <c r="AM256" s="39"/>
      <c r="AN256" s="40" t="str">
        <f t="shared" ref="AN256:AN257" si="930">IF(AM256="","",SUM(C256:AL256)*AM256)</f>
        <v/>
      </c>
      <c r="AO256" s="39"/>
      <c r="AP256" s="39"/>
      <c r="AQ256" s="42">
        <f t="shared" si="913"/>
        <v>0</v>
      </c>
      <c r="AR256" s="25">
        <f t="shared" si="914"/>
        <v>0</v>
      </c>
      <c r="AT256" s="3" t="str">
        <f t="shared" ref="AT256:CA256" si="931">IF(C256=0,"",ROUNDUP(C247/C256,0))</f>
        <v/>
      </c>
      <c r="AU256" s="3" t="str">
        <f t="shared" si="931"/>
        <v/>
      </c>
      <c r="AV256" s="3" t="str">
        <f t="shared" si="931"/>
        <v/>
      </c>
      <c r="AW256" s="3" t="str">
        <f t="shared" si="931"/>
        <v/>
      </c>
      <c r="AX256" s="3" t="str">
        <f t="shared" si="931"/>
        <v/>
      </c>
      <c r="AY256" s="3" t="str">
        <f t="shared" si="931"/>
        <v/>
      </c>
      <c r="AZ256" s="3" t="str">
        <f t="shared" si="931"/>
        <v/>
      </c>
      <c r="BA256" s="3" t="str">
        <f t="shared" si="931"/>
        <v/>
      </c>
      <c r="BB256" s="3" t="str">
        <f t="shared" si="931"/>
        <v/>
      </c>
      <c r="BC256" s="3" t="str">
        <f t="shared" si="931"/>
        <v/>
      </c>
      <c r="BD256" s="3" t="str">
        <f t="shared" si="931"/>
        <v/>
      </c>
      <c r="BE256" s="3" t="str">
        <f t="shared" si="931"/>
        <v/>
      </c>
      <c r="BF256" s="3" t="str">
        <f t="shared" si="931"/>
        <v/>
      </c>
      <c r="BG256" s="3" t="str">
        <f t="shared" si="931"/>
        <v/>
      </c>
      <c r="BH256" s="3" t="str">
        <f t="shared" si="931"/>
        <v/>
      </c>
      <c r="BI256" s="3" t="str">
        <f t="shared" si="931"/>
        <v/>
      </c>
      <c r="BJ256" s="3" t="str">
        <f t="shared" si="931"/>
        <v/>
      </c>
      <c r="BK256" s="3" t="str">
        <f t="shared" si="931"/>
        <v/>
      </c>
      <c r="BL256" s="3" t="str">
        <f t="shared" si="931"/>
        <v/>
      </c>
      <c r="BM256" s="3" t="str">
        <f t="shared" si="931"/>
        <v/>
      </c>
      <c r="BN256" s="3" t="str">
        <f t="shared" si="931"/>
        <v/>
      </c>
      <c r="BO256" s="3" t="str">
        <f t="shared" si="931"/>
        <v/>
      </c>
      <c r="BP256" s="3" t="str">
        <f t="shared" si="931"/>
        <v/>
      </c>
      <c r="BQ256" s="3" t="str">
        <f t="shared" si="931"/>
        <v/>
      </c>
      <c r="BR256" s="3" t="str">
        <f t="shared" si="931"/>
        <v/>
      </c>
      <c r="BS256" s="3" t="str">
        <f t="shared" si="931"/>
        <v/>
      </c>
      <c r="BT256" s="3" t="str">
        <f t="shared" si="931"/>
        <v/>
      </c>
      <c r="BU256" s="3" t="str">
        <f t="shared" si="931"/>
        <v/>
      </c>
      <c r="BV256" s="3" t="str">
        <f t="shared" si="931"/>
        <v/>
      </c>
      <c r="BW256" s="3" t="str">
        <f t="shared" si="931"/>
        <v/>
      </c>
      <c r="BX256" s="3" t="str">
        <f t="shared" si="931"/>
        <v/>
      </c>
      <c r="BY256" s="3" t="str">
        <f t="shared" si="931"/>
        <v/>
      </c>
      <c r="BZ256" s="3" t="str">
        <f t="shared" si="931"/>
        <v/>
      </c>
      <c r="CA256" s="3" t="str">
        <f t="shared" si="931"/>
        <v/>
      </c>
      <c r="CB256" s="3" t="str">
        <f t="shared" ref="CB256" si="932">IF(AK256=0,"",ROUNDUP(AK247/AK256,0))</f>
        <v/>
      </c>
      <c r="CC256" s="3" t="str">
        <f t="shared" ref="CC256" si="933">IF(AL256=0,"",ROUNDUP(AL247/AL256,0))</f>
        <v/>
      </c>
    </row>
    <row r="257" spans="1:81" ht="17.100000000000001" customHeight="1" outlineLevel="1">
      <c r="A257" s="175"/>
      <c r="B257" s="30" t="s">
        <v>28</v>
      </c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  <c r="AA257" s="39"/>
      <c r="AB257" s="39"/>
      <c r="AC257" s="39"/>
      <c r="AD257" s="39"/>
      <c r="AE257" s="39"/>
      <c r="AF257" s="39"/>
      <c r="AG257" s="39"/>
      <c r="AH257" s="39"/>
      <c r="AI257" s="39"/>
      <c r="AJ257" s="39"/>
      <c r="AK257" s="39"/>
      <c r="AL257" s="39"/>
      <c r="AM257" s="39"/>
      <c r="AN257" s="41" t="str">
        <f t="shared" si="930"/>
        <v/>
      </c>
      <c r="AO257" s="39"/>
      <c r="AP257" s="39"/>
      <c r="AQ257" s="42">
        <f t="shared" si="913"/>
        <v>0</v>
      </c>
      <c r="AR257" s="25">
        <f t="shared" si="914"/>
        <v>0</v>
      </c>
      <c r="AT257" s="3" t="str">
        <f t="shared" ref="AT257:CA257" si="934">IF(C257=0,"",ROUNDUP(C247/C257,0))</f>
        <v/>
      </c>
      <c r="AU257" s="3" t="str">
        <f t="shared" si="934"/>
        <v/>
      </c>
      <c r="AV257" s="3" t="str">
        <f t="shared" si="934"/>
        <v/>
      </c>
      <c r="AW257" s="3" t="str">
        <f t="shared" si="934"/>
        <v/>
      </c>
      <c r="AX257" s="3" t="str">
        <f t="shared" si="934"/>
        <v/>
      </c>
      <c r="AY257" s="3" t="str">
        <f t="shared" si="934"/>
        <v/>
      </c>
      <c r="AZ257" s="3" t="str">
        <f t="shared" si="934"/>
        <v/>
      </c>
      <c r="BA257" s="3" t="str">
        <f t="shared" si="934"/>
        <v/>
      </c>
      <c r="BB257" s="3" t="str">
        <f t="shared" si="934"/>
        <v/>
      </c>
      <c r="BC257" s="3" t="str">
        <f t="shared" si="934"/>
        <v/>
      </c>
      <c r="BD257" s="3" t="str">
        <f t="shared" si="934"/>
        <v/>
      </c>
      <c r="BE257" s="3" t="str">
        <f t="shared" si="934"/>
        <v/>
      </c>
      <c r="BF257" s="3" t="str">
        <f t="shared" si="934"/>
        <v/>
      </c>
      <c r="BG257" s="3" t="str">
        <f t="shared" si="934"/>
        <v/>
      </c>
      <c r="BH257" s="3" t="str">
        <f t="shared" si="934"/>
        <v/>
      </c>
      <c r="BI257" s="3" t="str">
        <f t="shared" si="934"/>
        <v/>
      </c>
      <c r="BJ257" s="3" t="str">
        <f t="shared" si="934"/>
        <v/>
      </c>
      <c r="BK257" s="3" t="str">
        <f t="shared" si="934"/>
        <v/>
      </c>
      <c r="BL257" s="3" t="str">
        <f t="shared" si="934"/>
        <v/>
      </c>
      <c r="BM257" s="3" t="str">
        <f t="shared" si="934"/>
        <v/>
      </c>
      <c r="BN257" s="3" t="str">
        <f t="shared" si="934"/>
        <v/>
      </c>
      <c r="BO257" s="3" t="str">
        <f t="shared" si="934"/>
        <v/>
      </c>
      <c r="BP257" s="3" t="str">
        <f t="shared" si="934"/>
        <v/>
      </c>
      <c r="BQ257" s="3" t="str">
        <f t="shared" si="934"/>
        <v/>
      </c>
      <c r="BR257" s="3" t="str">
        <f t="shared" si="934"/>
        <v/>
      </c>
      <c r="BS257" s="3" t="str">
        <f t="shared" si="934"/>
        <v/>
      </c>
      <c r="BT257" s="3" t="str">
        <f t="shared" si="934"/>
        <v/>
      </c>
      <c r="BU257" s="3" t="str">
        <f t="shared" si="934"/>
        <v/>
      </c>
      <c r="BV257" s="3" t="str">
        <f t="shared" si="934"/>
        <v/>
      </c>
      <c r="BW257" s="3" t="str">
        <f t="shared" si="934"/>
        <v/>
      </c>
      <c r="BX257" s="3" t="str">
        <f t="shared" si="934"/>
        <v/>
      </c>
      <c r="BY257" s="3" t="str">
        <f t="shared" si="934"/>
        <v/>
      </c>
      <c r="BZ257" s="3" t="str">
        <f t="shared" si="934"/>
        <v/>
      </c>
      <c r="CA257" s="3" t="str">
        <f t="shared" si="934"/>
        <v/>
      </c>
      <c r="CB257" s="3" t="str">
        <f t="shared" ref="CB257" si="935">IF(AK257=0,"",ROUNDUP(AK247/AK257,0))</f>
        <v/>
      </c>
      <c r="CC257" s="3" t="str">
        <f t="shared" ref="CC257" si="936">IF(AL257=0,"",ROUNDUP(AL247/AL257,0))</f>
        <v/>
      </c>
    </row>
    <row r="258" spans="1:81" ht="17.100000000000001" customHeight="1" outlineLevel="1" thickBot="1">
      <c r="AN258" s="7">
        <f>SUM(AN250:AN257)</f>
        <v>0</v>
      </c>
      <c r="AQ258" s="12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</row>
    <row r="259" spans="1:81" ht="21.95" customHeight="1" outlineLevel="1" thickBot="1">
      <c r="A259" s="201">
        <v>17</v>
      </c>
      <c r="B259" s="202"/>
      <c r="C259" s="203"/>
      <c r="AQ259" s="12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</row>
    <row r="260" spans="1:81" ht="17.100000000000001" customHeight="1" outlineLevel="1">
      <c r="A260" s="51" t="s">
        <v>29</v>
      </c>
      <c r="B260" s="50"/>
      <c r="C260" s="147" t="s">
        <v>10</v>
      </c>
      <c r="D260" s="148"/>
      <c r="E260" s="148"/>
      <c r="F260" s="148"/>
      <c r="G260" s="148"/>
      <c r="H260" s="148"/>
      <c r="I260" s="148"/>
      <c r="J260" s="148"/>
      <c r="K260" s="148"/>
      <c r="L260" s="148"/>
      <c r="M260" s="148"/>
      <c r="N260" s="148"/>
      <c r="O260" s="148"/>
      <c r="P260" s="148"/>
      <c r="Q260" s="148"/>
      <c r="R260" s="148"/>
      <c r="S260" s="148"/>
      <c r="T260" s="148"/>
      <c r="U260" s="148"/>
      <c r="V260" s="148"/>
      <c r="W260" s="148"/>
      <c r="X260" s="148"/>
      <c r="Y260" s="148"/>
      <c r="Z260" s="148"/>
      <c r="AA260" s="148"/>
      <c r="AB260" s="148"/>
      <c r="AC260" s="148"/>
      <c r="AD260" s="148"/>
      <c r="AE260" s="148"/>
      <c r="AF260" s="148"/>
      <c r="AG260" s="148"/>
      <c r="AH260" s="148"/>
      <c r="AI260" s="148"/>
      <c r="AJ260" s="148"/>
      <c r="AK260" s="148"/>
      <c r="AL260" s="148"/>
      <c r="AM260" s="10"/>
      <c r="AN260" s="31"/>
      <c r="AO260" s="35" t="s">
        <v>4</v>
      </c>
      <c r="AP260" s="149"/>
      <c r="AQ260" s="150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</row>
    <row r="261" spans="1:81" ht="27" outlineLevel="1">
      <c r="A261" s="52" t="s">
        <v>36</v>
      </c>
      <c r="B261" s="50"/>
      <c r="C261" s="26" t="str">
        <f>IF(C245=0,"",IF(C245&gt;0,C245))</f>
        <v/>
      </c>
      <c r="D261" s="26" t="str">
        <f t="shared" ref="D261:AL261" si="937">IF(D245=0,"",IF(D245&gt;0,D245))</f>
        <v/>
      </c>
      <c r="E261" s="26" t="str">
        <f t="shared" si="937"/>
        <v/>
      </c>
      <c r="F261" s="26" t="str">
        <f t="shared" si="937"/>
        <v/>
      </c>
      <c r="G261" s="26" t="str">
        <f t="shared" si="937"/>
        <v/>
      </c>
      <c r="H261" s="26" t="str">
        <f t="shared" si="937"/>
        <v/>
      </c>
      <c r="I261" s="26" t="str">
        <f t="shared" si="937"/>
        <v/>
      </c>
      <c r="J261" s="26" t="str">
        <f t="shared" si="937"/>
        <v/>
      </c>
      <c r="K261" s="26" t="str">
        <f t="shared" si="937"/>
        <v/>
      </c>
      <c r="L261" s="26" t="str">
        <f t="shared" si="937"/>
        <v/>
      </c>
      <c r="M261" s="26" t="str">
        <f t="shared" si="937"/>
        <v/>
      </c>
      <c r="N261" s="26" t="str">
        <f t="shared" si="937"/>
        <v/>
      </c>
      <c r="O261" s="26" t="str">
        <f t="shared" si="937"/>
        <v/>
      </c>
      <c r="P261" s="26" t="str">
        <f t="shared" si="937"/>
        <v/>
      </c>
      <c r="Q261" s="26" t="str">
        <f t="shared" si="937"/>
        <v/>
      </c>
      <c r="R261" s="26" t="str">
        <f t="shared" si="937"/>
        <v/>
      </c>
      <c r="S261" s="26" t="str">
        <f t="shared" si="937"/>
        <v/>
      </c>
      <c r="T261" s="26" t="str">
        <f t="shared" si="937"/>
        <v/>
      </c>
      <c r="U261" s="26" t="str">
        <f t="shared" si="937"/>
        <v/>
      </c>
      <c r="V261" s="26" t="str">
        <f t="shared" si="937"/>
        <v/>
      </c>
      <c r="W261" s="26" t="str">
        <f t="shared" si="937"/>
        <v/>
      </c>
      <c r="X261" s="26" t="str">
        <f t="shared" si="937"/>
        <v/>
      </c>
      <c r="Y261" s="26" t="str">
        <f t="shared" si="937"/>
        <v/>
      </c>
      <c r="Z261" s="26" t="str">
        <f t="shared" si="937"/>
        <v/>
      </c>
      <c r="AA261" s="26" t="str">
        <f t="shared" si="937"/>
        <v/>
      </c>
      <c r="AB261" s="26" t="str">
        <f t="shared" si="937"/>
        <v/>
      </c>
      <c r="AC261" s="26" t="str">
        <f t="shared" si="937"/>
        <v/>
      </c>
      <c r="AD261" s="26" t="str">
        <f t="shared" si="937"/>
        <v/>
      </c>
      <c r="AE261" s="26" t="str">
        <f t="shared" si="937"/>
        <v/>
      </c>
      <c r="AF261" s="26" t="str">
        <f t="shared" si="937"/>
        <v/>
      </c>
      <c r="AG261" s="26" t="str">
        <f t="shared" si="937"/>
        <v/>
      </c>
      <c r="AH261" s="26" t="str">
        <f t="shared" si="937"/>
        <v/>
      </c>
      <c r="AI261" s="26" t="str">
        <f t="shared" si="937"/>
        <v/>
      </c>
      <c r="AJ261" s="26" t="str">
        <f t="shared" si="937"/>
        <v/>
      </c>
      <c r="AK261" s="26" t="str">
        <f t="shared" si="937"/>
        <v/>
      </c>
      <c r="AL261" s="26" t="str">
        <f t="shared" si="937"/>
        <v/>
      </c>
      <c r="AM261" s="5" t="s">
        <v>2</v>
      </c>
      <c r="AN261" s="31"/>
      <c r="AO261" s="32" t="s">
        <v>5</v>
      </c>
      <c r="AP261" s="151">
        <f>SUM(AQ266:AQ273)</f>
        <v>0</v>
      </c>
      <c r="AQ261" s="151"/>
      <c r="AT261" s="2" t="str">
        <f t="shared" ref="AT261:BY261" si="938">IF(C261=0,"",IF(C261&gt;0,C261))</f>
        <v/>
      </c>
      <c r="AU261" s="2" t="str">
        <f t="shared" si="938"/>
        <v/>
      </c>
      <c r="AV261" s="2" t="str">
        <f t="shared" si="938"/>
        <v/>
      </c>
      <c r="AW261" s="2" t="str">
        <f t="shared" si="938"/>
        <v/>
      </c>
      <c r="AX261" s="2" t="str">
        <f t="shared" si="938"/>
        <v/>
      </c>
      <c r="AY261" s="2" t="str">
        <f t="shared" si="938"/>
        <v/>
      </c>
      <c r="AZ261" s="2" t="str">
        <f t="shared" si="938"/>
        <v/>
      </c>
      <c r="BA261" s="2" t="str">
        <f t="shared" si="938"/>
        <v/>
      </c>
      <c r="BB261" s="2" t="str">
        <f t="shared" si="938"/>
        <v/>
      </c>
      <c r="BC261" s="2" t="str">
        <f t="shared" si="938"/>
        <v/>
      </c>
      <c r="BD261" s="2" t="str">
        <f t="shared" si="938"/>
        <v/>
      </c>
      <c r="BE261" s="2" t="str">
        <f t="shared" si="938"/>
        <v/>
      </c>
      <c r="BF261" s="2" t="str">
        <f t="shared" si="938"/>
        <v/>
      </c>
      <c r="BG261" s="2" t="str">
        <f t="shared" si="938"/>
        <v/>
      </c>
      <c r="BH261" s="2" t="str">
        <f t="shared" si="938"/>
        <v/>
      </c>
      <c r="BI261" s="2" t="str">
        <f t="shared" si="938"/>
        <v/>
      </c>
      <c r="BJ261" s="2" t="str">
        <f t="shared" si="938"/>
        <v/>
      </c>
      <c r="BK261" s="2" t="str">
        <f t="shared" si="938"/>
        <v/>
      </c>
      <c r="BL261" s="2" t="str">
        <f t="shared" si="938"/>
        <v/>
      </c>
      <c r="BM261" s="2" t="str">
        <f t="shared" si="938"/>
        <v/>
      </c>
      <c r="BN261" s="2" t="str">
        <f t="shared" si="938"/>
        <v/>
      </c>
      <c r="BO261" s="2" t="str">
        <f t="shared" si="938"/>
        <v/>
      </c>
      <c r="BP261" s="2" t="str">
        <f t="shared" si="938"/>
        <v/>
      </c>
      <c r="BQ261" s="2" t="str">
        <f t="shared" si="938"/>
        <v/>
      </c>
      <c r="BR261" s="2" t="str">
        <f t="shared" si="938"/>
        <v/>
      </c>
      <c r="BS261" s="2" t="str">
        <f t="shared" si="938"/>
        <v/>
      </c>
      <c r="BT261" s="2" t="str">
        <f t="shared" si="938"/>
        <v/>
      </c>
      <c r="BU261" s="2" t="str">
        <f t="shared" si="938"/>
        <v/>
      </c>
      <c r="BV261" s="2" t="str">
        <f t="shared" si="938"/>
        <v/>
      </c>
      <c r="BW261" s="2" t="str">
        <f t="shared" si="938"/>
        <v/>
      </c>
      <c r="BX261" s="2" t="str">
        <f t="shared" si="938"/>
        <v/>
      </c>
      <c r="BY261" s="2" t="str">
        <f t="shared" si="938"/>
        <v/>
      </c>
      <c r="BZ261" s="2" t="str">
        <f t="shared" ref="BZ261" si="939">IF(AI261=0,"",IF(AI261&gt;0,AI261))</f>
        <v/>
      </c>
      <c r="CA261" s="2" t="str">
        <f t="shared" ref="CA261" si="940">IF(AJ261=0,"",IF(AJ261&gt;0,AJ261))</f>
        <v/>
      </c>
      <c r="CB261" s="2" t="str">
        <f t="shared" ref="CB261" si="941">IF(AK261=0,"",IF(AK261&gt;0,AK261))</f>
        <v/>
      </c>
      <c r="CC261" s="2" t="str">
        <f t="shared" ref="CC261" si="942">IF(AL261=0,"",IF(AL261&gt;0,AL261))</f>
        <v/>
      </c>
    </row>
    <row r="262" spans="1:81" ht="17.100000000000001" customHeight="1" outlineLevel="1">
      <c r="A262" s="152" t="s">
        <v>30</v>
      </c>
      <c r="B262" s="153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46"/>
      <c r="P262" s="46"/>
      <c r="Q262" s="46"/>
      <c r="R262" s="46"/>
      <c r="S262" s="46"/>
      <c r="T262" s="46"/>
      <c r="U262" s="46"/>
      <c r="V262" s="46"/>
      <c r="W262" s="46"/>
      <c r="X262" s="46"/>
      <c r="Y262" s="46"/>
      <c r="Z262" s="46"/>
      <c r="AA262" s="46"/>
      <c r="AB262" s="46"/>
      <c r="AC262" s="46"/>
      <c r="AD262" s="46"/>
      <c r="AE262" s="46"/>
      <c r="AF262" s="46"/>
      <c r="AG262" s="46"/>
      <c r="AH262" s="46"/>
      <c r="AI262" s="46"/>
      <c r="AJ262" s="46"/>
      <c r="AK262" s="46"/>
      <c r="AL262" s="46"/>
      <c r="AM262" s="45">
        <f>SUM(C262:AL262)</f>
        <v>0</v>
      </c>
      <c r="AN262" s="33"/>
      <c r="AO262" s="34" t="str">
        <f>IF(AP262&lt;5,"NO ",IF(AP262=5,"ok",IF(AP262&gt;5,"ok")))</f>
        <v xml:space="preserve">NO </v>
      </c>
      <c r="AP262" s="154">
        <f>AP260-AP261-AP263</f>
        <v>0</v>
      </c>
      <c r="AQ262" s="154"/>
      <c r="AR262" s="16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</row>
    <row r="263" spans="1:81" ht="17.100000000000001" customHeight="1" outlineLevel="1">
      <c r="A263" s="152"/>
      <c r="B263" s="153"/>
      <c r="C263" s="47" t="str">
        <f>IF(C261="","",C262-C266*$AM266-C267*$AM267-C268*$AM268-C269*$AM269-C270*$AM270-C271*$AM271-C272*$AM272-C273*$AM273)</f>
        <v/>
      </c>
      <c r="D263" s="47" t="str">
        <f t="shared" ref="D263" si="943">IF(D261="","",D262-D266*$AM266-D267*$AM267-D268*$AM268-D269*$AM269-D270*$AM270-D271*$AM271-D272*$AM272-D273*$AM273)</f>
        <v/>
      </c>
      <c r="E263" s="47" t="str">
        <f t="shared" ref="E263" si="944">IF(E261="","",E262-E266*$AM266-E267*$AM267-E268*$AM268-E269*$AM269-E270*$AM270-E271*$AM271-E272*$AM272-E273*$AM273)</f>
        <v/>
      </c>
      <c r="F263" s="47" t="str">
        <f t="shared" ref="F263" si="945">IF(F261="","",F262-F266*$AM266-F267*$AM267-F268*$AM268-F269*$AM269-F270*$AM270-F271*$AM271-F272*$AM272-F273*$AM273)</f>
        <v/>
      </c>
      <c r="G263" s="47" t="str">
        <f t="shared" ref="G263" si="946">IF(G261="","",G262-G266*$AM266-G267*$AM267-G268*$AM268-G269*$AM269-G270*$AM270-G271*$AM271-G272*$AM272-G273*$AM273)</f>
        <v/>
      </c>
      <c r="H263" s="47" t="str">
        <f t="shared" ref="H263" si="947">IF(H261="","",H262-H266*$AM266-H267*$AM267-H268*$AM268-H269*$AM269-H270*$AM270-H271*$AM271-H272*$AM272-H273*$AM273)</f>
        <v/>
      </c>
      <c r="I263" s="47" t="str">
        <f t="shared" ref="I263" si="948">IF(I261="","",I262-I266*$AM266-I267*$AM267-I268*$AM268-I269*$AM269-I270*$AM270-I271*$AM271-I272*$AM272-I273*$AM273)</f>
        <v/>
      </c>
      <c r="J263" s="47" t="str">
        <f t="shared" ref="J263" si="949">IF(J261="","",J262-J266*$AM266-J267*$AM267-J268*$AM268-J269*$AM269-J270*$AM270-J271*$AM271-J272*$AM272-J273*$AM273)</f>
        <v/>
      </c>
      <c r="K263" s="47" t="str">
        <f t="shared" ref="K263" si="950">IF(K261="","",K262-K266*$AM266-K267*$AM267-K268*$AM268-K269*$AM269-K270*$AM270-K271*$AM271-K272*$AM272-K273*$AM273)</f>
        <v/>
      </c>
      <c r="L263" s="47" t="str">
        <f t="shared" ref="L263" si="951">IF(L261="","",L262-L266*$AM266-L267*$AM267-L268*$AM268-L269*$AM269-L270*$AM270-L271*$AM271-L272*$AM272-L273*$AM273)</f>
        <v/>
      </c>
      <c r="M263" s="47" t="str">
        <f t="shared" ref="M263" si="952">IF(M261="","",M262-M266*$AM266-M267*$AM267-M268*$AM268-M269*$AM269-M270*$AM270-M271*$AM271-M272*$AM272-M273*$AM273)</f>
        <v/>
      </c>
      <c r="N263" s="47" t="str">
        <f t="shared" ref="N263" si="953">IF(N261="","",N262-N266*$AM266-N267*$AM267-N268*$AM268-N269*$AM269-N270*$AM270-N271*$AM271-N272*$AM272-N273*$AM273)</f>
        <v/>
      </c>
      <c r="O263" s="47" t="str">
        <f t="shared" ref="O263" si="954">IF(O261="","",O262-O266*$AM266-O267*$AM267-O268*$AM268-O269*$AM269-O270*$AM270-O271*$AM271-O272*$AM272-O273*$AM273)</f>
        <v/>
      </c>
      <c r="P263" s="47" t="str">
        <f t="shared" ref="P263" si="955">IF(P261="","",P262-P266*$AM266-P267*$AM267-P268*$AM268-P269*$AM269-P270*$AM270-P271*$AM271-P272*$AM272-P273*$AM273)</f>
        <v/>
      </c>
      <c r="Q263" s="47" t="str">
        <f t="shared" ref="Q263" si="956">IF(Q261="","",Q262-Q266*$AM266-Q267*$AM267-Q268*$AM268-Q269*$AM269-Q270*$AM270-Q271*$AM271-Q272*$AM272-Q273*$AM273)</f>
        <v/>
      </c>
      <c r="R263" s="47" t="str">
        <f t="shared" ref="R263" si="957">IF(R261="","",R262-R266*$AM266-R267*$AM267-R268*$AM268-R269*$AM269-R270*$AM270-R271*$AM271-R272*$AM272-R273*$AM273)</f>
        <v/>
      </c>
      <c r="S263" s="47" t="str">
        <f t="shared" ref="S263" si="958">IF(S261="","",S262-S266*$AM266-S267*$AM267-S268*$AM268-S269*$AM269-S270*$AM270-S271*$AM271-S272*$AM272-S273*$AM273)</f>
        <v/>
      </c>
      <c r="T263" s="47" t="str">
        <f t="shared" ref="T263" si="959">IF(T261="","",T262-T266*$AM266-T267*$AM267-T268*$AM268-T269*$AM269-T270*$AM270-T271*$AM271-T272*$AM272-T273*$AM273)</f>
        <v/>
      </c>
      <c r="U263" s="47" t="str">
        <f t="shared" ref="U263" si="960">IF(U261="","",U262-U266*$AM266-U267*$AM267-U268*$AM268-U269*$AM269-U270*$AM270-U271*$AM271-U272*$AM272-U273*$AM273)</f>
        <v/>
      </c>
      <c r="V263" s="47" t="str">
        <f t="shared" ref="V263" si="961">IF(V261="","",V262-V266*$AM266-V267*$AM267-V268*$AM268-V269*$AM269-V270*$AM270-V271*$AM271-V272*$AM272-V273*$AM273)</f>
        <v/>
      </c>
      <c r="W263" s="47" t="str">
        <f t="shared" ref="W263" si="962">IF(W261="","",W262-W266*$AM266-W267*$AM267-W268*$AM268-W269*$AM269-W270*$AM270-W271*$AM271-W272*$AM272-W273*$AM273)</f>
        <v/>
      </c>
      <c r="X263" s="47" t="str">
        <f t="shared" ref="X263" si="963">IF(X261="","",X262-X266*$AM266-X267*$AM267-X268*$AM268-X269*$AM269-X270*$AM270-X271*$AM271-X272*$AM272-X273*$AM273)</f>
        <v/>
      </c>
      <c r="Y263" s="47" t="str">
        <f t="shared" ref="Y263" si="964">IF(Y261="","",Y262-Y266*$AM266-Y267*$AM267-Y268*$AM268-Y269*$AM269-Y270*$AM270-Y271*$AM271-Y272*$AM272-Y273*$AM273)</f>
        <v/>
      </c>
      <c r="Z263" s="47" t="str">
        <f t="shared" ref="Z263" si="965">IF(Z261="","",Z262-Z266*$AM266-Z267*$AM267-Z268*$AM268-Z269*$AM269-Z270*$AM270-Z271*$AM271-Z272*$AM272-Z273*$AM273)</f>
        <v/>
      </c>
      <c r="AA263" s="47" t="str">
        <f t="shared" ref="AA263" si="966">IF(AA261="","",AA262-AA266*$AM266-AA267*$AM267-AA268*$AM268-AA269*$AM269-AA270*$AM270-AA271*$AM271-AA272*$AM272-AA273*$AM273)</f>
        <v/>
      </c>
      <c r="AB263" s="47" t="str">
        <f t="shared" ref="AB263" si="967">IF(AB261="","",AB262-AB266*$AM266-AB267*$AM267-AB268*$AM268-AB269*$AM269-AB270*$AM270-AB271*$AM271-AB272*$AM272-AB273*$AM273)</f>
        <v/>
      </c>
      <c r="AC263" s="47" t="str">
        <f t="shared" ref="AC263" si="968">IF(AC261="","",AC262-AC266*$AM266-AC267*$AM267-AC268*$AM268-AC269*$AM269-AC270*$AM270-AC271*$AM271-AC272*$AM272-AC273*$AM273)</f>
        <v/>
      </c>
      <c r="AD263" s="47" t="str">
        <f t="shared" ref="AD263" si="969">IF(AD261="","",AD262-AD266*$AM266-AD267*$AM267-AD268*$AM268-AD269*$AM269-AD270*$AM270-AD271*$AM271-AD272*$AM272-AD273*$AM273)</f>
        <v/>
      </c>
      <c r="AE263" s="47" t="str">
        <f t="shared" ref="AE263" si="970">IF(AE261="","",AE262-AE266*$AM266-AE267*$AM267-AE268*$AM268-AE269*$AM269-AE270*$AM270-AE271*$AM271-AE272*$AM272-AE273*$AM273)</f>
        <v/>
      </c>
      <c r="AF263" s="47" t="str">
        <f t="shared" ref="AF263" si="971">IF(AF261="","",AF262-AF266*$AM266-AF267*$AM267-AF268*$AM268-AF269*$AM269-AF270*$AM270-AF271*$AM271-AF272*$AM272-AF273*$AM273)</f>
        <v/>
      </c>
      <c r="AG263" s="47" t="str">
        <f t="shared" ref="AG263" si="972">IF(AG261="","",AG262-AG266*$AM266-AG267*$AM267-AG268*$AM268-AG269*$AM269-AG270*$AM270-AG271*$AM271-AG272*$AM272-AG273*$AM273)</f>
        <v/>
      </c>
      <c r="AH263" s="47" t="str">
        <f t="shared" ref="AH263" si="973">IF(AH261="","",AH262-AH266*$AM266-AH267*$AM267-AH268*$AM268-AH269*$AM269-AH270*$AM270-AH271*$AM271-AH272*$AM272-AH273*$AM273)</f>
        <v/>
      </c>
      <c r="AI263" s="47" t="str">
        <f t="shared" ref="AI263" si="974">IF(AI261="","",AI262-AI266*$AM266-AI267*$AM267-AI268*$AM268-AI269*$AM269-AI270*$AM270-AI271*$AM271-AI272*$AM272-AI273*$AM273)</f>
        <v/>
      </c>
      <c r="AJ263" s="47" t="str">
        <f t="shared" ref="AJ263" si="975">IF(AJ261="","",AJ262-AJ266*$AM266-AJ267*$AM267-AJ268*$AM268-AJ269*$AM269-AJ270*$AM270-AJ271*$AM271-AJ272*$AM272-AJ273*$AM273)</f>
        <v/>
      </c>
      <c r="AK263" s="47" t="str">
        <f>IF(AK261="","",AK262-AK266*$AM266-AK267*$AM267-AK268*$AM268-AK269*$AM269-AK270*$AM270-AK271*$AM271-AK272*$AM272-AK273*$AM273)</f>
        <v/>
      </c>
      <c r="AL263" s="47" t="str">
        <f t="shared" ref="AL263" si="976">IF(AL261="","",AL262-AL266*$AM266-AL267*$AM267-AL268*$AM268-AL269*$AM269-AL270*$AM270-AL271*$AM271-AL272*$AM272-AL273*$AM273)</f>
        <v/>
      </c>
      <c r="AM263" s="45">
        <f>SUM(C263:AL263)</f>
        <v>0</v>
      </c>
      <c r="AN263" s="155" t="s">
        <v>33</v>
      </c>
      <c r="AO263" s="156"/>
      <c r="AP263" s="157"/>
      <c r="AQ263" s="158"/>
      <c r="AR263" s="17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</row>
    <row r="264" spans="1:81" ht="17.100000000000001" customHeight="1" outlineLevel="1">
      <c r="A264" s="177" t="s">
        <v>20</v>
      </c>
      <c r="B264" s="178"/>
      <c r="C264" s="181" t="s">
        <v>0</v>
      </c>
      <c r="D264" s="182"/>
      <c r="E264" s="182"/>
      <c r="F264" s="182"/>
      <c r="G264" s="182"/>
      <c r="H264" s="182"/>
      <c r="I264" s="182"/>
      <c r="J264" s="182"/>
      <c r="K264" s="182"/>
      <c r="L264" s="182"/>
      <c r="M264" s="182"/>
      <c r="N264" s="182"/>
      <c r="O264" s="182"/>
      <c r="P264" s="182"/>
      <c r="Q264" s="182"/>
      <c r="R264" s="182"/>
      <c r="S264" s="182"/>
      <c r="T264" s="182"/>
      <c r="U264" s="182"/>
      <c r="V264" s="182"/>
      <c r="W264" s="182"/>
      <c r="X264" s="182"/>
      <c r="Y264" s="182"/>
      <c r="Z264" s="182"/>
      <c r="AA264" s="182"/>
      <c r="AB264" s="182"/>
      <c r="AC264" s="182"/>
      <c r="AD264" s="182"/>
      <c r="AE264" s="182"/>
      <c r="AF264" s="182"/>
      <c r="AG264" s="182"/>
      <c r="AH264" s="182"/>
      <c r="AI264" s="182"/>
      <c r="AJ264" s="182"/>
      <c r="AK264" s="182"/>
      <c r="AL264" s="183"/>
      <c r="AM264" s="187" t="s">
        <v>1</v>
      </c>
      <c r="AN264" s="200" t="s">
        <v>11</v>
      </c>
      <c r="AO264" s="196" t="s">
        <v>12</v>
      </c>
      <c r="AP264" s="197"/>
      <c r="AQ264" s="193" t="s">
        <v>6</v>
      </c>
      <c r="AR264" s="24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</row>
    <row r="265" spans="1:81" ht="17.100000000000001" customHeight="1" outlineLevel="1">
      <c r="A265" s="179"/>
      <c r="B265" s="180"/>
      <c r="C265" s="184"/>
      <c r="D265" s="185"/>
      <c r="E265" s="185"/>
      <c r="F265" s="185"/>
      <c r="G265" s="185"/>
      <c r="H265" s="185"/>
      <c r="I265" s="185"/>
      <c r="J265" s="185"/>
      <c r="K265" s="185"/>
      <c r="L265" s="185"/>
      <c r="M265" s="185"/>
      <c r="N265" s="185"/>
      <c r="O265" s="185"/>
      <c r="P265" s="185"/>
      <c r="Q265" s="185"/>
      <c r="R265" s="185"/>
      <c r="S265" s="185"/>
      <c r="T265" s="185"/>
      <c r="U265" s="185"/>
      <c r="V265" s="185"/>
      <c r="W265" s="185"/>
      <c r="X265" s="185"/>
      <c r="Y265" s="185"/>
      <c r="Z265" s="185"/>
      <c r="AA265" s="185"/>
      <c r="AB265" s="185"/>
      <c r="AC265" s="185"/>
      <c r="AD265" s="185"/>
      <c r="AE265" s="185"/>
      <c r="AF265" s="185"/>
      <c r="AG265" s="185"/>
      <c r="AH265" s="185"/>
      <c r="AI265" s="185"/>
      <c r="AJ265" s="185"/>
      <c r="AK265" s="185"/>
      <c r="AL265" s="186"/>
      <c r="AM265" s="188"/>
      <c r="AN265" s="190"/>
      <c r="AO265" s="18" t="s">
        <v>3</v>
      </c>
      <c r="AP265" s="19" t="s">
        <v>13</v>
      </c>
      <c r="AQ265" s="172"/>
      <c r="AR265" s="27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</row>
    <row r="266" spans="1:81" ht="17.100000000000001" customHeight="1" outlineLevel="1">
      <c r="A266" s="173"/>
      <c r="B266" s="30" t="s">
        <v>21</v>
      </c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39"/>
      <c r="Q266" s="39"/>
      <c r="R266" s="39"/>
      <c r="S266" s="39"/>
      <c r="T266" s="39"/>
      <c r="U266" s="39"/>
      <c r="V266" s="39"/>
      <c r="W266" s="39"/>
      <c r="X266" s="39"/>
      <c r="Y266" s="39"/>
      <c r="Z266" s="39"/>
      <c r="AA266" s="39"/>
      <c r="AB266" s="39"/>
      <c r="AC266" s="39"/>
      <c r="AD266" s="39"/>
      <c r="AE266" s="39"/>
      <c r="AF266" s="39"/>
      <c r="AG266" s="39"/>
      <c r="AH266" s="39"/>
      <c r="AI266" s="39"/>
      <c r="AJ266" s="39"/>
      <c r="AK266" s="39"/>
      <c r="AL266" s="39"/>
      <c r="AM266" s="39"/>
      <c r="AN266" s="40" t="str">
        <f>IF(AM266="","",SUM(C266:AL266)*AM266)</f>
        <v/>
      </c>
      <c r="AO266" s="39"/>
      <c r="AP266" s="39"/>
      <c r="AQ266" s="42">
        <f>(AO266+AR266)*AM266</f>
        <v>0</v>
      </c>
      <c r="AR266" s="25">
        <f>AP266/36</f>
        <v>0</v>
      </c>
      <c r="AT266" s="3" t="str">
        <f t="shared" ref="AT266:CA266" si="977">IF(C266=0,"",ROUNDUP(C263/C266,0))</f>
        <v/>
      </c>
      <c r="AU266" s="3" t="str">
        <f t="shared" si="977"/>
        <v/>
      </c>
      <c r="AV266" s="3" t="str">
        <f t="shared" si="977"/>
        <v/>
      </c>
      <c r="AW266" s="3" t="str">
        <f t="shared" si="977"/>
        <v/>
      </c>
      <c r="AX266" s="3" t="str">
        <f t="shared" si="977"/>
        <v/>
      </c>
      <c r="AY266" s="3" t="str">
        <f t="shared" si="977"/>
        <v/>
      </c>
      <c r="AZ266" s="3" t="str">
        <f t="shared" si="977"/>
        <v/>
      </c>
      <c r="BA266" s="3" t="str">
        <f t="shared" si="977"/>
        <v/>
      </c>
      <c r="BB266" s="3" t="str">
        <f t="shared" si="977"/>
        <v/>
      </c>
      <c r="BC266" s="3" t="str">
        <f t="shared" si="977"/>
        <v/>
      </c>
      <c r="BD266" s="3" t="str">
        <f t="shared" si="977"/>
        <v/>
      </c>
      <c r="BE266" s="3" t="str">
        <f t="shared" si="977"/>
        <v/>
      </c>
      <c r="BF266" s="3" t="str">
        <f t="shared" si="977"/>
        <v/>
      </c>
      <c r="BG266" s="3" t="str">
        <f t="shared" si="977"/>
        <v/>
      </c>
      <c r="BH266" s="3" t="str">
        <f t="shared" si="977"/>
        <v/>
      </c>
      <c r="BI266" s="3" t="str">
        <f t="shared" si="977"/>
        <v/>
      </c>
      <c r="BJ266" s="3" t="str">
        <f t="shared" si="977"/>
        <v/>
      </c>
      <c r="BK266" s="3" t="str">
        <f t="shared" si="977"/>
        <v/>
      </c>
      <c r="BL266" s="3" t="str">
        <f t="shared" si="977"/>
        <v/>
      </c>
      <c r="BM266" s="3" t="str">
        <f t="shared" si="977"/>
        <v/>
      </c>
      <c r="BN266" s="3" t="str">
        <f t="shared" si="977"/>
        <v/>
      </c>
      <c r="BO266" s="3" t="str">
        <f t="shared" si="977"/>
        <v/>
      </c>
      <c r="BP266" s="3" t="str">
        <f t="shared" si="977"/>
        <v/>
      </c>
      <c r="BQ266" s="3" t="str">
        <f t="shared" si="977"/>
        <v/>
      </c>
      <c r="BR266" s="3" t="str">
        <f t="shared" si="977"/>
        <v/>
      </c>
      <c r="BS266" s="3" t="str">
        <f t="shared" si="977"/>
        <v/>
      </c>
      <c r="BT266" s="3" t="str">
        <f t="shared" si="977"/>
        <v/>
      </c>
      <c r="BU266" s="3" t="str">
        <f t="shared" si="977"/>
        <v/>
      </c>
      <c r="BV266" s="3" t="str">
        <f t="shared" si="977"/>
        <v/>
      </c>
      <c r="BW266" s="3" t="str">
        <f t="shared" si="977"/>
        <v/>
      </c>
      <c r="BX266" s="3" t="str">
        <f t="shared" si="977"/>
        <v/>
      </c>
      <c r="BY266" s="3" t="str">
        <f t="shared" si="977"/>
        <v/>
      </c>
      <c r="BZ266" s="3" t="str">
        <f t="shared" si="977"/>
        <v/>
      </c>
      <c r="CA266" s="3" t="str">
        <f t="shared" si="977"/>
        <v/>
      </c>
      <c r="CB266" s="3" t="str">
        <f t="shared" ref="CB266" si="978">IF(AK266=0,"",ROUNDUP(AK263/AK266,0))</f>
        <v/>
      </c>
      <c r="CC266" s="3" t="str">
        <f t="shared" ref="CC266" si="979">IF(AL266=0,"",ROUNDUP(AL263/AL266,0))</f>
        <v/>
      </c>
    </row>
    <row r="267" spans="1:81" ht="17.100000000000001" customHeight="1" outlineLevel="1">
      <c r="A267" s="174"/>
      <c r="B267" s="30" t="s">
        <v>22</v>
      </c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39"/>
      <c r="P267" s="39"/>
      <c r="Q267" s="39"/>
      <c r="R267" s="39"/>
      <c r="S267" s="39"/>
      <c r="T267" s="39"/>
      <c r="U267" s="39"/>
      <c r="V267" s="39"/>
      <c r="W267" s="39"/>
      <c r="X267" s="39"/>
      <c r="Y267" s="39"/>
      <c r="Z267" s="39"/>
      <c r="AA267" s="39"/>
      <c r="AB267" s="39"/>
      <c r="AC267" s="39"/>
      <c r="AD267" s="39"/>
      <c r="AE267" s="39"/>
      <c r="AF267" s="39"/>
      <c r="AG267" s="39"/>
      <c r="AH267" s="39"/>
      <c r="AI267" s="39"/>
      <c r="AJ267" s="39"/>
      <c r="AK267" s="39"/>
      <c r="AL267" s="39"/>
      <c r="AM267" s="39"/>
      <c r="AN267" s="40" t="str">
        <f t="shared" ref="AN267:AN270" si="980">IF(AM267="","",SUM(C267:AL267)*AM267)</f>
        <v/>
      </c>
      <c r="AO267" s="39"/>
      <c r="AP267" s="39"/>
      <c r="AQ267" s="42">
        <f t="shared" ref="AQ267:AQ273" si="981">(AO267+AR267)*AM267</f>
        <v>0</v>
      </c>
      <c r="AR267" s="25">
        <f t="shared" ref="AR267:AR273" si="982">AP267/36</f>
        <v>0</v>
      </c>
      <c r="AT267" s="3" t="str">
        <f t="shared" ref="AT267:CA267" si="983">IF(C267=0,"",ROUNDUP(C263/C267,0))</f>
        <v/>
      </c>
      <c r="AU267" s="3" t="str">
        <f t="shared" si="983"/>
        <v/>
      </c>
      <c r="AV267" s="3" t="str">
        <f t="shared" si="983"/>
        <v/>
      </c>
      <c r="AW267" s="3" t="str">
        <f t="shared" si="983"/>
        <v/>
      </c>
      <c r="AX267" s="3" t="str">
        <f t="shared" si="983"/>
        <v/>
      </c>
      <c r="AY267" s="3" t="str">
        <f t="shared" si="983"/>
        <v/>
      </c>
      <c r="AZ267" s="3" t="str">
        <f t="shared" si="983"/>
        <v/>
      </c>
      <c r="BA267" s="3" t="str">
        <f t="shared" si="983"/>
        <v/>
      </c>
      <c r="BB267" s="3" t="str">
        <f t="shared" si="983"/>
        <v/>
      </c>
      <c r="BC267" s="3" t="str">
        <f t="shared" si="983"/>
        <v/>
      </c>
      <c r="BD267" s="3" t="str">
        <f t="shared" si="983"/>
        <v/>
      </c>
      <c r="BE267" s="3" t="str">
        <f t="shared" si="983"/>
        <v/>
      </c>
      <c r="BF267" s="3" t="str">
        <f t="shared" si="983"/>
        <v/>
      </c>
      <c r="BG267" s="3" t="str">
        <f t="shared" si="983"/>
        <v/>
      </c>
      <c r="BH267" s="3" t="str">
        <f t="shared" si="983"/>
        <v/>
      </c>
      <c r="BI267" s="3" t="str">
        <f t="shared" si="983"/>
        <v/>
      </c>
      <c r="BJ267" s="3" t="str">
        <f t="shared" si="983"/>
        <v/>
      </c>
      <c r="BK267" s="3" t="str">
        <f t="shared" si="983"/>
        <v/>
      </c>
      <c r="BL267" s="3" t="str">
        <f t="shared" si="983"/>
        <v/>
      </c>
      <c r="BM267" s="3" t="str">
        <f t="shared" si="983"/>
        <v/>
      </c>
      <c r="BN267" s="3" t="str">
        <f t="shared" si="983"/>
        <v/>
      </c>
      <c r="BO267" s="3" t="str">
        <f t="shared" si="983"/>
        <v/>
      </c>
      <c r="BP267" s="3" t="str">
        <f t="shared" si="983"/>
        <v/>
      </c>
      <c r="BQ267" s="3" t="str">
        <f t="shared" si="983"/>
        <v/>
      </c>
      <c r="BR267" s="3" t="str">
        <f t="shared" si="983"/>
        <v/>
      </c>
      <c r="BS267" s="3" t="str">
        <f t="shared" si="983"/>
        <v/>
      </c>
      <c r="BT267" s="3" t="str">
        <f t="shared" si="983"/>
        <v/>
      </c>
      <c r="BU267" s="3" t="str">
        <f t="shared" si="983"/>
        <v/>
      </c>
      <c r="BV267" s="3" t="str">
        <f t="shared" si="983"/>
        <v/>
      </c>
      <c r="BW267" s="3" t="str">
        <f t="shared" si="983"/>
        <v/>
      </c>
      <c r="BX267" s="3" t="str">
        <f t="shared" si="983"/>
        <v/>
      </c>
      <c r="BY267" s="3" t="str">
        <f t="shared" si="983"/>
        <v/>
      </c>
      <c r="BZ267" s="3" t="str">
        <f t="shared" si="983"/>
        <v/>
      </c>
      <c r="CA267" s="3" t="str">
        <f t="shared" si="983"/>
        <v/>
      </c>
      <c r="CB267" s="3" t="str">
        <f t="shared" ref="CB267" si="984">IF(AK267=0,"",ROUNDUP(AK263/AK267,0))</f>
        <v/>
      </c>
      <c r="CC267" s="3" t="str">
        <f t="shared" ref="CC267" si="985">IF(AL267=0,"",ROUNDUP(AL263/AL267,0))</f>
        <v/>
      </c>
    </row>
    <row r="268" spans="1:81" ht="17.100000000000001" customHeight="1" outlineLevel="1">
      <c r="A268" s="174"/>
      <c r="B268" s="30" t="s">
        <v>23</v>
      </c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39"/>
      <c r="P268" s="39"/>
      <c r="Q268" s="39"/>
      <c r="R268" s="39"/>
      <c r="S268" s="39"/>
      <c r="T268" s="39"/>
      <c r="U268" s="39"/>
      <c r="V268" s="39"/>
      <c r="W268" s="39"/>
      <c r="X268" s="39"/>
      <c r="Y268" s="39"/>
      <c r="Z268" s="39"/>
      <c r="AA268" s="39"/>
      <c r="AB268" s="39"/>
      <c r="AC268" s="39"/>
      <c r="AD268" s="39"/>
      <c r="AE268" s="39"/>
      <c r="AF268" s="39"/>
      <c r="AG268" s="39"/>
      <c r="AH268" s="39"/>
      <c r="AI268" s="39"/>
      <c r="AJ268" s="39"/>
      <c r="AK268" s="39"/>
      <c r="AL268" s="39"/>
      <c r="AM268" s="39"/>
      <c r="AN268" s="40" t="str">
        <f t="shared" si="980"/>
        <v/>
      </c>
      <c r="AO268" s="39"/>
      <c r="AP268" s="39"/>
      <c r="AQ268" s="42">
        <f t="shared" si="981"/>
        <v>0</v>
      </c>
      <c r="AR268" s="25">
        <f t="shared" si="982"/>
        <v>0</v>
      </c>
      <c r="AT268" s="3" t="str">
        <f t="shared" ref="AT268:CA268" si="986">IF(C268=0,"",ROUNDUP(C263/C268,0))</f>
        <v/>
      </c>
      <c r="AU268" s="3" t="str">
        <f t="shared" si="986"/>
        <v/>
      </c>
      <c r="AV268" s="3" t="str">
        <f t="shared" si="986"/>
        <v/>
      </c>
      <c r="AW268" s="3" t="str">
        <f t="shared" si="986"/>
        <v/>
      </c>
      <c r="AX268" s="3" t="str">
        <f t="shared" si="986"/>
        <v/>
      </c>
      <c r="AY268" s="3" t="str">
        <f t="shared" si="986"/>
        <v/>
      </c>
      <c r="AZ268" s="3" t="str">
        <f t="shared" si="986"/>
        <v/>
      </c>
      <c r="BA268" s="3" t="str">
        <f t="shared" si="986"/>
        <v/>
      </c>
      <c r="BB268" s="3" t="str">
        <f t="shared" si="986"/>
        <v/>
      </c>
      <c r="BC268" s="3" t="str">
        <f t="shared" si="986"/>
        <v/>
      </c>
      <c r="BD268" s="3" t="str">
        <f t="shared" si="986"/>
        <v/>
      </c>
      <c r="BE268" s="3" t="str">
        <f t="shared" si="986"/>
        <v/>
      </c>
      <c r="BF268" s="3" t="str">
        <f t="shared" si="986"/>
        <v/>
      </c>
      <c r="BG268" s="3" t="str">
        <f t="shared" si="986"/>
        <v/>
      </c>
      <c r="BH268" s="3" t="str">
        <f t="shared" si="986"/>
        <v/>
      </c>
      <c r="BI268" s="3" t="str">
        <f t="shared" si="986"/>
        <v/>
      </c>
      <c r="BJ268" s="3" t="str">
        <f t="shared" si="986"/>
        <v/>
      </c>
      <c r="BK268" s="3" t="str">
        <f t="shared" si="986"/>
        <v/>
      </c>
      <c r="BL268" s="3" t="str">
        <f t="shared" si="986"/>
        <v/>
      </c>
      <c r="BM268" s="3" t="str">
        <f t="shared" si="986"/>
        <v/>
      </c>
      <c r="BN268" s="3" t="str">
        <f t="shared" si="986"/>
        <v/>
      </c>
      <c r="BO268" s="3" t="str">
        <f t="shared" si="986"/>
        <v/>
      </c>
      <c r="BP268" s="3" t="str">
        <f t="shared" si="986"/>
        <v/>
      </c>
      <c r="BQ268" s="3" t="str">
        <f t="shared" si="986"/>
        <v/>
      </c>
      <c r="BR268" s="3" t="str">
        <f t="shared" si="986"/>
        <v/>
      </c>
      <c r="BS268" s="3" t="str">
        <f t="shared" si="986"/>
        <v/>
      </c>
      <c r="BT268" s="3" t="str">
        <f t="shared" si="986"/>
        <v/>
      </c>
      <c r="BU268" s="3" t="str">
        <f t="shared" si="986"/>
        <v/>
      </c>
      <c r="BV268" s="3" t="str">
        <f t="shared" si="986"/>
        <v/>
      </c>
      <c r="BW268" s="3" t="str">
        <f t="shared" si="986"/>
        <v/>
      </c>
      <c r="BX268" s="3" t="str">
        <f t="shared" si="986"/>
        <v/>
      </c>
      <c r="BY268" s="3" t="str">
        <f t="shared" si="986"/>
        <v/>
      </c>
      <c r="BZ268" s="3" t="str">
        <f t="shared" si="986"/>
        <v/>
      </c>
      <c r="CA268" s="3" t="str">
        <f t="shared" si="986"/>
        <v/>
      </c>
      <c r="CB268" s="3" t="str">
        <f t="shared" ref="CB268" si="987">IF(AK268=0,"",ROUNDUP(AK263/AK268,0))</f>
        <v/>
      </c>
      <c r="CC268" s="3" t="str">
        <f t="shared" ref="CC268" si="988">IF(AL268=0,"",ROUNDUP(AL263/AL268,0))</f>
        <v/>
      </c>
    </row>
    <row r="269" spans="1:81" ht="17.100000000000001" customHeight="1" outlineLevel="1">
      <c r="A269" s="174"/>
      <c r="B269" s="30" t="s">
        <v>24</v>
      </c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39"/>
      <c r="P269" s="39"/>
      <c r="Q269" s="39"/>
      <c r="R269" s="39"/>
      <c r="S269" s="39"/>
      <c r="T269" s="39"/>
      <c r="U269" s="39"/>
      <c r="V269" s="39"/>
      <c r="W269" s="39"/>
      <c r="X269" s="39"/>
      <c r="Y269" s="39"/>
      <c r="Z269" s="39"/>
      <c r="AA269" s="39"/>
      <c r="AB269" s="39"/>
      <c r="AC269" s="39"/>
      <c r="AD269" s="39"/>
      <c r="AE269" s="39"/>
      <c r="AF269" s="39"/>
      <c r="AG269" s="39"/>
      <c r="AH269" s="39"/>
      <c r="AI269" s="39"/>
      <c r="AJ269" s="39"/>
      <c r="AK269" s="39"/>
      <c r="AL269" s="39"/>
      <c r="AM269" s="39"/>
      <c r="AN269" s="40" t="str">
        <f t="shared" si="980"/>
        <v/>
      </c>
      <c r="AO269" s="39"/>
      <c r="AP269" s="39"/>
      <c r="AQ269" s="42">
        <f t="shared" si="981"/>
        <v>0</v>
      </c>
      <c r="AR269" s="25">
        <f t="shared" si="982"/>
        <v>0</v>
      </c>
      <c r="AT269" s="3" t="str">
        <f t="shared" ref="AT269:CA269" si="989">IF(C269=0,"",ROUNDUP(C263/C269,0))</f>
        <v/>
      </c>
      <c r="AU269" s="3" t="str">
        <f t="shared" si="989"/>
        <v/>
      </c>
      <c r="AV269" s="3" t="str">
        <f t="shared" si="989"/>
        <v/>
      </c>
      <c r="AW269" s="3" t="str">
        <f t="shared" si="989"/>
        <v/>
      </c>
      <c r="AX269" s="3" t="str">
        <f t="shared" si="989"/>
        <v/>
      </c>
      <c r="AY269" s="3" t="str">
        <f t="shared" si="989"/>
        <v/>
      </c>
      <c r="AZ269" s="3" t="str">
        <f t="shared" si="989"/>
        <v/>
      </c>
      <c r="BA269" s="3" t="str">
        <f t="shared" si="989"/>
        <v/>
      </c>
      <c r="BB269" s="3" t="str">
        <f t="shared" si="989"/>
        <v/>
      </c>
      <c r="BC269" s="3" t="str">
        <f t="shared" si="989"/>
        <v/>
      </c>
      <c r="BD269" s="3" t="str">
        <f t="shared" si="989"/>
        <v/>
      </c>
      <c r="BE269" s="3" t="str">
        <f t="shared" si="989"/>
        <v/>
      </c>
      <c r="BF269" s="3" t="str">
        <f t="shared" si="989"/>
        <v/>
      </c>
      <c r="BG269" s="3" t="str">
        <f t="shared" si="989"/>
        <v/>
      </c>
      <c r="BH269" s="3" t="str">
        <f t="shared" si="989"/>
        <v/>
      </c>
      <c r="BI269" s="3" t="str">
        <f t="shared" si="989"/>
        <v/>
      </c>
      <c r="BJ269" s="3" t="str">
        <f t="shared" si="989"/>
        <v/>
      </c>
      <c r="BK269" s="3" t="str">
        <f t="shared" si="989"/>
        <v/>
      </c>
      <c r="BL269" s="3" t="str">
        <f t="shared" si="989"/>
        <v/>
      </c>
      <c r="BM269" s="3" t="str">
        <f t="shared" si="989"/>
        <v/>
      </c>
      <c r="BN269" s="3" t="str">
        <f t="shared" si="989"/>
        <v/>
      </c>
      <c r="BO269" s="3" t="str">
        <f t="shared" si="989"/>
        <v/>
      </c>
      <c r="BP269" s="3" t="str">
        <f t="shared" si="989"/>
        <v/>
      </c>
      <c r="BQ269" s="3" t="str">
        <f t="shared" si="989"/>
        <v/>
      </c>
      <c r="BR269" s="3" t="str">
        <f t="shared" si="989"/>
        <v/>
      </c>
      <c r="BS269" s="3" t="str">
        <f t="shared" si="989"/>
        <v/>
      </c>
      <c r="BT269" s="3" t="str">
        <f t="shared" si="989"/>
        <v/>
      </c>
      <c r="BU269" s="3" t="str">
        <f t="shared" si="989"/>
        <v/>
      </c>
      <c r="BV269" s="3" t="str">
        <f t="shared" si="989"/>
        <v/>
      </c>
      <c r="BW269" s="3" t="str">
        <f t="shared" si="989"/>
        <v/>
      </c>
      <c r="BX269" s="3" t="str">
        <f t="shared" si="989"/>
        <v/>
      </c>
      <c r="BY269" s="3" t="str">
        <f t="shared" si="989"/>
        <v/>
      </c>
      <c r="BZ269" s="3" t="str">
        <f t="shared" si="989"/>
        <v/>
      </c>
      <c r="CA269" s="3" t="str">
        <f t="shared" si="989"/>
        <v/>
      </c>
      <c r="CB269" s="3" t="str">
        <f t="shared" ref="CB269" si="990">IF(AK269=0,"",ROUNDUP(AK263/AK269,0))</f>
        <v/>
      </c>
      <c r="CC269" s="3" t="str">
        <f t="shared" ref="CC269" si="991">IF(AL269=0,"",ROUNDUP(AL263/AL269,0))</f>
        <v/>
      </c>
    </row>
    <row r="270" spans="1:81" ht="17.100000000000001" customHeight="1" outlineLevel="1">
      <c r="A270" s="174"/>
      <c r="B270" s="30" t="s">
        <v>25</v>
      </c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39"/>
      <c r="P270" s="39"/>
      <c r="Q270" s="39"/>
      <c r="R270" s="39"/>
      <c r="S270" s="39"/>
      <c r="T270" s="39"/>
      <c r="U270" s="39"/>
      <c r="V270" s="39"/>
      <c r="W270" s="39"/>
      <c r="X270" s="39"/>
      <c r="Y270" s="39"/>
      <c r="Z270" s="39"/>
      <c r="AA270" s="39"/>
      <c r="AB270" s="39"/>
      <c r="AC270" s="39"/>
      <c r="AD270" s="39"/>
      <c r="AE270" s="39"/>
      <c r="AF270" s="39"/>
      <c r="AG270" s="39"/>
      <c r="AH270" s="39"/>
      <c r="AI270" s="39"/>
      <c r="AJ270" s="39"/>
      <c r="AK270" s="39"/>
      <c r="AL270" s="39"/>
      <c r="AM270" s="39"/>
      <c r="AN270" s="40" t="str">
        <f t="shared" si="980"/>
        <v/>
      </c>
      <c r="AO270" s="39"/>
      <c r="AP270" s="39"/>
      <c r="AQ270" s="42">
        <f t="shared" si="981"/>
        <v>0</v>
      </c>
      <c r="AR270" s="25">
        <f t="shared" si="982"/>
        <v>0</v>
      </c>
      <c r="AT270" s="3" t="str">
        <f t="shared" ref="AT270:CA270" si="992">IF(C270=0,"",ROUNDUP(C263/C270,0))</f>
        <v/>
      </c>
      <c r="AU270" s="3" t="str">
        <f t="shared" si="992"/>
        <v/>
      </c>
      <c r="AV270" s="3" t="str">
        <f t="shared" si="992"/>
        <v/>
      </c>
      <c r="AW270" s="3" t="str">
        <f t="shared" si="992"/>
        <v/>
      </c>
      <c r="AX270" s="3" t="str">
        <f t="shared" si="992"/>
        <v/>
      </c>
      <c r="AY270" s="3" t="str">
        <f t="shared" si="992"/>
        <v/>
      </c>
      <c r="AZ270" s="3" t="str">
        <f t="shared" si="992"/>
        <v/>
      </c>
      <c r="BA270" s="3" t="str">
        <f t="shared" si="992"/>
        <v/>
      </c>
      <c r="BB270" s="3" t="str">
        <f t="shared" si="992"/>
        <v/>
      </c>
      <c r="BC270" s="3" t="str">
        <f t="shared" si="992"/>
        <v/>
      </c>
      <c r="BD270" s="3" t="str">
        <f t="shared" si="992"/>
        <v/>
      </c>
      <c r="BE270" s="3" t="str">
        <f t="shared" si="992"/>
        <v/>
      </c>
      <c r="BF270" s="3" t="str">
        <f t="shared" si="992"/>
        <v/>
      </c>
      <c r="BG270" s="3" t="str">
        <f t="shared" si="992"/>
        <v/>
      </c>
      <c r="BH270" s="3" t="str">
        <f t="shared" si="992"/>
        <v/>
      </c>
      <c r="BI270" s="3" t="str">
        <f t="shared" si="992"/>
        <v/>
      </c>
      <c r="BJ270" s="3" t="str">
        <f t="shared" si="992"/>
        <v/>
      </c>
      <c r="BK270" s="3" t="str">
        <f t="shared" si="992"/>
        <v/>
      </c>
      <c r="BL270" s="3" t="str">
        <f t="shared" si="992"/>
        <v/>
      </c>
      <c r="BM270" s="3" t="str">
        <f t="shared" si="992"/>
        <v/>
      </c>
      <c r="BN270" s="3" t="str">
        <f t="shared" si="992"/>
        <v/>
      </c>
      <c r="BO270" s="3" t="str">
        <f t="shared" si="992"/>
        <v/>
      </c>
      <c r="BP270" s="3" t="str">
        <f t="shared" si="992"/>
        <v/>
      </c>
      <c r="BQ270" s="3" t="str">
        <f t="shared" si="992"/>
        <v/>
      </c>
      <c r="BR270" s="3" t="str">
        <f t="shared" si="992"/>
        <v/>
      </c>
      <c r="BS270" s="3" t="str">
        <f t="shared" si="992"/>
        <v/>
      </c>
      <c r="BT270" s="3" t="str">
        <f t="shared" si="992"/>
        <v/>
      </c>
      <c r="BU270" s="3" t="str">
        <f t="shared" si="992"/>
        <v/>
      </c>
      <c r="BV270" s="3" t="str">
        <f t="shared" si="992"/>
        <v/>
      </c>
      <c r="BW270" s="3" t="str">
        <f t="shared" si="992"/>
        <v/>
      </c>
      <c r="BX270" s="3" t="str">
        <f t="shared" si="992"/>
        <v/>
      </c>
      <c r="BY270" s="3" t="str">
        <f t="shared" si="992"/>
        <v/>
      </c>
      <c r="BZ270" s="3" t="str">
        <f t="shared" si="992"/>
        <v/>
      </c>
      <c r="CA270" s="3" t="str">
        <f t="shared" si="992"/>
        <v/>
      </c>
      <c r="CB270" s="3" t="str">
        <f t="shared" ref="CB270" si="993">IF(AK270=0,"",ROUNDUP(AK263/AK270,0))</f>
        <v/>
      </c>
      <c r="CC270" s="3" t="str">
        <f t="shared" ref="CC270" si="994">IF(AL270=0,"",ROUNDUP(AL263/AL270,0))</f>
        <v/>
      </c>
    </row>
    <row r="271" spans="1:81" ht="17.100000000000001" customHeight="1" outlineLevel="1">
      <c r="A271" s="174"/>
      <c r="B271" s="30" t="s">
        <v>26</v>
      </c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39"/>
      <c r="P271" s="39"/>
      <c r="Q271" s="39"/>
      <c r="R271" s="39"/>
      <c r="S271" s="39"/>
      <c r="T271" s="39"/>
      <c r="U271" s="39"/>
      <c r="V271" s="39"/>
      <c r="W271" s="39"/>
      <c r="X271" s="39"/>
      <c r="Y271" s="39"/>
      <c r="Z271" s="39"/>
      <c r="AA271" s="39"/>
      <c r="AB271" s="39"/>
      <c r="AC271" s="39"/>
      <c r="AD271" s="39"/>
      <c r="AE271" s="39"/>
      <c r="AF271" s="39"/>
      <c r="AG271" s="39"/>
      <c r="AH271" s="39"/>
      <c r="AI271" s="39"/>
      <c r="AJ271" s="39"/>
      <c r="AK271" s="39"/>
      <c r="AL271" s="39"/>
      <c r="AM271" s="39"/>
      <c r="AN271" s="40" t="str">
        <f>IF(AM271="","",SUM(C271:AL271)*AM271)</f>
        <v/>
      </c>
      <c r="AO271" s="39"/>
      <c r="AP271" s="39"/>
      <c r="AQ271" s="42">
        <f t="shared" si="981"/>
        <v>0</v>
      </c>
      <c r="AR271" s="25">
        <f t="shared" si="982"/>
        <v>0</v>
      </c>
      <c r="AT271" s="3" t="str">
        <f t="shared" ref="AT271:CA271" si="995">IF(C271=0,"",ROUNDUP(C263/C271,0))</f>
        <v/>
      </c>
      <c r="AU271" s="3" t="str">
        <f t="shared" si="995"/>
        <v/>
      </c>
      <c r="AV271" s="3" t="str">
        <f t="shared" si="995"/>
        <v/>
      </c>
      <c r="AW271" s="3" t="str">
        <f t="shared" si="995"/>
        <v/>
      </c>
      <c r="AX271" s="3" t="str">
        <f t="shared" si="995"/>
        <v/>
      </c>
      <c r="AY271" s="3" t="str">
        <f t="shared" si="995"/>
        <v/>
      </c>
      <c r="AZ271" s="3" t="str">
        <f t="shared" si="995"/>
        <v/>
      </c>
      <c r="BA271" s="3" t="str">
        <f t="shared" si="995"/>
        <v/>
      </c>
      <c r="BB271" s="3" t="str">
        <f t="shared" si="995"/>
        <v/>
      </c>
      <c r="BC271" s="3" t="str">
        <f t="shared" si="995"/>
        <v/>
      </c>
      <c r="BD271" s="3" t="str">
        <f t="shared" si="995"/>
        <v/>
      </c>
      <c r="BE271" s="3" t="str">
        <f t="shared" si="995"/>
        <v/>
      </c>
      <c r="BF271" s="3" t="str">
        <f t="shared" si="995"/>
        <v/>
      </c>
      <c r="BG271" s="3" t="str">
        <f t="shared" si="995"/>
        <v/>
      </c>
      <c r="BH271" s="3" t="str">
        <f t="shared" si="995"/>
        <v/>
      </c>
      <c r="BI271" s="3" t="str">
        <f t="shared" si="995"/>
        <v/>
      </c>
      <c r="BJ271" s="3" t="str">
        <f t="shared" si="995"/>
        <v/>
      </c>
      <c r="BK271" s="3" t="str">
        <f t="shared" si="995"/>
        <v/>
      </c>
      <c r="BL271" s="3" t="str">
        <f t="shared" si="995"/>
        <v/>
      </c>
      <c r="BM271" s="3" t="str">
        <f t="shared" si="995"/>
        <v/>
      </c>
      <c r="BN271" s="3" t="str">
        <f t="shared" si="995"/>
        <v/>
      </c>
      <c r="BO271" s="3" t="str">
        <f t="shared" si="995"/>
        <v/>
      </c>
      <c r="BP271" s="3" t="str">
        <f t="shared" si="995"/>
        <v/>
      </c>
      <c r="BQ271" s="3" t="str">
        <f t="shared" si="995"/>
        <v/>
      </c>
      <c r="BR271" s="3" t="str">
        <f t="shared" si="995"/>
        <v/>
      </c>
      <c r="BS271" s="3" t="str">
        <f t="shared" si="995"/>
        <v/>
      </c>
      <c r="BT271" s="3" t="str">
        <f t="shared" si="995"/>
        <v/>
      </c>
      <c r="BU271" s="3" t="str">
        <f t="shared" si="995"/>
        <v/>
      </c>
      <c r="BV271" s="3" t="str">
        <f t="shared" si="995"/>
        <v/>
      </c>
      <c r="BW271" s="3" t="str">
        <f t="shared" si="995"/>
        <v/>
      </c>
      <c r="BX271" s="3" t="str">
        <f t="shared" si="995"/>
        <v/>
      </c>
      <c r="BY271" s="3" t="str">
        <f t="shared" si="995"/>
        <v/>
      </c>
      <c r="BZ271" s="3" t="str">
        <f t="shared" si="995"/>
        <v/>
      </c>
      <c r="CA271" s="3" t="str">
        <f t="shared" si="995"/>
        <v/>
      </c>
      <c r="CB271" s="3" t="str">
        <f t="shared" ref="CB271" si="996">IF(AK271=0,"",ROUNDUP(AK263/AK271,0))</f>
        <v/>
      </c>
      <c r="CC271" s="3" t="str">
        <f t="shared" ref="CC271" si="997">IF(AL271=0,"",ROUNDUP(AL263/AL271,0))</f>
        <v/>
      </c>
    </row>
    <row r="272" spans="1:81" ht="17.100000000000001" customHeight="1" outlineLevel="1">
      <c r="A272" s="174"/>
      <c r="B272" s="30" t="s">
        <v>27</v>
      </c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39"/>
      <c r="Q272" s="39"/>
      <c r="R272" s="39"/>
      <c r="S272" s="39"/>
      <c r="T272" s="39"/>
      <c r="U272" s="39"/>
      <c r="V272" s="39"/>
      <c r="W272" s="39"/>
      <c r="X272" s="39"/>
      <c r="Y272" s="39"/>
      <c r="Z272" s="39"/>
      <c r="AA272" s="39"/>
      <c r="AB272" s="39"/>
      <c r="AC272" s="39"/>
      <c r="AD272" s="39"/>
      <c r="AE272" s="39"/>
      <c r="AF272" s="39"/>
      <c r="AG272" s="39"/>
      <c r="AH272" s="39"/>
      <c r="AI272" s="39"/>
      <c r="AJ272" s="39"/>
      <c r="AK272" s="39"/>
      <c r="AL272" s="39"/>
      <c r="AM272" s="39"/>
      <c r="AN272" s="40" t="str">
        <f t="shared" ref="AN272:AN273" si="998">IF(AM272="","",SUM(C272:AL272)*AM272)</f>
        <v/>
      </c>
      <c r="AO272" s="39"/>
      <c r="AP272" s="39"/>
      <c r="AQ272" s="42">
        <f t="shared" si="981"/>
        <v>0</v>
      </c>
      <c r="AR272" s="25">
        <f t="shared" si="982"/>
        <v>0</v>
      </c>
      <c r="AT272" s="3" t="str">
        <f t="shared" ref="AT272:CA272" si="999">IF(C272=0,"",ROUNDUP(C263/C272,0))</f>
        <v/>
      </c>
      <c r="AU272" s="3" t="str">
        <f t="shared" si="999"/>
        <v/>
      </c>
      <c r="AV272" s="3" t="str">
        <f t="shared" si="999"/>
        <v/>
      </c>
      <c r="AW272" s="3" t="str">
        <f t="shared" si="999"/>
        <v/>
      </c>
      <c r="AX272" s="3" t="str">
        <f t="shared" si="999"/>
        <v/>
      </c>
      <c r="AY272" s="3" t="str">
        <f t="shared" si="999"/>
        <v/>
      </c>
      <c r="AZ272" s="3" t="str">
        <f t="shared" si="999"/>
        <v/>
      </c>
      <c r="BA272" s="3" t="str">
        <f t="shared" si="999"/>
        <v/>
      </c>
      <c r="BB272" s="3" t="str">
        <f t="shared" si="999"/>
        <v/>
      </c>
      <c r="BC272" s="3" t="str">
        <f t="shared" si="999"/>
        <v/>
      </c>
      <c r="BD272" s="3" t="str">
        <f t="shared" si="999"/>
        <v/>
      </c>
      <c r="BE272" s="3" t="str">
        <f t="shared" si="999"/>
        <v/>
      </c>
      <c r="BF272" s="3" t="str">
        <f t="shared" si="999"/>
        <v/>
      </c>
      <c r="BG272" s="3" t="str">
        <f t="shared" si="999"/>
        <v/>
      </c>
      <c r="BH272" s="3" t="str">
        <f t="shared" si="999"/>
        <v/>
      </c>
      <c r="BI272" s="3" t="str">
        <f t="shared" si="999"/>
        <v/>
      </c>
      <c r="BJ272" s="3" t="str">
        <f t="shared" si="999"/>
        <v/>
      </c>
      <c r="BK272" s="3" t="str">
        <f t="shared" si="999"/>
        <v/>
      </c>
      <c r="BL272" s="3" t="str">
        <f t="shared" si="999"/>
        <v/>
      </c>
      <c r="BM272" s="3" t="str">
        <f t="shared" si="999"/>
        <v/>
      </c>
      <c r="BN272" s="3" t="str">
        <f t="shared" si="999"/>
        <v/>
      </c>
      <c r="BO272" s="3" t="str">
        <f t="shared" si="999"/>
        <v/>
      </c>
      <c r="BP272" s="3" t="str">
        <f t="shared" si="999"/>
        <v/>
      </c>
      <c r="BQ272" s="3" t="str">
        <f t="shared" si="999"/>
        <v/>
      </c>
      <c r="BR272" s="3" t="str">
        <f t="shared" si="999"/>
        <v/>
      </c>
      <c r="BS272" s="3" t="str">
        <f t="shared" si="999"/>
        <v/>
      </c>
      <c r="BT272" s="3" t="str">
        <f t="shared" si="999"/>
        <v/>
      </c>
      <c r="BU272" s="3" t="str">
        <f t="shared" si="999"/>
        <v/>
      </c>
      <c r="BV272" s="3" t="str">
        <f t="shared" si="999"/>
        <v/>
      </c>
      <c r="BW272" s="3" t="str">
        <f t="shared" si="999"/>
        <v/>
      </c>
      <c r="BX272" s="3" t="str">
        <f t="shared" si="999"/>
        <v/>
      </c>
      <c r="BY272" s="3" t="str">
        <f t="shared" si="999"/>
        <v/>
      </c>
      <c r="BZ272" s="3" t="str">
        <f t="shared" si="999"/>
        <v/>
      </c>
      <c r="CA272" s="3" t="str">
        <f t="shared" si="999"/>
        <v/>
      </c>
      <c r="CB272" s="3" t="str">
        <f t="shared" ref="CB272" si="1000">IF(AK272=0,"",ROUNDUP(AK263/AK272,0))</f>
        <v/>
      </c>
      <c r="CC272" s="3" t="str">
        <f t="shared" ref="CC272" si="1001">IF(AL272=0,"",ROUNDUP(AL263/AL272,0))</f>
        <v/>
      </c>
    </row>
    <row r="273" spans="1:81" ht="17.100000000000001" customHeight="1" outlineLevel="1">
      <c r="A273" s="175"/>
      <c r="B273" s="30" t="s">
        <v>28</v>
      </c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39"/>
      <c r="Q273" s="39"/>
      <c r="R273" s="39"/>
      <c r="S273" s="39"/>
      <c r="T273" s="39"/>
      <c r="U273" s="39"/>
      <c r="V273" s="39"/>
      <c r="W273" s="39"/>
      <c r="X273" s="39"/>
      <c r="Y273" s="39"/>
      <c r="Z273" s="39"/>
      <c r="AA273" s="39"/>
      <c r="AB273" s="39"/>
      <c r="AC273" s="39"/>
      <c r="AD273" s="39"/>
      <c r="AE273" s="39"/>
      <c r="AF273" s="39"/>
      <c r="AG273" s="39"/>
      <c r="AH273" s="39"/>
      <c r="AI273" s="39"/>
      <c r="AJ273" s="39"/>
      <c r="AK273" s="39"/>
      <c r="AL273" s="39"/>
      <c r="AM273" s="39"/>
      <c r="AN273" s="41" t="str">
        <f t="shared" si="998"/>
        <v/>
      </c>
      <c r="AO273" s="39"/>
      <c r="AP273" s="39"/>
      <c r="AQ273" s="42">
        <f t="shared" si="981"/>
        <v>0</v>
      </c>
      <c r="AR273" s="25">
        <f t="shared" si="982"/>
        <v>0</v>
      </c>
      <c r="AT273" s="3" t="str">
        <f t="shared" ref="AT273:CA273" si="1002">IF(C273=0,"",ROUNDUP(C263/C273,0))</f>
        <v/>
      </c>
      <c r="AU273" s="3" t="str">
        <f t="shared" si="1002"/>
        <v/>
      </c>
      <c r="AV273" s="3" t="str">
        <f t="shared" si="1002"/>
        <v/>
      </c>
      <c r="AW273" s="3" t="str">
        <f t="shared" si="1002"/>
        <v/>
      </c>
      <c r="AX273" s="3" t="str">
        <f t="shared" si="1002"/>
        <v/>
      </c>
      <c r="AY273" s="3" t="str">
        <f t="shared" si="1002"/>
        <v/>
      </c>
      <c r="AZ273" s="3" t="str">
        <f t="shared" si="1002"/>
        <v/>
      </c>
      <c r="BA273" s="3" t="str">
        <f t="shared" si="1002"/>
        <v/>
      </c>
      <c r="BB273" s="3" t="str">
        <f t="shared" si="1002"/>
        <v/>
      </c>
      <c r="BC273" s="3" t="str">
        <f t="shared" si="1002"/>
        <v/>
      </c>
      <c r="BD273" s="3" t="str">
        <f t="shared" si="1002"/>
        <v/>
      </c>
      <c r="BE273" s="3" t="str">
        <f t="shared" si="1002"/>
        <v/>
      </c>
      <c r="BF273" s="3" t="str">
        <f t="shared" si="1002"/>
        <v/>
      </c>
      <c r="BG273" s="3" t="str">
        <f t="shared" si="1002"/>
        <v/>
      </c>
      <c r="BH273" s="3" t="str">
        <f t="shared" si="1002"/>
        <v/>
      </c>
      <c r="BI273" s="3" t="str">
        <f t="shared" si="1002"/>
        <v/>
      </c>
      <c r="BJ273" s="3" t="str">
        <f t="shared" si="1002"/>
        <v/>
      </c>
      <c r="BK273" s="3" t="str">
        <f t="shared" si="1002"/>
        <v/>
      </c>
      <c r="BL273" s="3" t="str">
        <f t="shared" si="1002"/>
        <v/>
      </c>
      <c r="BM273" s="3" t="str">
        <f t="shared" si="1002"/>
        <v/>
      </c>
      <c r="BN273" s="3" t="str">
        <f t="shared" si="1002"/>
        <v/>
      </c>
      <c r="BO273" s="3" t="str">
        <f t="shared" si="1002"/>
        <v/>
      </c>
      <c r="BP273" s="3" t="str">
        <f t="shared" si="1002"/>
        <v/>
      </c>
      <c r="BQ273" s="3" t="str">
        <f t="shared" si="1002"/>
        <v/>
      </c>
      <c r="BR273" s="3" t="str">
        <f t="shared" si="1002"/>
        <v/>
      </c>
      <c r="BS273" s="3" t="str">
        <f t="shared" si="1002"/>
        <v/>
      </c>
      <c r="BT273" s="3" t="str">
        <f t="shared" si="1002"/>
        <v/>
      </c>
      <c r="BU273" s="3" t="str">
        <f t="shared" si="1002"/>
        <v/>
      </c>
      <c r="BV273" s="3" t="str">
        <f t="shared" si="1002"/>
        <v/>
      </c>
      <c r="BW273" s="3" t="str">
        <f t="shared" si="1002"/>
        <v/>
      </c>
      <c r="BX273" s="3" t="str">
        <f t="shared" si="1002"/>
        <v/>
      </c>
      <c r="BY273" s="3" t="str">
        <f t="shared" si="1002"/>
        <v/>
      </c>
      <c r="BZ273" s="3" t="str">
        <f t="shared" si="1002"/>
        <v/>
      </c>
      <c r="CA273" s="3" t="str">
        <f t="shared" si="1002"/>
        <v/>
      </c>
      <c r="CB273" s="3" t="str">
        <f t="shared" ref="CB273" si="1003">IF(AK273=0,"",ROUNDUP(AK263/AK273,0))</f>
        <v/>
      </c>
      <c r="CC273" s="3" t="str">
        <f t="shared" ref="CC273" si="1004">IF(AL273=0,"",ROUNDUP(AL263/AL273,0))</f>
        <v/>
      </c>
    </row>
    <row r="274" spans="1:81" ht="17.100000000000001" customHeight="1" outlineLevel="1" thickBot="1">
      <c r="AN274" s="7">
        <f>SUM(AN266:AN273)</f>
        <v>0</v>
      </c>
      <c r="AQ274" s="12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</row>
    <row r="275" spans="1:81" ht="21.95" customHeight="1" outlineLevel="1" thickBot="1">
      <c r="A275" s="201">
        <v>18</v>
      </c>
      <c r="B275" s="202"/>
      <c r="C275" s="203"/>
      <c r="AQ275" s="12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</row>
    <row r="276" spans="1:81" ht="17.100000000000001" customHeight="1" outlineLevel="1">
      <c r="A276" s="51" t="s">
        <v>29</v>
      </c>
      <c r="B276" s="50"/>
      <c r="C276" s="147" t="s">
        <v>10</v>
      </c>
      <c r="D276" s="148"/>
      <c r="E276" s="148"/>
      <c r="F276" s="148"/>
      <c r="G276" s="148"/>
      <c r="H276" s="148"/>
      <c r="I276" s="148"/>
      <c r="J276" s="148"/>
      <c r="K276" s="148"/>
      <c r="L276" s="148"/>
      <c r="M276" s="148"/>
      <c r="N276" s="148"/>
      <c r="O276" s="148"/>
      <c r="P276" s="148"/>
      <c r="Q276" s="148"/>
      <c r="R276" s="148"/>
      <c r="S276" s="148"/>
      <c r="T276" s="148"/>
      <c r="U276" s="148"/>
      <c r="V276" s="148"/>
      <c r="W276" s="148"/>
      <c r="X276" s="148"/>
      <c r="Y276" s="148"/>
      <c r="Z276" s="148"/>
      <c r="AA276" s="148"/>
      <c r="AB276" s="148"/>
      <c r="AC276" s="148"/>
      <c r="AD276" s="148"/>
      <c r="AE276" s="148"/>
      <c r="AF276" s="148"/>
      <c r="AG276" s="148"/>
      <c r="AH276" s="148"/>
      <c r="AI276" s="148"/>
      <c r="AJ276" s="148"/>
      <c r="AK276" s="148"/>
      <c r="AL276" s="148"/>
      <c r="AM276" s="10"/>
      <c r="AN276" s="31"/>
      <c r="AO276" s="35" t="s">
        <v>4</v>
      </c>
      <c r="AP276" s="149"/>
      <c r="AQ276" s="150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</row>
    <row r="277" spans="1:81" ht="27" outlineLevel="1">
      <c r="A277" s="52" t="s">
        <v>36</v>
      </c>
      <c r="B277" s="50"/>
      <c r="C277" s="26" t="str">
        <f>IF(C261=0,"",IF(C261&gt;0,C261))</f>
        <v/>
      </c>
      <c r="D277" s="26" t="str">
        <f t="shared" ref="D277:AL277" si="1005">IF(D261=0,"",IF(D261&gt;0,D261))</f>
        <v/>
      </c>
      <c r="E277" s="26" t="str">
        <f t="shared" si="1005"/>
        <v/>
      </c>
      <c r="F277" s="26" t="str">
        <f t="shared" si="1005"/>
        <v/>
      </c>
      <c r="G277" s="26" t="str">
        <f t="shared" si="1005"/>
        <v/>
      </c>
      <c r="H277" s="26" t="str">
        <f t="shared" si="1005"/>
        <v/>
      </c>
      <c r="I277" s="26" t="str">
        <f t="shared" si="1005"/>
        <v/>
      </c>
      <c r="J277" s="26" t="str">
        <f t="shared" si="1005"/>
        <v/>
      </c>
      <c r="K277" s="26" t="str">
        <f t="shared" si="1005"/>
        <v/>
      </c>
      <c r="L277" s="26" t="str">
        <f t="shared" si="1005"/>
        <v/>
      </c>
      <c r="M277" s="26" t="str">
        <f t="shared" si="1005"/>
        <v/>
      </c>
      <c r="N277" s="26" t="str">
        <f t="shared" si="1005"/>
        <v/>
      </c>
      <c r="O277" s="26" t="str">
        <f t="shared" si="1005"/>
        <v/>
      </c>
      <c r="P277" s="26" t="str">
        <f t="shared" si="1005"/>
        <v/>
      </c>
      <c r="Q277" s="26" t="str">
        <f t="shared" si="1005"/>
        <v/>
      </c>
      <c r="R277" s="26" t="str">
        <f t="shared" si="1005"/>
        <v/>
      </c>
      <c r="S277" s="26" t="str">
        <f t="shared" si="1005"/>
        <v/>
      </c>
      <c r="T277" s="26" t="str">
        <f t="shared" si="1005"/>
        <v/>
      </c>
      <c r="U277" s="26" t="str">
        <f t="shared" si="1005"/>
        <v/>
      </c>
      <c r="V277" s="26" t="str">
        <f t="shared" si="1005"/>
        <v/>
      </c>
      <c r="W277" s="26" t="str">
        <f t="shared" si="1005"/>
        <v/>
      </c>
      <c r="X277" s="26" t="str">
        <f t="shared" si="1005"/>
        <v/>
      </c>
      <c r="Y277" s="26" t="str">
        <f t="shared" si="1005"/>
        <v/>
      </c>
      <c r="Z277" s="26" t="str">
        <f t="shared" si="1005"/>
        <v/>
      </c>
      <c r="AA277" s="26" t="str">
        <f t="shared" si="1005"/>
        <v/>
      </c>
      <c r="AB277" s="26" t="str">
        <f t="shared" si="1005"/>
        <v/>
      </c>
      <c r="AC277" s="26" t="str">
        <f t="shared" si="1005"/>
        <v/>
      </c>
      <c r="AD277" s="26" t="str">
        <f t="shared" si="1005"/>
        <v/>
      </c>
      <c r="AE277" s="26" t="str">
        <f t="shared" si="1005"/>
        <v/>
      </c>
      <c r="AF277" s="26" t="str">
        <f t="shared" si="1005"/>
        <v/>
      </c>
      <c r="AG277" s="26" t="str">
        <f t="shared" si="1005"/>
        <v/>
      </c>
      <c r="AH277" s="26" t="str">
        <f t="shared" si="1005"/>
        <v/>
      </c>
      <c r="AI277" s="26" t="str">
        <f t="shared" si="1005"/>
        <v/>
      </c>
      <c r="AJ277" s="26" t="str">
        <f t="shared" si="1005"/>
        <v/>
      </c>
      <c r="AK277" s="26" t="str">
        <f t="shared" si="1005"/>
        <v/>
      </c>
      <c r="AL277" s="26" t="str">
        <f t="shared" si="1005"/>
        <v/>
      </c>
      <c r="AM277" s="5" t="s">
        <v>2</v>
      </c>
      <c r="AN277" s="31"/>
      <c r="AO277" s="32" t="s">
        <v>5</v>
      </c>
      <c r="AP277" s="151">
        <f>SUM(AQ282:AQ289)</f>
        <v>0</v>
      </c>
      <c r="AQ277" s="151"/>
      <c r="AT277" s="2" t="str">
        <f t="shared" ref="AT277:BY277" si="1006">IF(C277=0,"",IF(C277&gt;0,C277))</f>
        <v/>
      </c>
      <c r="AU277" s="2" t="str">
        <f t="shared" si="1006"/>
        <v/>
      </c>
      <c r="AV277" s="2" t="str">
        <f t="shared" si="1006"/>
        <v/>
      </c>
      <c r="AW277" s="2" t="str">
        <f t="shared" si="1006"/>
        <v/>
      </c>
      <c r="AX277" s="2" t="str">
        <f t="shared" si="1006"/>
        <v/>
      </c>
      <c r="AY277" s="2" t="str">
        <f t="shared" si="1006"/>
        <v/>
      </c>
      <c r="AZ277" s="2" t="str">
        <f t="shared" si="1006"/>
        <v/>
      </c>
      <c r="BA277" s="2" t="str">
        <f t="shared" si="1006"/>
        <v/>
      </c>
      <c r="BB277" s="2" t="str">
        <f t="shared" si="1006"/>
        <v/>
      </c>
      <c r="BC277" s="2" t="str">
        <f t="shared" si="1006"/>
        <v/>
      </c>
      <c r="BD277" s="2" t="str">
        <f t="shared" si="1006"/>
        <v/>
      </c>
      <c r="BE277" s="2" t="str">
        <f t="shared" si="1006"/>
        <v/>
      </c>
      <c r="BF277" s="2" t="str">
        <f t="shared" si="1006"/>
        <v/>
      </c>
      <c r="BG277" s="2" t="str">
        <f t="shared" si="1006"/>
        <v/>
      </c>
      <c r="BH277" s="2" t="str">
        <f t="shared" si="1006"/>
        <v/>
      </c>
      <c r="BI277" s="2" t="str">
        <f t="shared" si="1006"/>
        <v/>
      </c>
      <c r="BJ277" s="2" t="str">
        <f t="shared" si="1006"/>
        <v/>
      </c>
      <c r="BK277" s="2" t="str">
        <f t="shared" si="1006"/>
        <v/>
      </c>
      <c r="BL277" s="2" t="str">
        <f t="shared" si="1006"/>
        <v/>
      </c>
      <c r="BM277" s="2" t="str">
        <f t="shared" si="1006"/>
        <v/>
      </c>
      <c r="BN277" s="2" t="str">
        <f t="shared" si="1006"/>
        <v/>
      </c>
      <c r="BO277" s="2" t="str">
        <f t="shared" si="1006"/>
        <v/>
      </c>
      <c r="BP277" s="2" t="str">
        <f t="shared" si="1006"/>
        <v/>
      </c>
      <c r="BQ277" s="2" t="str">
        <f t="shared" si="1006"/>
        <v/>
      </c>
      <c r="BR277" s="2" t="str">
        <f t="shared" si="1006"/>
        <v/>
      </c>
      <c r="BS277" s="2" t="str">
        <f t="shared" si="1006"/>
        <v/>
      </c>
      <c r="BT277" s="2" t="str">
        <f t="shared" si="1006"/>
        <v/>
      </c>
      <c r="BU277" s="2" t="str">
        <f t="shared" si="1006"/>
        <v/>
      </c>
      <c r="BV277" s="2" t="str">
        <f t="shared" si="1006"/>
        <v/>
      </c>
      <c r="BW277" s="2" t="str">
        <f t="shared" si="1006"/>
        <v/>
      </c>
      <c r="BX277" s="2" t="str">
        <f t="shared" si="1006"/>
        <v/>
      </c>
      <c r="BY277" s="2" t="str">
        <f t="shared" si="1006"/>
        <v/>
      </c>
      <c r="BZ277" s="2" t="str">
        <f t="shared" ref="BZ277" si="1007">IF(AI277=0,"",IF(AI277&gt;0,AI277))</f>
        <v/>
      </c>
      <c r="CA277" s="2" t="str">
        <f t="shared" ref="CA277" si="1008">IF(AJ277=0,"",IF(AJ277&gt;0,AJ277))</f>
        <v/>
      </c>
      <c r="CB277" s="2" t="str">
        <f t="shared" ref="CB277" si="1009">IF(AK277=0,"",IF(AK277&gt;0,AK277))</f>
        <v/>
      </c>
      <c r="CC277" s="2" t="str">
        <f t="shared" ref="CC277" si="1010">IF(AL277=0,"",IF(AL277&gt;0,AL277))</f>
        <v/>
      </c>
    </row>
    <row r="278" spans="1:81" ht="17.100000000000001" customHeight="1" outlineLevel="1">
      <c r="A278" s="152" t="s">
        <v>30</v>
      </c>
      <c r="B278" s="153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46"/>
      <c r="P278" s="46"/>
      <c r="Q278" s="46"/>
      <c r="R278" s="46"/>
      <c r="S278" s="46"/>
      <c r="T278" s="46"/>
      <c r="U278" s="46"/>
      <c r="V278" s="46"/>
      <c r="W278" s="46"/>
      <c r="X278" s="46"/>
      <c r="Y278" s="46"/>
      <c r="Z278" s="46"/>
      <c r="AA278" s="46"/>
      <c r="AB278" s="46"/>
      <c r="AC278" s="46"/>
      <c r="AD278" s="46"/>
      <c r="AE278" s="46"/>
      <c r="AF278" s="46"/>
      <c r="AG278" s="46"/>
      <c r="AH278" s="46"/>
      <c r="AI278" s="46"/>
      <c r="AJ278" s="46"/>
      <c r="AK278" s="46"/>
      <c r="AL278" s="46"/>
      <c r="AM278" s="45">
        <f>SUM(C278:AL278)</f>
        <v>0</v>
      </c>
      <c r="AN278" s="33"/>
      <c r="AO278" s="34" t="str">
        <f>IF(AP278&lt;5,"NO ",IF(AP278=5,"ok",IF(AP278&gt;5,"ok")))</f>
        <v xml:space="preserve">NO </v>
      </c>
      <c r="AP278" s="154">
        <f>AP276-AP277-AP279</f>
        <v>0</v>
      </c>
      <c r="AQ278" s="154"/>
      <c r="AR278" s="16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</row>
    <row r="279" spans="1:81" ht="17.100000000000001" customHeight="1" outlineLevel="1">
      <c r="A279" s="152"/>
      <c r="B279" s="153"/>
      <c r="C279" s="47" t="str">
        <f>IF(C277="","",C278-C282*$AM282-C283*$AM283-C284*$AM284-C285*$AM285-C286*$AM286-C287*$AM287-C288*$AM288-C289*$AM289)</f>
        <v/>
      </c>
      <c r="D279" s="47" t="str">
        <f t="shared" ref="D279" si="1011">IF(D277="","",D278-D282*$AM282-D283*$AM283-D284*$AM284-D285*$AM285-D286*$AM286-D287*$AM287-D288*$AM288-D289*$AM289)</f>
        <v/>
      </c>
      <c r="E279" s="47" t="str">
        <f t="shared" ref="E279" si="1012">IF(E277="","",E278-E282*$AM282-E283*$AM283-E284*$AM284-E285*$AM285-E286*$AM286-E287*$AM287-E288*$AM288-E289*$AM289)</f>
        <v/>
      </c>
      <c r="F279" s="47" t="str">
        <f t="shared" ref="F279" si="1013">IF(F277="","",F278-F282*$AM282-F283*$AM283-F284*$AM284-F285*$AM285-F286*$AM286-F287*$AM287-F288*$AM288-F289*$AM289)</f>
        <v/>
      </c>
      <c r="G279" s="47" t="str">
        <f t="shared" ref="G279" si="1014">IF(G277="","",G278-G282*$AM282-G283*$AM283-G284*$AM284-G285*$AM285-G286*$AM286-G287*$AM287-G288*$AM288-G289*$AM289)</f>
        <v/>
      </c>
      <c r="H279" s="47" t="str">
        <f t="shared" ref="H279" si="1015">IF(H277="","",H278-H282*$AM282-H283*$AM283-H284*$AM284-H285*$AM285-H286*$AM286-H287*$AM287-H288*$AM288-H289*$AM289)</f>
        <v/>
      </c>
      <c r="I279" s="47" t="str">
        <f t="shared" ref="I279" si="1016">IF(I277="","",I278-I282*$AM282-I283*$AM283-I284*$AM284-I285*$AM285-I286*$AM286-I287*$AM287-I288*$AM288-I289*$AM289)</f>
        <v/>
      </c>
      <c r="J279" s="47" t="str">
        <f t="shared" ref="J279" si="1017">IF(J277="","",J278-J282*$AM282-J283*$AM283-J284*$AM284-J285*$AM285-J286*$AM286-J287*$AM287-J288*$AM288-J289*$AM289)</f>
        <v/>
      </c>
      <c r="K279" s="47" t="str">
        <f t="shared" ref="K279" si="1018">IF(K277="","",K278-K282*$AM282-K283*$AM283-K284*$AM284-K285*$AM285-K286*$AM286-K287*$AM287-K288*$AM288-K289*$AM289)</f>
        <v/>
      </c>
      <c r="L279" s="47" t="str">
        <f t="shared" ref="L279" si="1019">IF(L277="","",L278-L282*$AM282-L283*$AM283-L284*$AM284-L285*$AM285-L286*$AM286-L287*$AM287-L288*$AM288-L289*$AM289)</f>
        <v/>
      </c>
      <c r="M279" s="47" t="str">
        <f t="shared" ref="M279" si="1020">IF(M277="","",M278-M282*$AM282-M283*$AM283-M284*$AM284-M285*$AM285-M286*$AM286-M287*$AM287-M288*$AM288-M289*$AM289)</f>
        <v/>
      </c>
      <c r="N279" s="47" t="str">
        <f t="shared" ref="N279" si="1021">IF(N277="","",N278-N282*$AM282-N283*$AM283-N284*$AM284-N285*$AM285-N286*$AM286-N287*$AM287-N288*$AM288-N289*$AM289)</f>
        <v/>
      </c>
      <c r="O279" s="47" t="str">
        <f t="shared" ref="O279" si="1022">IF(O277="","",O278-O282*$AM282-O283*$AM283-O284*$AM284-O285*$AM285-O286*$AM286-O287*$AM287-O288*$AM288-O289*$AM289)</f>
        <v/>
      </c>
      <c r="P279" s="47" t="str">
        <f t="shared" ref="P279" si="1023">IF(P277="","",P278-P282*$AM282-P283*$AM283-P284*$AM284-P285*$AM285-P286*$AM286-P287*$AM287-P288*$AM288-P289*$AM289)</f>
        <v/>
      </c>
      <c r="Q279" s="47" t="str">
        <f t="shared" ref="Q279" si="1024">IF(Q277="","",Q278-Q282*$AM282-Q283*$AM283-Q284*$AM284-Q285*$AM285-Q286*$AM286-Q287*$AM287-Q288*$AM288-Q289*$AM289)</f>
        <v/>
      </c>
      <c r="R279" s="47" t="str">
        <f t="shared" ref="R279" si="1025">IF(R277="","",R278-R282*$AM282-R283*$AM283-R284*$AM284-R285*$AM285-R286*$AM286-R287*$AM287-R288*$AM288-R289*$AM289)</f>
        <v/>
      </c>
      <c r="S279" s="47" t="str">
        <f t="shared" ref="S279" si="1026">IF(S277="","",S278-S282*$AM282-S283*$AM283-S284*$AM284-S285*$AM285-S286*$AM286-S287*$AM287-S288*$AM288-S289*$AM289)</f>
        <v/>
      </c>
      <c r="T279" s="47" t="str">
        <f t="shared" ref="T279" si="1027">IF(T277="","",T278-T282*$AM282-T283*$AM283-T284*$AM284-T285*$AM285-T286*$AM286-T287*$AM287-T288*$AM288-T289*$AM289)</f>
        <v/>
      </c>
      <c r="U279" s="47" t="str">
        <f t="shared" ref="U279" si="1028">IF(U277="","",U278-U282*$AM282-U283*$AM283-U284*$AM284-U285*$AM285-U286*$AM286-U287*$AM287-U288*$AM288-U289*$AM289)</f>
        <v/>
      </c>
      <c r="V279" s="47" t="str">
        <f t="shared" ref="V279" si="1029">IF(V277="","",V278-V282*$AM282-V283*$AM283-V284*$AM284-V285*$AM285-V286*$AM286-V287*$AM287-V288*$AM288-V289*$AM289)</f>
        <v/>
      </c>
      <c r="W279" s="47" t="str">
        <f t="shared" ref="W279" si="1030">IF(W277="","",W278-W282*$AM282-W283*$AM283-W284*$AM284-W285*$AM285-W286*$AM286-W287*$AM287-W288*$AM288-W289*$AM289)</f>
        <v/>
      </c>
      <c r="X279" s="47" t="str">
        <f t="shared" ref="X279" si="1031">IF(X277="","",X278-X282*$AM282-X283*$AM283-X284*$AM284-X285*$AM285-X286*$AM286-X287*$AM287-X288*$AM288-X289*$AM289)</f>
        <v/>
      </c>
      <c r="Y279" s="47" t="str">
        <f t="shared" ref="Y279" si="1032">IF(Y277="","",Y278-Y282*$AM282-Y283*$AM283-Y284*$AM284-Y285*$AM285-Y286*$AM286-Y287*$AM287-Y288*$AM288-Y289*$AM289)</f>
        <v/>
      </c>
      <c r="Z279" s="47" t="str">
        <f t="shared" ref="Z279" si="1033">IF(Z277="","",Z278-Z282*$AM282-Z283*$AM283-Z284*$AM284-Z285*$AM285-Z286*$AM286-Z287*$AM287-Z288*$AM288-Z289*$AM289)</f>
        <v/>
      </c>
      <c r="AA279" s="47" t="str">
        <f t="shared" ref="AA279" si="1034">IF(AA277="","",AA278-AA282*$AM282-AA283*$AM283-AA284*$AM284-AA285*$AM285-AA286*$AM286-AA287*$AM287-AA288*$AM288-AA289*$AM289)</f>
        <v/>
      </c>
      <c r="AB279" s="47" t="str">
        <f t="shared" ref="AB279" si="1035">IF(AB277="","",AB278-AB282*$AM282-AB283*$AM283-AB284*$AM284-AB285*$AM285-AB286*$AM286-AB287*$AM287-AB288*$AM288-AB289*$AM289)</f>
        <v/>
      </c>
      <c r="AC279" s="47" t="str">
        <f t="shared" ref="AC279" si="1036">IF(AC277="","",AC278-AC282*$AM282-AC283*$AM283-AC284*$AM284-AC285*$AM285-AC286*$AM286-AC287*$AM287-AC288*$AM288-AC289*$AM289)</f>
        <v/>
      </c>
      <c r="AD279" s="47" t="str">
        <f t="shared" ref="AD279" si="1037">IF(AD277="","",AD278-AD282*$AM282-AD283*$AM283-AD284*$AM284-AD285*$AM285-AD286*$AM286-AD287*$AM287-AD288*$AM288-AD289*$AM289)</f>
        <v/>
      </c>
      <c r="AE279" s="47" t="str">
        <f t="shared" ref="AE279" si="1038">IF(AE277="","",AE278-AE282*$AM282-AE283*$AM283-AE284*$AM284-AE285*$AM285-AE286*$AM286-AE287*$AM287-AE288*$AM288-AE289*$AM289)</f>
        <v/>
      </c>
      <c r="AF279" s="47" t="str">
        <f t="shared" ref="AF279" si="1039">IF(AF277="","",AF278-AF282*$AM282-AF283*$AM283-AF284*$AM284-AF285*$AM285-AF286*$AM286-AF287*$AM287-AF288*$AM288-AF289*$AM289)</f>
        <v/>
      </c>
      <c r="AG279" s="47" t="str">
        <f t="shared" ref="AG279" si="1040">IF(AG277="","",AG278-AG282*$AM282-AG283*$AM283-AG284*$AM284-AG285*$AM285-AG286*$AM286-AG287*$AM287-AG288*$AM288-AG289*$AM289)</f>
        <v/>
      </c>
      <c r="AH279" s="47" t="str">
        <f t="shared" ref="AH279" si="1041">IF(AH277="","",AH278-AH282*$AM282-AH283*$AM283-AH284*$AM284-AH285*$AM285-AH286*$AM286-AH287*$AM287-AH288*$AM288-AH289*$AM289)</f>
        <v/>
      </c>
      <c r="AI279" s="47" t="str">
        <f t="shared" ref="AI279" si="1042">IF(AI277="","",AI278-AI282*$AM282-AI283*$AM283-AI284*$AM284-AI285*$AM285-AI286*$AM286-AI287*$AM287-AI288*$AM288-AI289*$AM289)</f>
        <v/>
      </c>
      <c r="AJ279" s="47" t="str">
        <f t="shared" ref="AJ279" si="1043">IF(AJ277="","",AJ278-AJ282*$AM282-AJ283*$AM283-AJ284*$AM284-AJ285*$AM285-AJ286*$AM286-AJ287*$AM287-AJ288*$AM288-AJ289*$AM289)</f>
        <v/>
      </c>
      <c r="AK279" s="47" t="str">
        <f>IF(AK277="","",AK278-AK282*$AM282-AK283*$AM283-AK284*$AM284-AK285*$AM285-AK286*$AM286-AK287*$AM287-AK288*$AM288-AK289*$AM289)</f>
        <v/>
      </c>
      <c r="AL279" s="47" t="str">
        <f t="shared" ref="AL279" si="1044">IF(AL277="","",AL278-AL282*$AM282-AL283*$AM283-AL284*$AM284-AL285*$AM285-AL286*$AM286-AL287*$AM287-AL288*$AM288-AL289*$AM289)</f>
        <v/>
      </c>
      <c r="AM279" s="45">
        <f>SUM(C279:AL279)</f>
        <v>0</v>
      </c>
      <c r="AN279" s="155" t="s">
        <v>33</v>
      </c>
      <c r="AO279" s="156"/>
      <c r="AP279" s="157"/>
      <c r="AQ279" s="158"/>
      <c r="AR279" s="17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</row>
    <row r="280" spans="1:81" ht="17.100000000000001" customHeight="1" outlineLevel="1">
      <c r="A280" s="177" t="s">
        <v>20</v>
      </c>
      <c r="B280" s="178"/>
      <c r="C280" s="181" t="s">
        <v>0</v>
      </c>
      <c r="D280" s="182"/>
      <c r="E280" s="182"/>
      <c r="F280" s="182"/>
      <c r="G280" s="182"/>
      <c r="H280" s="182"/>
      <c r="I280" s="182"/>
      <c r="J280" s="182"/>
      <c r="K280" s="182"/>
      <c r="L280" s="182"/>
      <c r="M280" s="182"/>
      <c r="N280" s="182"/>
      <c r="O280" s="182"/>
      <c r="P280" s="182"/>
      <c r="Q280" s="182"/>
      <c r="R280" s="182"/>
      <c r="S280" s="182"/>
      <c r="T280" s="182"/>
      <c r="U280" s="182"/>
      <c r="V280" s="182"/>
      <c r="W280" s="182"/>
      <c r="X280" s="182"/>
      <c r="Y280" s="182"/>
      <c r="Z280" s="182"/>
      <c r="AA280" s="182"/>
      <c r="AB280" s="182"/>
      <c r="AC280" s="182"/>
      <c r="AD280" s="182"/>
      <c r="AE280" s="182"/>
      <c r="AF280" s="182"/>
      <c r="AG280" s="182"/>
      <c r="AH280" s="182"/>
      <c r="AI280" s="182"/>
      <c r="AJ280" s="182"/>
      <c r="AK280" s="182"/>
      <c r="AL280" s="183"/>
      <c r="AM280" s="187" t="s">
        <v>1</v>
      </c>
      <c r="AN280" s="200" t="s">
        <v>11</v>
      </c>
      <c r="AO280" s="196" t="s">
        <v>12</v>
      </c>
      <c r="AP280" s="197"/>
      <c r="AQ280" s="193" t="s">
        <v>6</v>
      </c>
      <c r="AR280" s="24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</row>
    <row r="281" spans="1:81" ht="17.100000000000001" customHeight="1" outlineLevel="1">
      <c r="A281" s="179"/>
      <c r="B281" s="180"/>
      <c r="C281" s="184"/>
      <c r="D281" s="185"/>
      <c r="E281" s="185"/>
      <c r="F281" s="185"/>
      <c r="G281" s="185"/>
      <c r="H281" s="185"/>
      <c r="I281" s="185"/>
      <c r="J281" s="185"/>
      <c r="K281" s="185"/>
      <c r="L281" s="185"/>
      <c r="M281" s="185"/>
      <c r="N281" s="185"/>
      <c r="O281" s="185"/>
      <c r="P281" s="185"/>
      <c r="Q281" s="185"/>
      <c r="R281" s="185"/>
      <c r="S281" s="185"/>
      <c r="T281" s="185"/>
      <c r="U281" s="185"/>
      <c r="V281" s="185"/>
      <c r="W281" s="185"/>
      <c r="X281" s="185"/>
      <c r="Y281" s="185"/>
      <c r="Z281" s="185"/>
      <c r="AA281" s="185"/>
      <c r="AB281" s="185"/>
      <c r="AC281" s="185"/>
      <c r="AD281" s="185"/>
      <c r="AE281" s="185"/>
      <c r="AF281" s="185"/>
      <c r="AG281" s="185"/>
      <c r="AH281" s="185"/>
      <c r="AI281" s="185"/>
      <c r="AJ281" s="185"/>
      <c r="AK281" s="185"/>
      <c r="AL281" s="186"/>
      <c r="AM281" s="188"/>
      <c r="AN281" s="190"/>
      <c r="AO281" s="18" t="s">
        <v>3</v>
      </c>
      <c r="AP281" s="19" t="s">
        <v>13</v>
      </c>
      <c r="AQ281" s="172"/>
      <c r="AR281" s="27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</row>
    <row r="282" spans="1:81" ht="17.100000000000001" customHeight="1" outlineLevel="1">
      <c r="A282" s="173"/>
      <c r="B282" s="30" t="s">
        <v>21</v>
      </c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39"/>
      <c r="X282" s="39"/>
      <c r="Y282" s="39"/>
      <c r="Z282" s="39"/>
      <c r="AA282" s="39"/>
      <c r="AB282" s="39"/>
      <c r="AC282" s="39"/>
      <c r="AD282" s="39"/>
      <c r="AE282" s="39"/>
      <c r="AF282" s="39"/>
      <c r="AG282" s="39"/>
      <c r="AH282" s="39"/>
      <c r="AI282" s="39"/>
      <c r="AJ282" s="39"/>
      <c r="AK282" s="39"/>
      <c r="AL282" s="39"/>
      <c r="AM282" s="39"/>
      <c r="AN282" s="40" t="str">
        <f>IF(AM282="","",SUM(C282:AL282)*AM282)</f>
        <v/>
      </c>
      <c r="AO282" s="39"/>
      <c r="AP282" s="39"/>
      <c r="AQ282" s="42">
        <f>(AO282+AR282)*AM282</f>
        <v>0</v>
      </c>
      <c r="AR282" s="25">
        <f>AP282/36</f>
        <v>0</v>
      </c>
      <c r="AT282" s="3" t="str">
        <f t="shared" ref="AT282:CA282" si="1045">IF(C282=0,"",ROUNDUP(C279/C282,0))</f>
        <v/>
      </c>
      <c r="AU282" s="3" t="str">
        <f t="shared" si="1045"/>
        <v/>
      </c>
      <c r="AV282" s="3" t="str">
        <f t="shared" si="1045"/>
        <v/>
      </c>
      <c r="AW282" s="3" t="str">
        <f t="shared" si="1045"/>
        <v/>
      </c>
      <c r="AX282" s="3" t="str">
        <f t="shared" si="1045"/>
        <v/>
      </c>
      <c r="AY282" s="3" t="str">
        <f t="shared" si="1045"/>
        <v/>
      </c>
      <c r="AZ282" s="3" t="str">
        <f t="shared" si="1045"/>
        <v/>
      </c>
      <c r="BA282" s="3" t="str">
        <f t="shared" si="1045"/>
        <v/>
      </c>
      <c r="BB282" s="3" t="str">
        <f t="shared" si="1045"/>
        <v/>
      </c>
      <c r="BC282" s="3" t="str">
        <f t="shared" si="1045"/>
        <v/>
      </c>
      <c r="BD282" s="3" t="str">
        <f t="shared" si="1045"/>
        <v/>
      </c>
      <c r="BE282" s="3" t="str">
        <f t="shared" si="1045"/>
        <v/>
      </c>
      <c r="BF282" s="3" t="str">
        <f t="shared" si="1045"/>
        <v/>
      </c>
      <c r="BG282" s="3" t="str">
        <f t="shared" si="1045"/>
        <v/>
      </c>
      <c r="BH282" s="3" t="str">
        <f t="shared" si="1045"/>
        <v/>
      </c>
      <c r="BI282" s="3" t="str">
        <f t="shared" si="1045"/>
        <v/>
      </c>
      <c r="BJ282" s="3" t="str">
        <f t="shared" si="1045"/>
        <v/>
      </c>
      <c r="BK282" s="3" t="str">
        <f t="shared" si="1045"/>
        <v/>
      </c>
      <c r="BL282" s="3" t="str">
        <f t="shared" si="1045"/>
        <v/>
      </c>
      <c r="BM282" s="3" t="str">
        <f t="shared" si="1045"/>
        <v/>
      </c>
      <c r="BN282" s="3" t="str">
        <f t="shared" si="1045"/>
        <v/>
      </c>
      <c r="BO282" s="3" t="str">
        <f t="shared" si="1045"/>
        <v/>
      </c>
      <c r="BP282" s="3" t="str">
        <f t="shared" si="1045"/>
        <v/>
      </c>
      <c r="BQ282" s="3" t="str">
        <f t="shared" si="1045"/>
        <v/>
      </c>
      <c r="BR282" s="3" t="str">
        <f t="shared" si="1045"/>
        <v/>
      </c>
      <c r="BS282" s="3" t="str">
        <f t="shared" si="1045"/>
        <v/>
      </c>
      <c r="BT282" s="3" t="str">
        <f t="shared" si="1045"/>
        <v/>
      </c>
      <c r="BU282" s="3" t="str">
        <f t="shared" si="1045"/>
        <v/>
      </c>
      <c r="BV282" s="3" t="str">
        <f t="shared" si="1045"/>
        <v/>
      </c>
      <c r="BW282" s="3" t="str">
        <f t="shared" si="1045"/>
        <v/>
      </c>
      <c r="BX282" s="3" t="str">
        <f t="shared" si="1045"/>
        <v/>
      </c>
      <c r="BY282" s="3" t="str">
        <f t="shared" si="1045"/>
        <v/>
      </c>
      <c r="BZ282" s="3" t="str">
        <f t="shared" si="1045"/>
        <v/>
      </c>
      <c r="CA282" s="3" t="str">
        <f t="shared" si="1045"/>
        <v/>
      </c>
      <c r="CB282" s="3" t="str">
        <f t="shared" ref="CB282" si="1046">IF(AK282=0,"",ROUNDUP(AK279/AK282,0))</f>
        <v/>
      </c>
      <c r="CC282" s="3" t="str">
        <f t="shared" ref="CC282" si="1047">IF(AL282=0,"",ROUNDUP(AL279/AL282,0))</f>
        <v/>
      </c>
    </row>
    <row r="283" spans="1:81" ht="17.100000000000001" customHeight="1" outlineLevel="1">
      <c r="A283" s="174"/>
      <c r="B283" s="30" t="s">
        <v>22</v>
      </c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39"/>
      <c r="P283" s="39"/>
      <c r="Q283" s="39"/>
      <c r="R283" s="39"/>
      <c r="S283" s="39"/>
      <c r="T283" s="39"/>
      <c r="U283" s="39"/>
      <c r="V283" s="39"/>
      <c r="W283" s="39"/>
      <c r="X283" s="39"/>
      <c r="Y283" s="39"/>
      <c r="Z283" s="39"/>
      <c r="AA283" s="39"/>
      <c r="AB283" s="39"/>
      <c r="AC283" s="39"/>
      <c r="AD283" s="39"/>
      <c r="AE283" s="39"/>
      <c r="AF283" s="39"/>
      <c r="AG283" s="39"/>
      <c r="AH283" s="39"/>
      <c r="AI283" s="39"/>
      <c r="AJ283" s="39"/>
      <c r="AK283" s="39"/>
      <c r="AL283" s="39"/>
      <c r="AM283" s="39"/>
      <c r="AN283" s="40" t="str">
        <f t="shared" ref="AN283:AN286" si="1048">IF(AM283="","",SUM(C283:AL283)*AM283)</f>
        <v/>
      </c>
      <c r="AO283" s="39"/>
      <c r="AP283" s="39"/>
      <c r="AQ283" s="42">
        <f t="shared" ref="AQ283:AQ289" si="1049">(AO283+AR283)*AM283</f>
        <v>0</v>
      </c>
      <c r="AR283" s="25">
        <f t="shared" ref="AR283:AR289" si="1050">AP283/36</f>
        <v>0</v>
      </c>
      <c r="AT283" s="3" t="str">
        <f t="shared" ref="AT283:CA283" si="1051">IF(C283=0,"",ROUNDUP(C279/C283,0))</f>
        <v/>
      </c>
      <c r="AU283" s="3" t="str">
        <f t="shared" si="1051"/>
        <v/>
      </c>
      <c r="AV283" s="3" t="str">
        <f t="shared" si="1051"/>
        <v/>
      </c>
      <c r="AW283" s="3" t="str">
        <f t="shared" si="1051"/>
        <v/>
      </c>
      <c r="AX283" s="3" t="str">
        <f t="shared" si="1051"/>
        <v/>
      </c>
      <c r="AY283" s="3" t="str">
        <f t="shared" si="1051"/>
        <v/>
      </c>
      <c r="AZ283" s="3" t="str">
        <f t="shared" si="1051"/>
        <v/>
      </c>
      <c r="BA283" s="3" t="str">
        <f t="shared" si="1051"/>
        <v/>
      </c>
      <c r="BB283" s="3" t="str">
        <f t="shared" si="1051"/>
        <v/>
      </c>
      <c r="BC283" s="3" t="str">
        <f t="shared" si="1051"/>
        <v/>
      </c>
      <c r="BD283" s="3" t="str">
        <f t="shared" si="1051"/>
        <v/>
      </c>
      <c r="BE283" s="3" t="str">
        <f t="shared" si="1051"/>
        <v/>
      </c>
      <c r="BF283" s="3" t="str">
        <f t="shared" si="1051"/>
        <v/>
      </c>
      <c r="BG283" s="3" t="str">
        <f t="shared" si="1051"/>
        <v/>
      </c>
      <c r="BH283" s="3" t="str">
        <f t="shared" si="1051"/>
        <v/>
      </c>
      <c r="BI283" s="3" t="str">
        <f t="shared" si="1051"/>
        <v/>
      </c>
      <c r="BJ283" s="3" t="str">
        <f t="shared" si="1051"/>
        <v/>
      </c>
      <c r="BK283" s="3" t="str">
        <f t="shared" si="1051"/>
        <v/>
      </c>
      <c r="BL283" s="3" t="str">
        <f t="shared" si="1051"/>
        <v/>
      </c>
      <c r="BM283" s="3" t="str">
        <f t="shared" si="1051"/>
        <v/>
      </c>
      <c r="BN283" s="3" t="str">
        <f t="shared" si="1051"/>
        <v/>
      </c>
      <c r="BO283" s="3" t="str">
        <f t="shared" si="1051"/>
        <v/>
      </c>
      <c r="BP283" s="3" t="str">
        <f t="shared" si="1051"/>
        <v/>
      </c>
      <c r="BQ283" s="3" t="str">
        <f t="shared" si="1051"/>
        <v/>
      </c>
      <c r="BR283" s="3" t="str">
        <f t="shared" si="1051"/>
        <v/>
      </c>
      <c r="BS283" s="3" t="str">
        <f t="shared" si="1051"/>
        <v/>
      </c>
      <c r="BT283" s="3" t="str">
        <f t="shared" si="1051"/>
        <v/>
      </c>
      <c r="BU283" s="3" t="str">
        <f t="shared" si="1051"/>
        <v/>
      </c>
      <c r="BV283" s="3" t="str">
        <f t="shared" si="1051"/>
        <v/>
      </c>
      <c r="BW283" s="3" t="str">
        <f t="shared" si="1051"/>
        <v/>
      </c>
      <c r="BX283" s="3" t="str">
        <f t="shared" si="1051"/>
        <v/>
      </c>
      <c r="BY283" s="3" t="str">
        <f t="shared" si="1051"/>
        <v/>
      </c>
      <c r="BZ283" s="3" t="str">
        <f t="shared" si="1051"/>
        <v/>
      </c>
      <c r="CA283" s="3" t="str">
        <f t="shared" si="1051"/>
        <v/>
      </c>
      <c r="CB283" s="3" t="str">
        <f t="shared" ref="CB283" si="1052">IF(AK283=0,"",ROUNDUP(AK279/AK283,0))</f>
        <v/>
      </c>
      <c r="CC283" s="3" t="str">
        <f t="shared" ref="CC283" si="1053">IF(AL283=0,"",ROUNDUP(AL279/AL283,0))</f>
        <v/>
      </c>
    </row>
    <row r="284" spans="1:81" ht="17.100000000000001" customHeight="1" outlineLevel="1">
      <c r="A284" s="174"/>
      <c r="B284" s="30" t="s">
        <v>23</v>
      </c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39"/>
      <c r="S284" s="39"/>
      <c r="T284" s="39"/>
      <c r="U284" s="39"/>
      <c r="V284" s="39"/>
      <c r="W284" s="39"/>
      <c r="X284" s="39"/>
      <c r="Y284" s="39"/>
      <c r="Z284" s="39"/>
      <c r="AA284" s="39"/>
      <c r="AB284" s="39"/>
      <c r="AC284" s="39"/>
      <c r="AD284" s="39"/>
      <c r="AE284" s="39"/>
      <c r="AF284" s="39"/>
      <c r="AG284" s="39"/>
      <c r="AH284" s="39"/>
      <c r="AI284" s="39"/>
      <c r="AJ284" s="39"/>
      <c r="AK284" s="39"/>
      <c r="AL284" s="39"/>
      <c r="AM284" s="39"/>
      <c r="AN284" s="40" t="str">
        <f t="shared" si="1048"/>
        <v/>
      </c>
      <c r="AO284" s="39"/>
      <c r="AP284" s="39"/>
      <c r="AQ284" s="42">
        <f t="shared" si="1049"/>
        <v>0</v>
      </c>
      <c r="AR284" s="25">
        <f t="shared" si="1050"/>
        <v>0</v>
      </c>
      <c r="AT284" s="3" t="str">
        <f t="shared" ref="AT284:CA284" si="1054">IF(C284=0,"",ROUNDUP(C279/C284,0))</f>
        <v/>
      </c>
      <c r="AU284" s="3" t="str">
        <f t="shared" si="1054"/>
        <v/>
      </c>
      <c r="AV284" s="3" t="str">
        <f t="shared" si="1054"/>
        <v/>
      </c>
      <c r="AW284" s="3" t="str">
        <f t="shared" si="1054"/>
        <v/>
      </c>
      <c r="AX284" s="3" t="str">
        <f t="shared" si="1054"/>
        <v/>
      </c>
      <c r="AY284" s="3" t="str">
        <f t="shared" si="1054"/>
        <v/>
      </c>
      <c r="AZ284" s="3" t="str">
        <f t="shared" si="1054"/>
        <v/>
      </c>
      <c r="BA284" s="3" t="str">
        <f t="shared" si="1054"/>
        <v/>
      </c>
      <c r="BB284" s="3" t="str">
        <f t="shared" si="1054"/>
        <v/>
      </c>
      <c r="BC284" s="3" t="str">
        <f t="shared" si="1054"/>
        <v/>
      </c>
      <c r="BD284" s="3" t="str">
        <f t="shared" si="1054"/>
        <v/>
      </c>
      <c r="BE284" s="3" t="str">
        <f t="shared" si="1054"/>
        <v/>
      </c>
      <c r="BF284" s="3" t="str">
        <f t="shared" si="1054"/>
        <v/>
      </c>
      <c r="BG284" s="3" t="str">
        <f t="shared" si="1054"/>
        <v/>
      </c>
      <c r="BH284" s="3" t="str">
        <f t="shared" si="1054"/>
        <v/>
      </c>
      <c r="BI284" s="3" t="str">
        <f t="shared" si="1054"/>
        <v/>
      </c>
      <c r="BJ284" s="3" t="str">
        <f t="shared" si="1054"/>
        <v/>
      </c>
      <c r="BK284" s="3" t="str">
        <f t="shared" si="1054"/>
        <v/>
      </c>
      <c r="BL284" s="3" t="str">
        <f t="shared" si="1054"/>
        <v/>
      </c>
      <c r="BM284" s="3" t="str">
        <f t="shared" si="1054"/>
        <v/>
      </c>
      <c r="BN284" s="3" t="str">
        <f t="shared" si="1054"/>
        <v/>
      </c>
      <c r="BO284" s="3" t="str">
        <f t="shared" si="1054"/>
        <v/>
      </c>
      <c r="BP284" s="3" t="str">
        <f t="shared" si="1054"/>
        <v/>
      </c>
      <c r="BQ284" s="3" t="str">
        <f t="shared" si="1054"/>
        <v/>
      </c>
      <c r="BR284" s="3" t="str">
        <f t="shared" si="1054"/>
        <v/>
      </c>
      <c r="BS284" s="3" t="str">
        <f t="shared" si="1054"/>
        <v/>
      </c>
      <c r="BT284" s="3" t="str">
        <f t="shared" si="1054"/>
        <v/>
      </c>
      <c r="BU284" s="3" t="str">
        <f t="shared" si="1054"/>
        <v/>
      </c>
      <c r="BV284" s="3" t="str">
        <f t="shared" si="1054"/>
        <v/>
      </c>
      <c r="BW284" s="3" t="str">
        <f t="shared" si="1054"/>
        <v/>
      </c>
      <c r="BX284" s="3" t="str">
        <f t="shared" si="1054"/>
        <v/>
      </c>
      <c r="BY284" s="3" t="str">
        <f t="shared" si="1054"/>
        <v/>
      </c>
      <c r="BZ284" s="3" t="str">
        <f t="shared" si="1054"/>
        <v/>
      </c>
      <c r="CA284" s="3" t="str">
        <f t="shared" si="1054"/>
        <v/>
      </c>
      <c r="CB284" s="3" t="str">
        <f t="shared" ref="CB284" si="1055">IF(AK284=0,"",ROUNDUP(AK279/AK284,0))</f>
        <v/>
      </c>
      <c r="CC284" s="3" t="str">
        <f t="shared" ref="CC284" si="1056">IF(AL284=0,"",ROUNDUP(AL279/AL284,0))</f>
        <v/>
      </c>
    </row>
    <row r="285" spans="1:81" ht="17.100000000000001" customHeight="1" outlineLevel="1">
      <c r="A285" s="174"/>
      <c r="B285" s="30" t="s">
        <v>24</v>
      </c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39"/>
      <c r="P285" s="39"/>
      <c r="Q285" s="39"/>
      <c r="R285" s="39"/>
      <c r="S285" s="39"/>
      <c r="T285" s="39"/>
      <c r="U285" s="39"/>
      <c r="V285" s="39"/>
      <c r="W285" s="39"/>
      <c r="X285" s="39"/>
      <c r="Y285" s="39"/>
      <c r="Z285" s="39"/>
      <c r="AA285" s="39"/>
      <c r="AB285" s="39"/>
      <c r="AC285" s="39"/>
      <c r="AD285" s="39"/>
      <c r="AE285" s="39"/>
      <c r="AF285" s="39"/>
      <c r="AG285" s="39"/>
      <c r="AH285" s="39"/>
      <c r="AI285" s="39"/>
      <c r="AJ285" s="39"/>
      <c r="AK285" s="39"/>
      <c r="AL285" s="39"/>
      <c r="AM285" s="39"/>
      <c r="AN285" s="40" t="str">
        <f t="shared" si="1048"/>
        <v/>
      </c>
      <c r="AO285" s="39"/>
      <c r="AP285" s="39"/>
      <c r="AQ285" s="42">
        <f t="shared" si="1049"/>
        <v>0</v>
      </c>
      <c r="AR285" s="25">
        <f t="shared" si="1050"/>
        <v>0</v>
      </c>
      <c r="AT285" s="3" t="str">
        <f t="shared" ref="AT285:CA285" si="1057">IF(C285=0,"",ROUNDUP(C279/C285,0))</f>
        <v/>
      </c>
      <c r="AU285" s="3" t="str">
        <f t="shared" si="1057"/>
        <v/>
      </c>
      <c r="AV285" s="3" t="str">
        <f t="shared" si="1057"/>
        <v/>
      </c>
      <c r="AW285" s="3" t="str">
        <f t="shared" si="1057"/>
        <v/>
      </c>
      <c r="AX285" s="3" t="str">
        <f t="shared" si="1057"/>
        <v/>
      </c>
      <c r="AY285" s="3" t="str">
        <f t="shared" si="1057"/>
        <v/>
      </c>
      <c r="AZ285" s="3" t="str">
        <f t="shared" si="1057"/>
        <v/>
      </c>
      <c r="BA285" s="3" t="str">
        <f t="shared" si="1057"/>
        <v/>
      </c>
      <c r="BB285" s="3" t="str">
        <f t="shared" si="1057"/>
        <v/>
      </c>
      <c r="BC285" s="3" t="str">
        <f t="shared" si="1057"/>
        <v/>
      </c>
      <c r="BD285" s="3" t="str">
        <f t="shared" si="1057"/>
        <v/>
      </c>
      <c r="BE285" s="3" t="str">
        <f t="shared" si="1057"/>
        <v/>
      </c>
      <c r="BF285" s="3" t="str">
        <f t="shared" si="1057"/>
        <v/>
      </c>
      <c r="BG285" s="3" t="str">
        <f t="shared" si="1057"/>
        <v/>
      </c>
      <c r="BH285" s="3" t="str">
        <f t="shared" si="1057"/>
        <v/>
      </c>
      <c r="BI285" s="3" t="str">
        <f t="shared" si="1057"/>
        <v/>
      </c>
      <c r="BJ285" s="3" t="str">
        <f t="shared" si="1057"/>
        <v/>
      </c>
      <c r="BK285" s="3" t="str">
        <f t="shared" si="1057"/>
        <v/>
      </c>
      <c r="BL285" s="3" t="str">
        <f t="shared" si="1057"/>
        <v/>
      </c>
      <c r="BM285" s="3" t="str">
        <f t="shared" si="1057"/>
        <v/>
      </c>
      <c r="BN285" s="3" t="str">
        <f t="shared" si="1057"/>
        <v/>
      </c>
      <c r="BO285" s="3" t="str">
        <f t="shared" si="1057"/>
        <v/>
      </c>
      <c r="BP285" s="3" t="str">
        <f t="shared" si="1057"/>
        <v/>
      </c>
      <c r="BQ285" s="3" t="str">
        <f t="shared" si="1057"/>
        <v/>
      </c>
      <c r="BR285" s="3" t="str">
        <f t="shared" si="1057"/>
        <v/>
      </c>
      <c r="BS285" s="3" t="str">
        <f t="shared" si="1057"/>
        <v/>
      </c>
      <c r="BT285" s="3" t="str">
        <f t="shared" si="1057"/>
        <v/>
      </c>
      <c r="BU285" s="3" t="str">
        <f t="shared" si="1057"/>
        <v/>
      </c>
      <c r="BV285" s="3" t="str">
        <f t="shared" si="1057"/>
        <v/>
      </c>
      <c r="BW285" s="3" t="str">
        <f t="shared" si="1057"/>
        <v/>
      </c>
      <c r="BX285" s="3" t="str">
        <f t="shared" si="1057"/>
        <v/>
      </c>
      <c r="BY285" s="3" t="str">
        <f t="shared" si="1057"/>
        <v/>
      </c>
      <c r="BZ285" s="3" t="str">
        <f t="shared" si="1057"/>
        <v/>
      </c>
      <c r="CA285" s="3" t="str">
        <f t="shared" si="1057"/>
        <v/>
      </c>
      <c r="CB285" s="3" t="str">
        <f t="shared" ref="CB285" si="1058">IF(AK285=0,"",ROUNDUP(AK279/AK285,0))</f>
        <v/>
      </c>
      <c r="CC285" s="3" t="str">
        <f t="shared" ref="CC285" si="1059">IF(AL285=0,"",ROUNDUP(AL279/AL285,0))</f>
        <v/>
      </c>
    </row>
    <row r="286" spans="1:81" ht="17.100000000000001" customHeight="1" outlineLevel="1">
      <c r="A286" s="174"/>
      <c r="B286" s="30" t="s">
        <v>25</v>
      </c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39"/>
      <c r="P286" s="39"/>
      <c r="Q286" s="39"/>
      <c r="R286" s="39"/>
      <c r="S286" s="39"/>
      <c r="T286" s="39"/>
      <c r="U286" s="39"/>
      <c r="V286" s="39"/>
      <c r="W286" s="39"/>
      <c r="X286" s="39"/>
      <c r="Y286" s="39"/>
      <c r="Z286" s="39"/>
      <c r="AA286" s="39"/>
      <c r="AB286" s="39"/>
      <c r="AC286" s="39"/>
      <c r="AD286" s="39"/>
      <c r="AE286" s="39"/>
      <c r="AF286" s="39"/>
      <c r="AG286" s="39"/>
      <c r="AH286" s="39"/>
      <c r="AI286" s="39"/>
      <c r="AJ286" s="39"/>
      <c r="AK286" s="39"/>
      <c r="AL286" s="39"/>
      <c r="AM286" s="39"/>
      <c r="AN286" s="40" t="str">
        <f t="shared" si="1048"/>
        <v/>
      </c>
      <c r="AO286" s="39"/>
      <c r="AP286" s="39"/>
      <c r="AQ286" s="42">
        <f t="shared" si="1049"/>
        <v>0</v>
      </c>
      <c r="AR286" s="25">
        <f t="shared" si="1050"/>
        <v>0</v>
      </c>
      <c r="AT286" s="3" t="str">
        <f t="shared" ref="AT286:CA286" si="1060">IF(C286=0,"",ROUNDUP(C279/C286,0))</f>
        <v/>
      </c>
      <c r="AU286" s="3" t="str">
        <f t="shared" si="1060"/>
        <v/>
      </c>
      <c r="AV286" s="3" t="str">
        <f t="shared" si="1060"/>
        <v/>
      </c>
      <c r="AW286" s="3" t="str">
        <f t="shared" si="1060"/>
        <v/>
      </c>
      <c r="AX286" s="3" t="str">
        <f t="shared" si="1060"/>
        <v/>
      </c>
      <c r="AY286" s="3" t="str">
        <f t="shared" si="1060"/>
        <v/>
      </c>
      <c r="AZ286" s="3" t="str">
        <f t="shared" si="1060"/>
        <v/>
      </c>
      <c r="BA286" s="3" t="str">
        <f t="shared" si="1060"/>
        <v/>
      </c>
      <c r="BB286" s="3" t="str">
        <f t="shared" si="1060"/>
        <v/>
      </c>
      <c r="BC286" s="3" t="str">
        <f t="shared" si="1060"/>
        <v/>
      </c>
      <c r="BD286" s="3" t="str">
        <f t="shared" si="1060"/>
        <v/>
      </c>
      <c r="BE286" s="3" t="str">
        <f t="shared" si="1060"/>
        <v/>
      </c>
      <c r="BF286" s="3" t="str">
        <f t="shared" si="1060"/>
        <v/>
      </c>
      <c r="BG286" s="3" t="str">
        <f t="shared" si="1060"/>
        <v/>
      </c>
      <c r="BH286" s="3" t="str">
        <f t="shared" si="1060"/>
        <v/>
      </c>
      <c r="BI286" s="3" t="str">
        <f t="shared" si="1060"/>
        <v/>
      </c>
      <c r="BJ286" s="3" t="str">
        <f t="shared" si="1060"/>
        <v/>
      </c>
      <c r="BK286" s="3" t="str">
        <f t="shared" si="1060"/>
        <v/>
      </c>
      <c r="BL286" s="3" t="str">
        <f t="shared" si="1060"/>
        <v/>
      </c>
      <c r="BM286" s="3" t="str">
        <f t="shared" si="1060"/>
        <v/>
      </c>
      <c r="BN286" s="3" t="str">
        <f t="shared" si="1060"/>
        <v/>
      </c>
      <c r="BO286" s="3" t="str">
        <f t="shared" si="1060"/>
        <v/>
      </c>
      <c r="BP286" s="3" t="str">
        <f t="shared" si="1060"/>
        <v/>
      </c>
      <c r="BQ286" s="3" t="str">
        <f t="shared" si="1060"/>
        <v/>
      </c>
      <c r="BR286" s="3" t="str">
        <f t="shared" si="1060"/>
        <v/>
      </c>
      <c r="BS286" s="3" t="str">
        <f t="shared" si="1060"/>
        <v/>
      </c>
      <c r="BT286" s="3" t="str">
        <f t="shared" si="1060"/>
        <v/>
      </c>
      <c r="BU286" s="3" t="str">
        <f t="shared" si="1060"/>
        <v/>
      </c>
      <c r="BV286" s="3" t="str">
        <f t="shared" si="1060"/>
        <v/>
      </c>
      <c r="BW286" s="3" t="str">
        <f t="shared" si="1060"/>
        <v/>
      </c>
      <c r="BX286" s="3" t="str">
        <f t="shared" si="1060"/>
        <v/>
      </c>
      <c r="BY286" s="3" t="str">
        <f t="shared" si="1060"/>
        <v/>
      </c>
      <c r="BZ286" s="3" t="str">
        <f t="shared" si="1060"/>
        <v/>
      </c>
      <c r="CA286" s="3" t="str">
        <f t="shared" si="1060"/>
        <v/>
      </c>
      <c r="CB286" s="3" t="str">
        <f t="shared" ref="CB286" si="1061">IF(AK286=0,"",ROUNDUP(AK279/AK286,0))</f>
        <v/>
      </c>
      <c r="CC286" s="3" t="str">
        <f t="shared" ref="CC286" si="1062">IF(AL286=0,"",ROUNDUP(AL279/AL286,0))</f>
        <v/>
      </c>
    </row>
    <row r="287" spans="1:81" ht="17.100000000000001" customHeight="1" outlineLevel="1">
      <c r="A287" s="174"/>
      <c r="B287" s="30" t="s">
        <v>26</v>
      </c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39"/>
      <c r="P287" s="39"/>
      <c r="Q287" s="39"/>
      <c r="R287" s="39"/>
      <c r="S287" s="39"/>
      <c r="T287" s="39"/>
      <c r="U287" s="39"/>
      <c r="V287" s="39"/>
      <c r="W287" s="39"/>
      <c r="X287" s="39"/>
      <c r="Y287" s="39"/>
      <c r="Z287" s="39"/>
      <c r="AA287" s="39"/>
      <c r="AB287" s="39"/>
      <c r="AC287" s="39"/>
      <c r="AD287" s="39"/>
      <c r="AE287" s="39"/>
      <c r="AF287" s="39"/>
      <c r="AG287" s="39"/>
      <c r="AH287" s="39"/>
      <c r="AI287" s="39"/>
      <c r="AJ287" s="39"/>
      <c r="AK287" s="39"/>
      <c r="AL287" s="39"/>
      <c r="AM287" s="39"/>
      <c r="AN287" s="40" t="str">
        <f>IF(AM287="","",SUM(C287:AL287)*AM287)</f>
        <v/>
      </c>
      <c r="AO287" s="39"/>
      <c r="AP287" s="39"/>
      <c r="AQ287" s="42">
        <f t="shared" si="1049"/>
        <v>0</v>
      </c>
      <c r="AR287" s="25">
        <f t="shared" si="1050"/>
        <v>0</v>
      </c>
      <c r="AT287" s="3" t="str">
        <f t="shared" ref="AT287:CA287" si="1063">IF(C287=0,"",ROUNDUP(C279/C287,0))</f>
        <v/>
      </c>
      <c r="AU287" s="3" t="str">
        <f t="shared" si="1063"/>
        <v/>
      </c>
      <c r="AV287" s="3" t="str">
        <f t="shared" si="1063"/>
        <v/>
      </c>
      <c r="AW287" s="3" t="str">
        <f t="shared" si="1063"/>
        <v/>
      </c>
      <c r="AX287" s="3" t="str">
        <f t="shared" si="1063"/>
        <v/>
      </c>
      <c r="AY287" s="3" t="str">
        <f t="shared" si="1063"/>
        <v/>
      </c>
      <c r="AZ287" s="3" t="str">
        <f t="shared" si="1063"/>
        <v/>
      </c>
      <c r="BA287" s="3" t="str">
        <f t="shared" si="1063"/>
        <v/>
      </c>
      <c r="BB287" s="3" t="str">
        <f t="shared" si="1063"/>
        <v/>
      </c>
      <c r="BC287" s="3" t="str">
        <f t="shared" si="1063"/>
        <v/>
      </c>
      <c r="BD287" s="3" t="str">
        <f t="shared" si="1063"/>
        <v/>
      </c>
      <c r="BE287" s="3" t="str">
        <f t="shared" si="1063"/>
        <v/>
      </c>
      <c r="BF287" s="3" t="str">
        <f t="shared" si="1063"/>
        <v/>
      </c>
      <c r="BG287" s="3" t="str">
        <f t="shared" si="1063"/>
        <v/>
      </c>
      <c r="BH287" s="3" t="str">
        <f t="shared" si="1063"/>
        <v/>
      </c>
      <c r="BI287" s="3" t="str">
        <f t="shared" si="1063"/>
        <v/>
      </c>
      <c r="BJ287" s="3" t="str">
        <f t="shared" si="1063"/>
        <v/>
      </c>
      <c r="BK287" s="3" t="str">
        <f t="shared" si="1063"/>
        <v/>
      </c>
      <c r="BL287" s="3" t="str">
        <f t="shared" si="1063"/>
        <v/>
      </c>
      <c r="BM287" s="3" t="str">
        <f t="shared" si="1063"/>
        <v/>
      </c>
      <c r="BN287" s="3" t="str">
        <f t="shared" si="1063"/>
        <v/>
      </c>
      <c r="BO287" s="3" t="str">
        <f t="shared" si="1063"/>
        <v/>
      </c>
      <c r="BP287" s="3" t="str">
        <f t="shared" si="1063"/>
        <v/>
      </c>
      <c r="BQ287" s="3" t="str">
        <f t="shared" si="1063"/>
        <v/>
      </c>
      <c r="BR287" s="3" t="str">
        <f t="shared" si="1063"/>
        <v/>
      </c>
      <c r="BS287" s="3" t="str">
        <f t="shared" si="1063"/>
        <v/>
      </c>
      <c r="BT287" s="3" t="str">
        <f t="shared" si="1063"/>
        <v/>
      </c>
      <c r="BU287" s="3" t="str">
        <f t="shared" si="1063"/>
        <v/>
      </c>
      <c r="BV287" s="3" t="str">
        <f t="shared" si="1063"/>
        <v/>
      </c>
      <c r="BW287" s="3" t="str">
        <f t="shared" si="1063"/>
        <v/>
      </c>
      <c r="BX287" s="3" t="str">
        <f t="shared" si="1063"/>
        <v/>
      </c>
      <c r="BY287" s="3" t="str">
        <f t="shared" si="1063"/>
        <v/>
      </c>
      <c r="BZ287" s="3" t="str">
        <f t="shared" si="1063"/>
        <v/>
      </c>
      <c r="CA287" s="3" t="str">
        <f t="shared" si="1063"/>
        <v/>
      </c>
      <c r="CB287" s="3" t="str">
        <f t="shared" ref="CB287" si="1064">IF(AK287=0,"",ROUNDUP(AK279/AK287,0))</f>
        <v/>
      </c>
      <c r="CC287" s="3" t="str">
        <f t="shared" ref="CC287" si="1065">IF(AL287=0,"",ROUNDUP(AL279/AL287,0))</f>
        <v/>
      </c>
    </row>
    <row r="288" spans="1:81" ht="17.100000000000001" customHeight="1" outlineLevel="1">
      <c r="A288" s="174"/>
      <c r="B288" s="30" t="s">
        <v>27</v>
      </c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39"/>
      <c r="P288" s="39"/>
      <c r="Q288" s="39"/>
      <c r="R288" s="39"/>
      <c r="S288" s="39"/>
      <c r="T288" s="39"/>
      <c r="U288" s="39"/>
      <c r="V288" s="39"/>
      <c r="W288" s="39"/>
      <c r="X288" s="39"/>
      <c r="Y288" s="39"/>
      <c r="Z288" s="39"/>
      <c r="AA288" s="39"/>
      <c r="AB288" s="39"/>
      <c r="AC288" s="39"/>
      <c r="AD288" s="39"/>
      <c r="AE288" s="39"/>
      <c r="AF288" s="39"/>
      <c r="AG288" s="39"/>
      <c r="AH288" s="39"/>
      <c r="AI288" s="39"/>
      <c r="AJ288" s="39"/>
      <c r="AK288" s="39"/>
      <c r="AL288" s="39"/>
      <c r="AM288" s="39"/>
      <c r="AN288" s="40" t="str">
        <f t="shared" ref="AN288:AN289" si="1066">IF(AM288="","",SUM(C288:AL288)*AM288)</f>
        <v/>
      </c>
      <c r="AO288" s="39"/>
      <c r="AP288" s="39"/>
      <c r="AQ288" s="42">
        <f t="shared" si="1049"/>
        <v>0</v>
      </c>
      <c r="AR288" s="25">
        <f t="shared" si="1050"/>
        <v>0</v>
      </c>
      <c r="AT288" s="3" t="str">
        <f t="shared" ref="AT288:CA288" si="1067">IF(C288=0,"",ROUNDUP(C279/C288,0))</f>
        <v/>
      </c>
      <c r="AU288" s="3" t="str">
        <f t="shared" si="1067"/>
        <v/>
      </c>
      <c r="AV288" s="3" t="str">
        <f t="shared" si="1067"/>
        <v/>
      </c>
      <c r="AW288" s="3" t="str">
        <f t="shared" si="1067"/>
        <v/>
      </c>
      <c r="AX288" s="3" t="str">
        <f t="shared" si="1067"/>
        <v/>
      </c>
      <c r="AY288" s="3" t="str">
        <f t="shared" si="1067"/>
        <v/>
      </c>
      <c r="AZ288" s="3" t="str">
        <f t="shared" si="1067"/>
        <v/>
      </c>
      <c r="BA288" s="3" t="str">
        <f t="shared" si="1067"/>
        <v/>
      </c>
      <c r="BB288" s="3" t="str">
        <f t="shared" si="1067"/>
        <v/>
      </c>
      <c r="BC288" s="3" t="str">
        <f t="shared" si="1067"/>
        <v/>
      </c>
      <c r="BD288" s="3" t="str">
        <f t="shared" si="1067"/>
        <v/>
      </c>
      <c r="BE288" s="3" t="str">
        <f t="shared" si="1067"/>
        <v/>
      </c>
      <c r="BF288" s="3" t="str">
        <f t="shared" si="1067"/>
        <v/>
      </c>
      <c r="BG288" s="3" t="str">
        <f t="shared" si="1067"/>
        <v/>
      </c>
      <c r="BH288" s="3" t="str">
        <f t="shared" si="1067"/>
        <v/>
      </c>
      <c r="BI288" s="3" t="str">
        <f t="shared" si="1067"/>
        <v/>
      </c>
      <c r="BJ288" s="3" t="str">
        <f t="shared" si="1067"/>
        <v/>
      </c>
      <c r="BK288" s="3" t="str">
        <f t="shared" si="1067"/>
        <v/>
      </c>
      <c r="BL288" s="3" t="str">
        <f t="shared" si="1067"/>
        <v/>
      </c>
      <c r="BM288" s="3" t="str">
        <f t="shared" si="1067"/>
        <v/>
      </c>
      <c r="BN288" s="3" t="str">
        <f t="shared" si="1067"/>
        <v/>
      </c>
      <c r="BO288" s="3" t="str">
        <f t="shared" si="1067"/>
        <v/>
      </c>
      <c r="BP288" s="3" t="str">
        <f t="shared" si="1067"/>
        <v/>
      </c>
      <c r="BQ288" s="3" t="str">
        <f t="shared" si="1067"/>
        <v/>
      </c>
      <c r="BR288" s="3" t="str">
        <f t="shared" si="1067"/>
        <v/>
      </c>
      <c r="BS288" s="3" t="str">
        <f t="shared" si="1067"/>
        <v/>
      </c>
      <c r="BT288" s="3" t="str">
        <f t="shared" si="1067"/>
        <v/>
      </c>
      <c r="BU288" s="3" t="str">
        <f t="shared" si="1067"/>
        <v/>
      </c>
      <c r="BV288" s="3" t="str">
        <f t="shared" si="1067"/>
        <v/>
      </c>
      <c r="BW288" s="3" t="str">
        <f t="shared" si="1067"/>
        <v/>
      </c>
      <c r="BX288" s="3" t="str">
        <f t="shared" si="1067"/>
        <v/>
      </c>
      <c r="BY288" s="3" t="str">
        <f t="shared" si="1067"/>
        <v/>
      </c>
      <c r="BZ288" s="3" t="str">
        <f t="shared" si="1067"/>
        <v/>
      </c>
      <c r="CA288" s="3" t="str">
        <f t="shared" si="1067"/>
        <v/>
      </c>
      <c r="CB288" s="3" t="str">
        <f t="shared" ref="CB288" si="1068">IF(AK288=0,"",ROUNDUP(AK279/AK288,0))</f>
        <v/>
      </c>
      <c r="CC288" s="3" t="str">
        <f t="shared" ref="CC288" si="1069">IF(AL288=0,"",ROUNDUP(AL279/AL288,0))</f>
        <v/>
      </c>
    </row>
    <row r="289" spans="1:81" ht="17.100000000000001" customHeight="1" outlineLevel="1">
      <c r="A289" s="175"/>
      <c r="B289" s="30" t="s">
        <v>28</v>
      </c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39"/>
      <c r="P289" s="39"/>
      <c r="Q289" s="39"/>
      <c r="R289" s="39"/>
      <c r="S289" s="39"/>
      <c r="T289" s="39"/>
      <c r="U289" s="39"/>
      <c r="V289" s="39"/>
      <c r="W289" s="39"/>
      <c r="X289" s="39"/>
      <c r="Y289" s="39"/>
      <c r="Z289" s="39"/>
      <c r="AA289" s="39"/>
      <c r="AB289" s="39"/>
      <c r="AC289" s="39"/>
      <c r="AD289" s="39"/>
      <c r="AE289" s="39"/>
      <c r="AF289" s="39"/>
      <c r="AG289" s="39"/>
      <c r="AH289" s="39"/>
      <c r="AI289" s="39"/>
      <c r="AJ289" s="39"/>
      <c r="AK289" s="39"/>
      <c r="AL289" s="39"/>
      <c r="AM289" s="39"/>
      <c r="AN289" s="41" t="str">
        <f t="shared" si="1066"/>
        <v/>
      </c>
      <c r="AO289" s="39"/>
      <c r="AP289" s="39"/>
      <c r="AQ289" s="42">
        <f t="shared" si="1049"/>
        <v>0</v>
      </c>
      <c r="AR289" s="25">
        <f t="shared" si="1050"/>
        <v>0</v>
      </c>
      <c r="AT289" s="3" t="str">
        <f t="shared" ref="AT289:CA289" si="1070">IF(C289=0,"",ROUNDUP(C279/C289,0))</f>
        <v/>
      </c>
      <c r="AU289" s="3" t="str">
        <f t="shared" si="1070"/>
        <v/>
      </c>
      <c r="AV289" s="3" t="str">
        <f t="shared" si="1070"/>
        <v/>
      </c>
      <c r="AW289" s="3" t="str">
        <f t="shared" si="1070"/>
        <v/>
      </c>
      <c r="AX289" s="3" t="str">
        <f t="shared" si="1070"/>
        <v/>
      </c>
      <c r="AY289" s="3" t="str">
        <f t="shared" si="1070"/>
        <v/>
      </c>
      <c r="AZ289" s="3" t="str">
        <f t="shared" si="1070"/>
        <v/>
      </c>
      <c r="BA289" s="3" t="str">
        <f t="shared" si="1070"/>
        <v/>
      </c>
      <c r="BB289" s="3" t="str">
        <f t="shared" si="1070"/>
        <v/>
      </c>
      <c r="BC289" s="3" t="str">
        <f t="shared" si="1070"/>
        <v/>
      </c>
      <c r="BD289" s="3" t="str">
        <f t="shared" si="1070"/>
        <v/>
      </c>
      <c r="BE289" s="3" t="str">
        <f t="shared" si="1070"/>
        <v/>
      </c>
      <c r="BF289" s="3" t="str">
        <f t="shared" si="1070"/>
        <v/>
      </c>
      <c r="BG289" s="3" t="str">
        <f t="shared" si="1070"/>
        <v/>
      </c>
      <c r="BH289" s="3" t="str">
        <f t="shared" si="1070"/>
        <v/>
      </c>
      <c r="BI289" s="3" t="str">
        <f t="shared" si="1070"/>
        <v/>
      </c>
      <c r="BJ289" s="3" t="str">
        <f t="shared" si="1070"/>
        <v/>
      </c>
      <c r="BK289" s="3" t="str">
        <f t="shared" si="1070"/>
        <v/>
      </c>
      <c r="BL289" s="3" t="str">
        <f t="shared" si="1070"/>
        <v/>
      </c>
      <c r="BM289" s="3" t="str">
        <f t="shared" si="1070"/>
        <v/>
      </c>
      <c r="BN289" s="3" t="str">
        <f t="shared" si="1070"/>
        <v/>
      </c>
      <c r="BO289" s="3" t="str">
        <f t="shared" si="1070"/>
        <v/>
      </c>
      <c r="BP289" s="3" t="str">
        <f t="shared" si="1070"/>
        <v/>
      </c>
      <c r="BQ289" s="3" t="str">
        <f t="shared" si="1070"/>
        <v/>
      </c>
      <c r="BR289" s="3" t="str">
        <f t="shared" si="1070"/>
        <v/>
      </c>
      <c r="BS289" s="3" t="str">
        <f t="shared" si="1070"/>
        <v/>
      </c>
      <c r="BT289" s="3" t="str">
        <f t="shared" si="1070"/>
        <v/>
      </c>
      <c r="BU289" s="3" t="str">
        <f t="shared" si="1070"/>
        <v/>
      </c>
      <c r="BV289" s="3" t="str">
        <f t="shared" si="1070"/>
        <v/>
      </c>
      <c r="BW289" s="3" t="str">
        <f t="shared" si="1070"/>
        <v/>
      </c>
      <c r="BX289" s="3" t="str">
        <f t="shared" si="1070"/>
        <v/>
      </c>
      <c r="BY289" s="3" t="str">
        <f t="shared" si="1070"/>
        <v/>
      </c>
      <c r="BZ289" s="3" t="str">
        <f t="shared" si="1070"/>
        <v/>
      </c>
      <c r="CA289" s="3" t="str">
        <f t="shared" si="1070"/>
        <v/>
      </c>
      <c r="CB289" s="3" t="str">
        <f t="shared" ref="CB289" si="1071">IF(AK289=0,"",ROUNDUP(AK279/AK289,0))</f>
        <v/>
      </c>
      <c r="CC289" s="3" t="str">
        <f t="shared" ref="CC289" si="1072">IF(AL289=0,"",ROUNDUP(AL279/AL289,0))</f>
        <v/>
      </c>
    </row>
    <row r="290" spans="1:81" ht="17.100000000000001" customHeight="1" outlineLevel="1" thickBot="1">
      <c r="AN290" s="7">
        <f>SUM(AN282:AN289)</f>
        <v>0</v>
      </c>
      <c r="AQ290" s="12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</row>
    <row r="291" spans="1:81" ht="21.95" customHeight="1" outlineLevel="1" thickBot="1">
      <c r="A291" s="201">
        <v>19</v>
      </c>
      <c r="B291" s="202"/>
      <c r="C291" s="203"/>
      <c r="AQ291" s="12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</row>
    <row r="292" spans="1:81" ht="17.100000000000001" customHeight="1" outlineLevel="1">
      <c r="A292" s="51" t="s">
        <v>29</v>
      </c>
      <c r="B292" s="50"/>
      <c r="C292" s="147" t="s">
        <v>10</v>
      </c>
      <c r="D292" s="148"/>
      <c r="E292" s="148"/>
      <c r="F292" s="148"/>
      <c r="G292" s="148"/>
      <c r="H292" s="148"/>
      <c r="I292" s="148"/>
      <c r="J292" s="148"/>
      <c r="K292" s="148"/>
      <c r="L292" s="148"/>
      <c r="M292" s="148"/>
      <c r="N292" s="148"/>
      <c r="O292" s="148"/>
      <c r="P292" s="148"/>
      <c r="Q292" s="148"/>
      <c r="R292" s="148"/>
      <c r="S292" s="148"/>
      <c r="T292" s="148"/>
      <c r="U292" s="148"/>
      <c r="V292" s="148"/>
      <c r="W292" s="148"/>
      <c r="X292" s="148"/>
      <c r="Y292" s="148"/>
      <c r="Z292" s="148"/>
      <c r="AA292" s="148"/>
      <c r="AB292" s="148"/>
      <c r="AC292" s="148"/>
      <c r="AD292" s="148"/>
      <c r="AE292" s="148"/>
      <c r="AF292" s="148"/>
      <c r="AG292" s="148"/>
      <c r="AH292" s="148"/>
      <c r="AI292" s="148"/>
      <c r="AJ292" s="148"/>
      <c r="AK292" s="148"/>
      <c r="AL292" s="148"/>
      <c r="AM292" s="10"/>
      <c r="AN292" s="31"/>
      <c r="AO292" s="35" t="s">
        <v>4</v>
      </c>
      <c r="AP292" s="149"/>
      <c r="AQ292" s="150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</row>
    <row r="293" spans="1:81" ht="27" outlineLevel="1">
      <c r="A293" s="52" t="s">
        <v>36</v>
      </c>
      <c r="B293" s="50"/>
      <c r="C293" s="26" t="str">
        <f>IF(C277=0,"",IF(C277&gt;0,C277))</f>
        <v/>
      </c>
      <c r="D293" s="26" t="str">
        <f t="shared" ref="D293:AL293" si="1073">IF(D277=0,"",IF(D277&gt;0,D277))</f>
        <v/>
      </c>
      <c r="E293" s="26" t="str">
        <f t="shared" si="1073"/>
        <v/>
      </c>
      <c r="F293" s="26" t="str">
        <f t="shared" si="1073"/>
        <v/>
      </c>
      <c r="G293" s="26" t="str">
        <f t="shared" si="1073"/>
        <v/>
      </c>
      <c r="H293" s="26" t="str">
        <f t="shared" si="1073"/>
        <v/>
      </c>
      <c r="I293" s="26" t="str">
        <f t="shared" si="1073"/>
        <v/>
      </c>
      <c r="J293" s="26" t="str">
        <f t="shared" si="1073"/>
        <v/>
      </c>
      <c r="K293" s="26" t="str">
        <f t="shared" si="1073"/>
        <v/>
      </c>
      <c r="L293" s="26" t="str">
        <f t="shared" si="1073"/>
        <v/>
      </c>
      <c r="M293" s="26" t="str">
        <f t="shared" si="1073"/>
        <v/>
      </c>
      <c r="N293" s="26" t="str">
        <f t="shared" si="1073"/>
        <v/>
      </c>
      <c r="O293" s="26" t="str">
        <f t="shared" si="1073"/>
        <v/>
      </c>
      <c r="P293" s="26" t="str">
        <f t="shared" si="1073"/>
        <v/>
      </c>
      <c r="Q293" s="26" t="str">
        <f t="shared" si="1073"/>
        <v/>
      </c>
      <c r="R293" s="26" t="str">
        <f t="shared" si="1073"/>
        <v/>
      </c>
      <c r="S293" s="26" t="str">
        <f t="shared" si="1073"/>
        <v/>
      </c>
      <c r="T293" s="26" t="str">
        <f t="shared" si="1073"/>
        <v/>
      </c>
      <c r="U293" s="26" t="str">
        <f t="shared" si="1073"/>
        <v/>
      </c>
      <c r="V293" s="26" t="str">
        <f t="shared" si="1073"/>
        <v/>
      </c>
      <c r="W293" s="26" t="str">
        <f t="shared" si="1073"/>
        <v/>
      </c>
      <c r="X293" s="26" t="str">
        <f t="shared" si="1073"/>
        <v/>
      </c>
      <c r="Y293" s="26" t="str">
        <f t="shared" si="1073"/>
        <v/>
      </c>
      <c r="Z293" s="26" t="str">
        <f t="shared" si="1073"/>
        <v/>
      </c>
      <c r="AA293" s="26" t="str">
        <f t="shared" si="1073"/>
        <v/>
      </c>
      <c r="AB293" s="26" t="str">
        <f t="shared" si="1073"/>
        <v/>
      </c>
      <c r="AC293" s="26" t="str">
        <f t="shared" si="1073"/>
        <v/>
      </c>
      <c r="AD293" s="26" t="str">
        <f t="shared" si="1073"/>
        <v/>
      </c>
      <c r="AE293" s="26" t="str">
        <f t="shared" si="1073"/>
        <v/>
      </c>
      <c r="AF293" s="26" t="str">
        <f t="shared" si="1073"/>
        <v/>
      </c>
      <c r="AG293" s="26" t="str">
        <f t="shared" si="1073"/>
        <v/>
      </c>
      <c r="AH293" s="26" t="str">
        <f t="shared" si="1073"/>
        <v/>
      </c>
      <c r="AI293" s="26" t="str">
        <f t="shared" si="1073"/>
        <v/>
      </c>
      <c r="AJ293" s="26" t="str">
        <f t="shared" si="1073"/>
        <v/>
      </c>
      <c r="AK293" s="26" t="str">
        <f t="shared" si="1073"/>
        <v/>
      </c>
      <c r="AL293" s="26" t="str">
        <f t="shared" si="1073"/>
        <v/>
      </c>
      <c r="AM293" s="5" t="s">
        <v>2</v>
      </c>
      <c r="AN293" s="31"/>
      <c r="AO293" s="32" t="s">
        <v>5</v>
      </c>
      <c r="AP293" s="151">
        <f>SUM(AQ298:AQ305)</f>
        <v>0</v>
      </c>
      <c r="AQ293" s="151"/>
      <c r="AT293" s="2" t="str">
        <f t="shared" ref="AT293:BY293" si="1074">IF(C293=0,"",IF(C293&gt;0,C293))</f>
        <v/>
      </c>
      <c r="AU293" s="2" t="str">
        <f t="shared" si="1074"/>
        <v/>
      </c>
      <c r="AV293" s="2" t="str">
        <f t="shared" si="1074"/>
        <v/>
      </c>
      <c r="AW293" s="2" t="str">
        <f t="shared" si="1074"/>
        <v/>
      </c>
      <c r="AX293" s="2" t="str">
        <f t="shared" si="1074"/>
        <v/>
      </c>
      <c r="AY293" s="2" t="str">
        <f t="shared" si="1074"/>
        <v/>
      </c>
      <c r="AZ293" s="2" t="str">
        <f t="shared" si="1074"/>
        <v/>
      </c>
      <c r="BA293" s="2" t="str">
        <f t="shared" si="1074"/>
        <v/>
      </c>
      <c r="BB293" s="2" t="str">
        <f t="shared" si="1074"/>
        <v/>
      </c>
      <c r="BC293" s="2" t="str">
        <f t="shared" si="1074"/>
        <v/>
      </c>
      <c r="BD293" s="2" t="str">
        <f t="shared" si="1074"/>
        <v/>
      </c>
      <c r="BE293" s="2" t="str">
        <f t="shared" si="1074"/>
        <v/>
      </c>
      <c r="BF293" s="2" t="str">
        <f t="shared" si="1074"/>
        <v/>
      </c>
      <c r="BG293" s="2" t="str">
        <f t="shared" si="1074"/>
        <v/>
      </c>
      <c r="BH293" s="2" t="str">
        <f t="shared" si="1074"/>
        <v/>
      </c>
      <c r="BI293" s="2" t="str">
        <f t="shared" si="1074"/>
        <v/>
      </c>
      <c r="BJ293" s="2" t="str">
        <f t="shared" si="1074"/>
        <v/>
      </c>
      <c r="BK293" s="2" t="str">
        <f t="shared" si="1074"/>
        <v/>
      </c>
      <c r="BL293" s="2" t="str">
        <f t="shared" si="1074"/>
        <v/>
      </c>
      <c r="BM293" s="2" t="str">
        <f t="shared" si="1074"/>
        <v/>
      </c>
      <c r="BN293" s="2" t="str">
        <f t="shared" si="1074"/>
        <v/>
      </c>
      <c r="BO293" s="2" t="str">
        <f t="shared" si="1074"/>
        <v/>
      </c>
      <c r="BP293" s="2" t="str">
        <f t="shared" si="1074"/>
        <v/>
      </c>
      <c r="BQ293" s="2" t="str">
        <f t="shared" si="1074"/>
        <v/>
      </c>
      <c r="BR293" s="2" t="str">
        <f t="shared" si="1074"/>
        <v/>
      </c>
      <c r="BS293" s="2" t="str">
        <f t="shared" si="1074"/>
        <v/>
      </c>
      <c r="BT293" s="2" t="str">
        <f t="shared" si="1074"/>
        <v/>
      </c>
      <c r="BU293" s="2" t="str">
        <f t="shared" si="1074"/>
        <v/>
      </c>
      <c r="BV293" s="2" t="str">
        <f t="shared" si="1074"/>
        <v/>
      </c>
      <c r="BW293" s="2" t="str">
        <f t="shared" si="1074"/>
        <v/>
      </c>
      <c r="BX293" s="2" t="str">
        <f t="shared" si="1074"/>
        <v/>
      </c>
      <c r="BY293" s="2" t="str">
        <f t="shared" si="1074"/>
        <v/>
      </c>
      <c r="BZ293" s="2" t="str">
        <f t="shared" ref="BZ293" si="1075">IF(AI293=0,"",IF(AI293&gt;0,AI293))</f>
        <v/>
      </c>
      <c r="CA293" s="2" t="str">
        <f t="shared" ref="CA293" si="1076">IF(AJ293=0,"",IF(AJ293&gt;0,AJ293))</f>
        <v/>
      </c>
      <c r="CB293" s="2" t="str">
        <f t="shared" ref="CB293" si="1077">IF(AK293=0,"",IF(AK293&gt;0,AK293))</f>
        <v/>
      </c>
      <c r="CC293" s="2" t="str">
        <f t="shared" ref="CC293" si="1078">IF(AL293=0,"",IF(AL293&gt;0,AL293))</f>
        <v/>
      </c>
    </row>
    <row r="294" spans="1:81" ht="17.100000000000001" customHeight="1" outlineLevel="1">
      <c r="A294" s="152" t="s">
        <v>30</v>
      </c>
      <c r="B294" s="153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6"/>
      <c r="O294" s="46"/>
      <c r="P294" s="46"/>
      <c r="Q294" s="46"/>
      <c r="R294" s="46"/>
      <c r="S294" s="46"/>
      <c r="T294" s="46"/>
      <c r="U294" s="46"/>
      <c r="V294" s="46"/>
      <c r="W294" s="46"/>
      <c r="X294" s="46"/>
      <c r="Y294" s="46"/>
      <c r="Z294" s="46"/>
      <c r="AA294" s="46"/>
      <c r="AB294" s="46"/>
      <c r="AC294" s="46"/>
      <c r="AD294" s="46"/>
      <c r="AE294" s="46"/>
      <c r="AF294" s="46"/>
      <c r="AG294" s="46"/>
      <c r="AH294" s="46"/>
      <c r="AI294" s="46"/>
      <c r="AJ294" s="46"/>
      <c r="AK294" s="46"/>
      <c r="AL294" s="46"/>
      <c r="AM294" s="45">
        <f>SUM(C294:AL294)</f>
        <v>0</v>
      </c>
      <c r="AN294" s="33"/>
      <c r="AO294" s="34" t="str">
        <f>IF(AP294&lt;5,"NO ",IF(AP294=5,"ok",IF(AP294&gt;5,"ok")))</f>
        <v xml:space="preserve">NO </v>
      </c>
      <c r="AP294" s="154">
        <f>AP292-AP293-AP295</f>
        <v>0</v>
      </c>
      <c r="AQ294" s="154"/>
      <c r="AR294" s="16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</row>
    <row r="295" spans="1:81" ht="17.100000000000001" customHeight="1" outlineLevel="1">
      <c r="A295" s="152"/>
      <c r="B295" s="153"/>
      <c r="C295" s="47" t="str">
        <f>IF(C293="","",C294-C298*$AM298-C299*$AM299-C300*$AM300-C301*$AM301-C302*$AM302-C303*$AM303-C304*$AM304-C305*$AM305)</f>
        <v/>
      </c>
      <c r="D295" s="47" t="str">
        <f t="shared" ref="D295" si="1079">IF(D293="","",D294-D298*$AM298-D299*$AM299-D300*$AM300-D301*$AM301-D302*$AM302-D303*$AM303-D304*$AM304-D305*$AM305)</f>
        <v/>
      </c>
      <c r="E295" s="47" t="str">
        <f t="shared" ref="E295" si="1080">IF(E293="","",E294-E298*$AM298-E299*$AM299-E300*$AM300-E301*$AM301-E302*$AM302-E303*$AM303-E304*$AM304-E305*$AM305)</f>
        <v/>
      </c>
      <c r="F295" s="47" t="str">
        <f t="shared" ref="F295" si="1081">IF(F293="","",F294-F298*$AM298-F299*$AM299-F300*$AM300-F301*$AM301-F302*$AM302-F303*$AM303-F304*$AM304-F305*$AM305)</f>
        <v/>
      </c>
      <c r="G295" s="47" t="str">
        <f t="shared" ref="G295" si="1082">IF(G293="","",G294-G298*$AM298-G299*$AM299-G300*$AM300-G301*$AM301-G302*$AM302-G303*$AM303-G304*$AM304-G305*$AM305)</f>
        <v/>
      </c>
      <c r="H295" s="47" t="str">
        <f t="shared" ref="H295" si="1083">IF(H293="","",H294-H298*$AM298-H299*$AM299-H300*$AM300-H301*$AM301-H302*$AM302-H303*$AM303-H304*$AM304-H305*$AM305)</f>
        <v/>
      </c>
      <c r="I295" s="47" t="str">
        <f t="shared" ref="I295" si="1084">IF(I293="","",I294-I298*$AM298-I299*$AM299-I300*$AM300-I301*$AM301-I302*$AM302-I303*$AM303-I304*$AM304-I305*$AM305)</f>
        <v/>
      </c>
      <c r="J295" s="47" t="str">
        <f t="shared" ref="J295" si="1085">IF(J293="","",J294-J298*$AM298-J299*$AM299-J300*$AM300-J301*$AM301-J302*$AM302-J303*$AM303-J304*$AM304-J305*$AM305)</f>
        <v/>
      </c>
      <c r="K295" s="47" t="str">
        <f t="shared" ref="K295" si="1086">IF(K293="","",K294-K298*$AM298-K299*$AM299-K300*$AM300-K301*$AM301-K302*$AM302-K303*$AM303-K304*$AM304-K305*$AM305)</f>
        <v/>
      </c>
      <c r="L295" s="47" t="str">
        <f t="shared" ref="L295" si="1087">IF(L293="","",L294-L298*$AM298-L299*$AM299-L300*$AM300-L301*$AM301-L302*$AM302-L303*$AM303-L304*$AM304-L305*$AM305)</f>
        <v/>
      </c>
      <c r="M295" s="47" t="str">
        <f t="shared" ref="M295" si="1088">IF(M293="","",M294-M298*$AM298-M299*$AM299-M300*$AM300-M301*$AM301-M302*$AM302-M303*$AM303-M304*$AM304-M305*$AM305)</f>
        <v/>
      </c>
      <c r="N295" s="47" t="str">
        <f t="shared" ref="N295" si="1089">IF(N293="","",N294-N298*$AM298-N299*$AM299-N300*$AM300-N301*$AM301-N302*$AM302-N303*$AM303-N304*$AM304-N305*$AM305)</f>
        <v/>
      </c>
      <c r="O295" s="47" t="str">
        <f t="shared" ref="O295" si="1090">IF(O293="","",O294-O298*$AM298-O299*$AM299-O300*$AM300-O301*$AM301-O302*$AM302-O303*$AM303-O304*$AM304-O305*$AM305)</f>
        <v/>
      </c>
      <c r="P295" s="47" t="str">
        <f t="shared" ref="P295" si="1091">IF(P293="","",P294-P298*$AM298-P299*$AM299-P300*$AM300-P301*$AM301-P302*$AM302-P303*$AM303-P304*$AM304-P305*$AM305)</f>
        <v/>
      </c>
      <c r="Q295" s="47" t="str">
        <f t="shared" ref="Q295" si="1092">IF(Q293="","",Q294-Q298*$AM298-Q299*$AM299-Q300*$AM300-Q301*$AM301-Q302*$AM302-Q303*$AM303-Q304*$AM304-Q305*$AM305)</f>
        <v/>
      </c>
      <c r="R295" s="47" t="str">
        <f t="shared" ref="R295" si="1093">IF(R293="","",R294-R298*$AM298-R299*$AM299-R300*$AM300-R301*$AM301-R302*$AM302-R303*$AM303-R304*$AM304-R305*$AM305)</f>
        <v/>
      </c>
      <c r="S295" s="47" t="str">
        <f t="shared" ref="S295" si="1094">IF(S293="","",S294-S298*$AM298-S299*$AM299-S300*$AM300-S301*$AM301-S302*$AM302-S303*$AM303-S304*$AM304-S305*$AM305)</f>
        <v/>
      </c>
      <c r="T295" s="47" t="str">
        <f t="shared" ref="T295" si="1095">IF(T293="","",T294-T298*$AM298-T299*$AM299-T300*$AM300-T301*$AM301-T302*$AM302-T303*$AM303-T304*$AM304-T305*$AM305)</f>
        <v/>
      </c>
      <c r="U295" s="47" t="str">
        <f t="shared" ref="U295" si="1096">IF(U293="","",U294-U298*$AM298-U299*$AM299-U300*$AM300-U301*$AM301-U302*$AM302-U303*$AM303-U304*$AM304-U305*$AM305)</f>
        <v/>
      </c>
      <c r="V295" s="47" t="str">
        <f t="shared" ref="V295" si="1097">IF(V293="","",V294-V298*$AM298-V299*$AM299-V300*$AM300-V301*$AM301-V302*$AM302-V303*$AM303-V304*$AM304-V305*$AM305)</f>
        <v/>
      </c>
      <c r="W295" s="47" t="str">
        <f t="shared" ref="W295" si="1098">IF(W293="","",W294-W298*$AM298-W299*$AM299-W300*$AM300-W301*$AM301-W302*$AM302-W303*$AM303-W304*$AM304-W305*$AM305)</f>
        <v/>
      </c>
      <c r="X295" s="47" t="str">
        <f t="shared" ref="X295" si="1099">IF(X293="","",X294-X298*$AM298-X299*$AM299-X300*$AM300-X301*$AM301-X302*$AM302-X303*$AM303-X304*$AM304-X305*$AM305)</f>
        <v/>
      </c>
      <c r="Y295" s="47" t="str">
        <f t="shared" ref="Y295" si="1100">IF(Y293="","",Y294-Y298*$AM298-Y299*$AM299-Y300*$AM300-Y301*$AM301-Y302*$AM302-Y303*$AM303-Y304*$AM304-Y305*$AM305)</f>
        <v/>
      </c>
      <c r="Z295" s="47" t="str">
        <f t="shared" ref="Z295" si="1101">IF(Z293="","",Z294-Z298*$AM298-Z299*$AM299-Z300*$AM300-Z301*$AM301-Z302*$AM302-Z303*$AM303-Z304*$AM304-Z305*$AM305)</f>
        <v/>
      </c>
      <c r="AA295" s="47" t="str">
        <f t="shared" ref="AA295" si="1102">IF(AA293="","",AA294-AA298*$AM298-AA299*$AM299-AA300*$AM300-AA301*$AM301-AA302*$AM302-AA303*$AM303-AA304*$AM304-AA305*$AM305)</f>
        <v/>
      </c>
      <c r="AB295" s="47" t="str">
        <f t="shared" ref="AB295" si="1103">IF(AB293="","",AB294-AB298*$AM298-AB299*$AM299-AB300*$AM300-AB301*$AM301-AB302*$AM302-AB303*$AM303-AB304*$AM304-AB305*$AM305)</f>
        <v/>
      </c>
      <c r="AC295" s="47" t="str">
        <f t="shared" ref="AC295" si="1104">IF(AC293="","",AC294-AC298*$AM298-AC299*$AM299-AC300*$AM300-AC301*$AM301-AC302*$AM302-AC303*$AM303-AC304*$AM304-AC305*$AM305)</f>
        <v/>
      </c>
      <c r="AD295" s="47" t="str">
        <f t="shared" ref="AD295" si="1105">IF(AD293="","",AD294-AD298*$AM298-AD299*$AM299-AD300*$AM300-AD301*$AM301-AD302*$AM302-AD303*$AM303-AD304*$AM304-AD305*$AM305)</f>
        <v/>
      </c>
      <c r="AE295" s="47" t="str">
        <f t="shared" ref="AE295" si="1106">IF(AE293="","",AE294-AE298*$AM298-AE299*$AM299-AE300*$AM300-AE301*$AM301-AE302*$AM302-AE303*$AM303-AE304*$AM304-AE305*$AM305)</f>
        <v/>
      </c>
      <c r="AF295" s="47" t="str">
        <f t="shared" ref="AF295" si="1107">IF(AF293="","",AF294-AF298*$AM298-AF299*$AM299-AF300*$AM300-AF301*$AM301-AF302*$AM302-AF303*$AM303-AF304*$AM304-AF305*$AM305)</f>
        <v/>
      </c>
      <c r="AG295" s="47" t="str">
        <f t="shared" ref="AG295" si="1108">IF(AG293="","",AG294-AG298*$AM298-AG299*$AM299-AG300*$AM300-AG301*$AM301-AG302*$AM302-AG303*$AM303-AG304*$AM304-AG305*$AM305)</f>
        <v/>
      </c>
      <c r="AH295" s="47" t="str">
        <f t="shared" ref="AH295" si="1109">IF(AH293="","",AH294-AH298*$AM298-AH299*$AM299-AH300*$AM300-AH301*$AM301-AH302*$AM302-AH303*$AM303-AH304*$AM304-AH305*$AM305)</f>
        <v/>
      </c>
      <c r="AI295" s="47" t="str">
        <f t="shared" ref="AI295" si="1110">IF(AI293="","",AI294-AI298*$AM298-AI299*$AM299-AI300*$AM300-AI301*$AM301-AI302*$AM302-AI303*$AM303-AI304*$AM304-AI305*$AM305)</f>
        <v/>
      </c>
      <c r="AJ295" s="47" t="str">
        <f t="shared" ref="AJ295" si="1111">IF(AJ293="","",AJ294-AJ298*$AM298-AJ299*$AM299-AJ300*$AM300-AJ301*$AM301-AJ302*$AM302-AJ303*$AM303-AJ304*$AM304-AJ305*$AM305)</f>
        <v/>
      </c>
      <c r="AK295" s="47" t="str">
        <f>IF(AK293="","",AK294-AK298*$AM298-AK299*$AM299-AK300*$AM300-AK301*$AM301-AK302*$AM302-AK303*$AM303-AK304*$AM304-AK305*$AM305)</f>
        <v/>
      </c>
      <c r="AL295" s="47" t="str">
        <f t="shared" ref="AL295" si="1112">IF(AL293="","",AL294-AL298*$AM298-AL299*$AM299-AL300*$AM300-AL301*$AM301-AL302*$AM302-AL303*$AM303-AL304*$AM304-AL305*$AM305)</f>
        <v/>
      </c>
      <c r="AM295" s="45">
        <f>SUM(C295:AL295)</f>
        <v>0</v>
      </c>
      <c r="AN295" s="155" t="s">
        <v>33</v>
      </c>
      <c r="AO295" s="156"/>
      <c r="AP295" s="157"/>
      <c r="AQ295" s="158"/>
      <c r="AR295" s="17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</row>
    <row r="296" spans="1:81" ht="17.100000000000001" customHeight="1" outlineLevel="1">
      <c r="A296" s="177" t="s">
        <v>20</v>
      </c>
      <c r="B296" s="178"/>
      <c r="C296" s="181" t="s">
        <v>0</v>
      </c>
      <c r="D296" s="182"/>
      <c r="E296" s="182"/>
      <c r="F296" s="182"/>
      <c r="G296" s="182"/>
      <c r="H296" s="182"/>
      <c r="I296" s="182"/>
      <c r="J296" s="182"/>
      <c r="K296" s="182"/>
      <c r="L296" s="182"/>
      <c r="M296" s="182"/>
      <c r="N296" s="182"/>
      <c r="O296" s="182"/>
      <c r="P296" s="182"/>
      <c r="Q296" s="182"/>
      <c r="R296" s="182"/>
      <c r="S296" s="182"/>
      <c r="T296" s="182"/>
      <c r="U296" s="182"/>
      <c r="V296" s="182"/>
      <c r="W296" s="182"/>
      <c r="X296" s="182"/>
      <c r="Y296" s="182"/>
      <c r="Z296" s="182"/>
      <c r="AA296" s="182"/>
      <c r="AB296" s="182"/>
      <c r="AC296" s="182"/>
      <c r="AD296" s="182"/>
      <c r="AE296" s="182"/>
      <c r="AF296" s="182"/>
      <c r="AG296" s="182"/>
      <c r="AH296" s="182"/>
      <c r="AI296" s="182"/>
      <c r="AJ296" s="182"/>
      <c r="AK296" s="182"/>
      <c r="AL296" s="183"/>
      <c r="AM296" s="187" t="s">
        <v>1</v>
      </c>
      <c r="AN296" s="200" t="s">
        <v>11</v>
      </c>
      <c r="AO296" s="196" t="s">
        <v>12</v>
      </c>
      <c r="AP296" s="197"/>
      <c r="AQ296" s="193" t="s">
        <v>6</v>
      </c>
      <c r="AR296" s="24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</row>
    <row r="297" spans="1:81" ht="17.100000000000001" customHeight="1" outlineLevel="1">
      <c r="A297" s="179"/>
      <c r="B297" s="180"/>
      <c r="C297" s="184"/>
      <c r="D297" s="185"/>
      <c r="E297" s="185"/>
      <c r="F297" s="185"/>
      <c r="G297" s="185"/>
      <c r="H297" s="185"/>
      <c r="I297" s="185"/>
      <c r="J297" s="185"/>
      <c r="K297" s="185"/>
      <c r="L297" s="185"/>
      <c r="M297" s="185"/>
      <c r="N297" s="185"/>
      <c r="O297" s="185"/>
      <c r="P297" s="185"/>
      <c r="Q297" s="185"/>
      <c r="R297" s="185"/>
      <c r="S297" s="185"/>
      <c r="T297" s="185"/>
      <c r="U297" s="185"/>
      <c r="V297" s="185"/>
      <c r="W297" s="185"/>
      <c r="X297" s="185"/>
      <c r="Y297" s="185"/>
      <c r="Z297" s="185"/>
      <c r="AA297" s="185"/>
      <c r="AB297" s="185"/>
      <c r="AC297" s="185"/>
      <c r="AD297" s="185"/>
      <c r="AE297" s="185"/>
      <c r="AF297" s="185"/>
      <c r="AG297" s="185"/>
      <c r="AH297" s="185"/>
      <c r="AI297" s="185"/>
      <c r="AJ297" s="185"/>
      <c r="AK297" s="185"/>
      <c r="AL297" s="186"/>
      <c r="AM297" s="188"/>
      <c r="AN297" s="190"/>
      <c r="AO297" s="18" t="s">
        <v>3</v>
      </c>
      <c r="AP297" s="19" t="s">
        <v>13</v>
      </c>
      <c r="AQ297" s="172"/>
      <c r="AR297" s="27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</row>
    <row r="298" spans="1:81" ht="17.100000000000001" customHeight="1" outlineLevel="1">
      <c r="A298" s="173"/>
      <c r="B298" s="30" t="s">
        <v>21</v>
      </c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39"/>
      <c r="P298" s="39"/>
      <c r="Q298" s="39"/>
      <c r="R298" s="39"/>
      <c r="S298" s="39"/>
      <c r="T298" s="39"/>
      <c r="U298" s="39"/>
      <c r="V298" s="39"/>
      <c r="W298" s="39"/>
      <c r="X298" s="39"/>
      <c r="Y298" s="39"/>
      <c r="Z298" s="39"/>
      <c r="AA298" s="39"/>
      <c r="AB298" s="39"/>
      <c r="AC298" s="39"/>
      <c r="AD298" s="39"/>
      <c r="AE298" s="39"/>
      <c r="AF298" s="39"/>
      <c r="AG298" s="39"/>
      <c r="AH298" s="39"/>
      <c r="AI298" s="39"/>
      <c r="AJ298" s="39"/>
      <c r="AK298" s="39"/>
      <c r="AL298" s="39"/>
      <c r="AM298" s="39"/>
      <c r="AN298" s="40" t="str">
        <f>IF(AM298="","",SUM(C298:AL298)*AM298)</f>
        <v/>
      </c>
      <c r="AO298" s="39"/>
      <c r="AP298" s="39"/>
      <c r="AQ298" s="42">
        <f>(AO298+AR298)*AM298</f>
        <v>0</v>
      </c>
      <c r="AR298" s="25">
        <f>AP298/36</f>
        <v>0</v>
      </c>
      <c r="AT298" s="3" t="str">
        <f t="shared" ref="AT298:CA298" si="1113">IF(C298=0,"",ROUNDUP(C295/C298,0))</f>
        <v/>
      </c>
      <c r="AU298" s="3" t="str">
        <f t="shared" si="1113"/>
        <v/>
      </c>
      <c r="AV298" s="3" t="str">
        <f t="shared" si="1113"/>
        <v/>
      </c>
      <c r="AW298" s="3" t="str">
        <f t="shared" si="1113"/>
        <v/>
      </c>
      <c r="AX298" s="3" t="str">
        <f t="shared" si="1113"/>
        <v/>
      </c>
      <c r="AY298" s="3" t="str">
        <f t="shared" si="1113"/>
        <v/>
      </c>
      <c r="AZ298" s="3" t="str">
        <f t="shared" si="1113"/>
        <v/>
      </c>
      <c r="BA298" s="3" t="str">
        <f t="shared" si="1113"/>
        <v/>
      </c>
      <c r="BB298" s="3" t="str">
        <f t="shared" si="1113"/>
        <v/>
      </c>
      <c r="BC298" s="3" t="str">
        <f t="shared" si="1113"/>
        <v/>
      </c>
      <c r="BD298" s="3" t="str">
        <f t="shared" si="1113"/>
        <v/>
      </c>
      <c r="BE298" s="3" t="str">
        <f t="shared" si="1113"/>
        <v/>
      </c>
      <c r="BF298" s="3" t="str">
        <f t="shared" si="1113"/>
        <v/>
      </c>
      <c r="BG298" s="3" t="str">
        <f t="shared" si="1113"/>
        <v/>
      </c>
      <c r="BH298" s="3" t="str">
        <f t="shared" si="1113"/>
        <v/>
      </c>
      <c r="BI298" s="3" t="str">
        <f t="shared" si="1113"/>
        <v/>
      </c>
      <c r="BJ298" s="3" t="str">
        <f t="shared" si="1113"/>
        <v/>
      </c>
      <c r="BK298" s="3" t="str">
        <f t="shared" si="1113"/>
        <v/>
      </c>
      <c r="BL298" s="3" t="str">
        <f t="shared" si="1113"/>
        <v/>
      </c>
      <c r="BM298" s="3" t="str">
        <f t="shared" si="1113"/>
        <v/>
      </c>
      <c r="BN298" s="3" t="str">
        <f t="shared" si="1113"/>
        <v/>
      </c>
      <c r="BO298" s="3" t="str">
        <f t="shared" si="1113"/>
        <v/>
      </c>
      <c r="BP298" s="3" t="str">
        <f t="shared" si="1113"/>
        <v/>
      </c>
      <c r="BQ298" s="3" t="str">
        <f t="shared" si="1113"/>
        <v/>
      </c>
      <c r="BR298" s="3" t="str">
        <f t="shared" si="1113"/>
        <v/>
      </c>
      <c r="BS298" s="3" t="str">
        <f t="shared" si="1113"/>
        <v/>
      </c>
      <c r="BT298" s="3" t="str">
        <f t="shared" si="1113"/>
        <v/>
      </c>
      <c r="BU298" s="3" t="str">
        <f t="shared" si="1113"/>
        <v/>
      </c>
      <c r="BV298" s="3" t="str">
        <f t="shared" si="1113"/>
        <v/>
      </c>
      <c r="BW298" s="3" t="str">
        <f t="shared" si="1113"/>
        <v/>
      </c>
      <c r="BX298" s="3" t="str">
        <f t="shared" si="1113"/>
        <v/>
      </c>
      <c r="BY298" s="3" t="str">
        <f t="shared" si="1113"/>
        <v/>
      </c>
      <c r="BZ298" s="3" t="str">
        <f t="shared" si="1113"/>
        <v/>
      </c>
      <c r="CA298" s="3" t="str">
        <f t="shared" si="1113"/>
        <v/>
      </c>
      <c r="CB298" s="3" t="str">
        <f t="shared" ref="CB298" si="1114">IF(AK298=0,"",ROUNDUP(AK295/AK298,0))</f>
        <v/>
      </c>
      <c r="CC298" s="3" t="str">
        <f t="shared" ref="CC298" si="1115">IF(AL298=0,"",ROUNDUP(AL295/AL298,0))</f>
        <v/>
      </c>
    </row>
    <row r="299" spans="1:81" ht="17.100000000000001" customHeight="1" outlineLevel="1">
      <c r="A299" s="174"/>
      <c r="B299" s="30" t="s">
        <v>22</v>
      </c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39"/>
      <c r="P299" s="39"/>
      <c r="Q299" s="39"/>
      <c r="R299" s="39"/>
      <c r="S299" s="39"/>
      <c r="T299" s="39"/>
      <c r="U299" s="39"/>
      <c r="V299" s="39"/>
      <c r="W299" s="39"/>
      <c r="X299" s="39"/>
      <c r="Y299" s="39"/>
      <c r="Z299" s="39"/>
      <c r="AA299" s="39"/>
      <c r="AB299" s="39"/>
      <c r="AC299" s="39"/>
      <c r="AD299" s="39"/>
      <c r="AE299" s="39"/>
      <c r="AF299" s="39"/>
      <c r="AG299" s="39"/>
      <c r="AH299" s="39"/>
      <c r="AI299" s="39"/>
      <c r="AJ299" s="39"/>
      <c r="AK299" s="39"/>
      <c r="AL299" s="39"/>
      <c r="AM299" s="39"/>
      <c r="AN299" s="40" t="str">
        <f t="shared" ref="AN299:AN302" si="1116">IF(AM299="","",SUM(C299:AL299)*AM299)</f>
        <v/>
      </c>
      <c r="AO299" s="39"/>
      <c r="AP299" s="39"/>
      <c r="AQ299" s="42">
        <f t="shared" ref="AQ299:AQ305" si="1117">(AO299+AR299)*AM299</f>
        <v>0</v>
      </c>
      <c r="AR299" s="25">
        <f t="shared" ref="AR299:AR305" si="1118">AP299/36</f>
        <v>0</v>
      </c>
      <c r="AT299" s="3" t="str">
        <f t="shared" ref="AT299:CA299" si="1119">IF(C299=0,"",ROUNDUP(C295/C299,0))</f>
        <v/>
      </c>
      <c r="AU299" s="3" t="str">
        <f t="shared" si="1119"/>
        <v/>
      </c>
      <c r="AV299" s="3" t="str">
        <f t="shared" si="1119"/>
        <v/>
      </c>
      <c r="AW299" s="3" t="str">
        <f t="shared" si="1119"/>
        <v/>
      </c>
      <c r="AX299" s="3" t="str">
        <f t="shared" si="1119"/>
        <v/>
      </c>
      <c r="AY299" s="3" t="str">
        <f t="shared" si="1119"/>
        <v/>
      </c>
      <c r="AZ299" s="3" t="str">
        <f t="shared" si="1119"/>
        <v/>
      </c>
      <c r="BA299" s="3" t="str">
        <f t="shared" si="1119"/>
        <v/>
      </c>
      <c r="BB299" s="3" t="str">
        <f t="shared" si="1119"/>
        <v/>
      </c>
      <c r="BC299" s="3" t="str">
        <f t="shared" si="1119"/>
        <v/>
      </c>
      <c r="BD299" s="3" t="str">
        <f t="shared" si="1119"/>
        <v/>
      </c>
      <c r="BE299" s="3" t="str">
        <f t="shared" si="1119"/>
        <v/>
      </c>
      <c r="BF299" s="3" t="str">
        <f t="shared" si="1119"/>
        <v/>
      </c>
      <c r="BG299" s="3" t="str">
        <f t="shared" si="1119"/>
        <v/>
      </c>
      <c r="BH299" s="3" t="str">
        <f t="shared" si="1119"/>
        <v/>
      </c>
      <c r="BI299" s="3" t="str">
        <f t="shared" si="1119"/>
        <v/>
      </c>
      <c r="BJ299" s="3" t="str">
        <f t="shared" si="1119"/>
        <v/>
      </c>
      <c r="BK299" s="3" t="str">
        <f t="shared" si="1119"/>
        <v/>
      </c>
      <c r="BL299" s="3" t="str">
        <f t="shared" si="1119"/>
        <v/>
      </c>
      <c r="BM299" s="3" t="str">
        <f t="shared" si="1119"/>
        <v/>
      </c>
      <c r="BN299" s="3" t="str">
        <f t="shared" si="1119"/>
        <v/>
      </c>
      <c r="BO299" s="3" t="str">
        <f t="shared" si="1119"/>
        <v/>
      </c>
      <c r="BP299" s="3" t="str">
        <f t="shared" si="1119"/>
        <v/>
      </c>
      <c r="BQ299" s="3" t="str">
        <f t="shared" si="1119"/>
        <v/>
      </c>
      <c r="BR299" s="3" t="str">
        <f t="shared" si="1119"/>
        <v/>
      </c>
      <c r="BS299" s="3" t="str">
        <f t="shared" si="1119"/>
        <v/>
      </c>
      <c r="BT299" s="3" t="str">
        <f t="shared" si="1119"/>
        <v/>
      </c>
      <c r="BU299" s="3" t="str">
        <f t="shared" si="1119"/>
        <v/>
      </c>
      <c r="BV299" s="3" t="str">
        <f t="shared" si="1119"/>
        <v/>
      </c>
      <c r="BW299" s="3" t="str">
        <f t="shared" si="1119"/>
        <v/>
      </c>
      <c r="BX299" s="3" t="str">
        <f t="shared" si="1119"/>
        <v/>
      </c>
      <c r="BY299" s="3" t="str">
        <f t="shared" si="1119"/>
        <v/>
      </c>
      <c r="BZ299" s="3" t="str">
        <f t="shared" si="1119"/>
        <v/>
      </c>
      <c r="CA299" s="3" t="str">
        <f t="shared" si="1119"/>
        <v/>
      </c>
      <c r="CB299" s="3" t="str">
        <f t="shared" ref="CB299" si="1120">IF(AK299=0,"",ROUNDUP(AK295/AK299,0))</f>
        <v/>
      </c>
      <c r="CC299" s="3" t="str">
        <f t="shared" ref="CC299" si="1121">IF(AL299=0,"",ROUNDUP(AL295/AL299,0))</f>
        <v/>
      </c>
    </row>
    <row r="300" spans="1:81" ht="17.100000000000001" customHeight="1" outlineLevel="1">
      <c r="A300" s="174"/>
      <c r="B300" s="30" t="s">
        <v>23</v>
      </c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39"/>
      <c r="P300" s="39"/>
      <c r="Q300" s="39"/>
      <c r="R300" s="39"/>
      <c r="S300" s="39"/>
      <c r="T300" s="39"/>
      <c r="U300" s="39"/>
      <c r="V300" s="39"/>
      <c r="W300" s="39"/>
      <c r="X300" s="39"/>
      <c r="Y300" s="39"/>
      <c r="Z300" s="39"/>
      <c r="AA300" s="39"/>
      <c r="AB300" s="39"/>
      <c r="AC300" s="39"/>
      <c r="AD300" s="39"/>
      <c r="AE300" s="39"/>
      <c r="AF300" s="39"/>
      <c r="AG300" s="39"/>
      <c r="AH300" s="39"/>
      <c r="AI300" s="39"/>
      <c r="AJ300" s="39"/>
      <c r="AK300" s="39"/>
      <c r="AL300" s="39"/>
      <c r="AM300" s="39"/>
      <c r="AN300" s="40" t="str">
        <f t="shared" si="1116"/>
        <v/>
      </c>
      <c r="AO300" s="39"/>
      <c r="AP300" s="39"/>
      <c r="AQ300" s="42">
        <f t="shared" si="1117"/>
        <v>0</v>
      </c>
      <c r="AR300" s="25">
        <f t="shared" si="1118"/>
        <v>0</v>
      </c>
      <c r="AT300" s="3" t="str">
        <f t="shared" ref="AT300:CA300" si="1122">IF(C300=0,"",ROUNDUP(C295/C300,0))</f>
        <v/>
      </c>
      <c r="AU300" s="3" t="str">
        <f t="shared" si="1122"/>
        <v/>
      </c>
      <c r="AV300" s="3" t="str">
        <f t="shared" si="1122"/>
        <v/>
      </c>
      <c r="AW300" s="3" t="str">
        <f t="shared" si="1122"/>
        <v/>
      </c>
      <c r="AX300" s="3" t="str">
        <f t="shared" si="1122"/>
        <v/>
      </c>
      <c r="AY300" s="3" t="str">
        <f t="shared" si="1122"/>
        <v/>
      </c>
      <c r="AZ300" s="3" t="str">
        <f t="shared" si="1122"/>
        <v/>
      </c>
      <c r="BA300" s="3" t="str">
        <f t="shared" si="1122"/>
        <v/>
      </c>
      <c r="BB300" s="3" t="str">
        <f t="shared" si="1122"/>
        <v/>
      </c>
      <c r="BC300" s="3" t="str">
        <f t="shared" si="1122"/>
        <v/>
      </c>
      <c r="BD300" s="3" t="str">
        <f t="shared" si="1122"/>
        <v/>
      </c>
      <c r="BE300" s="3" t="str">
        <f t="shared" si="1122"/>
        <v/>
      </c>
      <c r="BF300" s="3" t="str">
        <f t="shared" si="1122"/>
        <v/>
      </c>
      <c r="BG300" s="3" t="str">
        <f t="shared" si="1122"/>
        <v/>
      </c>
      <c r="BH300" s="3" t="str">
        <f t="shared" si="1122"/>
        <v/>
      </c>
      <c r="BI300" s="3" t="str">
        <f t="shared" si="1122"/>
        <v/>
      </c>
      <c r="BJ300" s="3" t="str">
        <f t="shared" si="1122"/>
        <v/>
      </c>
      <c r="BK300" s="3" t="str">
        <f t="shared" si="1122"/>
        <v/>
      </c>
      <c r="BL300" s="3" t="str">
        <f t="shared" si="1122"/>
        <v/>
      </c>
      <c r="BM300" s="3" t="str">
        <f t="shared" si="1122"/>
        <v/>
      </c>
      <c r="BN300" s="3" t="str">
        <f t="shared" si="1122"/>
        <v/>
      </c>
      <c r="BO300" s="3" t="str">
        <f t="shared" si="1122"/>
        <v/>
      </c>
      <c r="BP300" s="3" t="str">
        <f t="shared" si="1122"/>
        <v/>
      </c>
      <c r="BQ300" s="3" t="str">
        <f t="shared" si="1122"/>
        <v/>
      </c>
      <c r="BR300" s="3" t="str">
        <f t="shared" si="1122"/>
        <v/>
      </c>
      <c r="BS300" s="3" t="str">
        <f t="shared" si="1122"/>
        <v/>
      </c>
      <c r="BT300" s="3" t="str">
        <f t="shared" si="1122"/>
        <v/>
      </c>
      <c r="BU300" s="3" t="str">
        <f t="shared" si="1122"/>
        <v/>
      </c>
      <c r="BV300" s="3" t="str">
        <f t="shared" si="1122"/>
        <v/>
      </c>
      <c r="BW300" s="3" t="str">
        <f t="shared" si="1122"/>
        <v/>
      </c>
      <c r="BX300" s="3" t="str">
        <f t="shared" si="1122"/>
        <v/>
      </c>
      <c r="BY300" s="3" t="str">
        <f t="shared" si="1122"/>
        <v/>
      </c>
      <c r="BZ300" s="3" t="str">
        <f t="shared" si="1122"/>
        <v/>
      </c>
      <c r="CA300" s="3" t="str">
        <f t="shared" si="1122"/>
        <v/>
      </c>
      <c r="CB300" s="3" t="str">
        <f t="shared" ref="CB300" si="1123">IF(AK300=0,"",ROUNDUP(AK295/AK300,0))</f>
        <v/>
      </c>
      <c r="CC300" s="3" t="str">
        <f t="shared" ref="CC300" si="1124">IF(AL300=0,"",ROUNDUP(AL295/AL300,0))</f>
        <v/>
      </c>
    </row>
    <row r="301" spans="1:81" ht="17.100000000000001" customHeight="1" outlineLevel="1">
      <c r="A301" s="174"/>
      <c r="B301" s="30" t="s">
        <v>24</v>
      </c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39"/>
      <c r="P301" s="39"/>
      <c r="Q301" s="39"/>
      <c r="R301" s="39"/>
      <c r="S301" s="39"/>
      <c r="T301" s="39"/>
      <c r="U301" s="39"/>
      <c r="V301" s="39"/>
      <c r="W301" s="39"/>
      <c r="X301" s="39"/>
      <c r="Y301" s="39"/>
      <c r="Z301" s="39"/>
      <c r="AA301" s="39"/>
      <c r="AB301" s="39"/>
      <c r="AC301" s="39"/>
      <c r="AD301" s="39"/>
      <c r="AE301" s="39"/>
      <c r="AF301" s="39"/>
      <c r="AG301" s="39"/>
      <c r="AH301" s="39"/>
      <c r="AI301" s="39"/>
      <c r="AJ301" s="39"/>
      <c r="AK301" s="39"/>
      <c r="AL301" s="39"/>
      <c r="AM301" s="39"/>
      <c r="AN301" s="40" t="str">
        <f t="shared" si="1116"/>
        <v/>
      </c>
      <c r="AO301" s="39"/>
      <c r="AP301" s="39"/>
      <c r="AQ301" s="42">
        <f t="shared" si="1117"/>
        <v>0</v>
      </c>
      <c r="AR301" s="25">
        <f t="shared" si="1118"/>
        <v>0</v>
      </c>
      <c r="AT301" s="3" t="str">
        <f t="shared" ref="AT301:CA301" si="1125">IF(C301=0,"",ROUNDUP(C295/C301,0))</f>
        <v/>
      </c>
      <c r="AU301" s="3" t="str">
        <f t="shared" si="1125"/>
        <v/>
      </c>
      <c r="AV301" s="3" t="str">
        <f t="shared" si="1125"/>
        <v/>
      </c>
      <c r="AW301" s="3" t="str">
        <f t="shared" si="1125"/>
        <v/>
      </c>
      <c r="AX301" s="3" t="str">
        <f t="shared" si="1125"/>
        <v/>
      </c>
      <c r="AY301" s="3" t="str">
        <f t="shared" si="1125"/>
        <v/>
      </c>
      <c r="AZ301" s="3" t="str">
        <f t="shared" si="1125"/>
        <v/>
      </c>
      <c r="BA301" s="3" t="str">
        <f t="shared" si="1125"/>
        <v/>
      </c>
      <c r="BB301" s="3" t="str">
        <f t="shared" si="1125"/>
        <v/>
      </c>
      <c r="BC301" s="3" t="str">
        <f t="shared" si="1125"/>
        <v/>
      </c>
      <c r="BD301" s="3" t="str">
        <f t="shared" si="1125"/>
        <v/>
      </c>
      <c r="BE301" s="3" t="str">
        <f t="shared" si="1125"/>
        <v/>
      </c>
      <c r="BF301" s="3" t="str">
        <f t="shared" si="1125"/>
        <v/>
      </c>
      <c r="BG301" s="3" t="str">
        <f t="shared" si="1125"/>
        <v/>
      </c>
      <c r="BH301" s="3" t="str">
        <f t="shared" si="1125"/>
        <v/>
      </c>
      <c r="BI301" s="3" t="str">
        <f t="shared" si="1125"/>
        <v/>
      </c>
      <c r="BJ301" s="3" t="str">
        <f t="shared" si="1125"/>
        <v/>
      </c>
      <c r="BK301" s="3" t="str">
        <f t="shared" si="1125"/>
        <v/>
      </c>
      <c r="BL301" s="3" t="str">
        <f t="shared" si="1125"/>
        <v/>
      </c>
      <c r="BM301" s="3" t="str">
        <f t="shared" si="1125"/>
        <v/>
      </c>
      <c r="BN301" s="3" t="str">
        <f t="shared" si="1125"/>
        <v/>
      </c>
      <c r="BO301" s="3" t="str">
        <f t="shared" si="1125"/>
        <v/>
      </c>
      <c r="BP301" s="3" t="str">
        <f t="shared" si="1125"/>
        <v/>
      </c>
      <c r="BQ301" s="3" t="str">
        <f t="shared" si="1125"/>
        <v/>
      </c>
      <c r="BR301" s="3" t="str">
        <f t="shared" si="1125"/>
        <v/>
      </c>
      <c r="BS301" s="3" t="str">
        <f t="shared" si="1125"/>
        <v/>
      </c>
      <c r="BT301" s="3" t="str">
        <f t="shared" si="1125"/>
        <v/>
      </c>
      <c r="BU301" s="3" t="str">
        <f t="shared" si="1125"/>
        <v/>
      </c>
      <c r="BV301" s="3" t="str">
        <f t="shared" si="1125"/>
        <v/>
      </c>
      <c r="BW301" s="3" t="str">
        <f t="shared" si="1125"/>
        <v/>
      </c>
      <c r="BX301" s="3" t="str">
        <f t="shared" si="1125"/>
        <v/>
      </c>
      <c r="BY301" s="3" t="str">
        <f t="shared" si="1125"/>
        <v/>
      </c>
      <c r="BZ301" s="3" t="str">
        <f t="shared" si="1125"/>
        <v/>
      </c>
      <c r="CA301" s="3" t="str">
        <f t="shared" si="1125"/>
        <v/>
      </c>
      <c r="CB301" s="3" t="str">
        <f t="shared" ref="CB301" si="1126">IF(AK301=0,"",ROUNDUP(AK295/AK301,0))</f>
        <v/>
      </c>
      <c r="CC301" s="3" t="str">
        <f t="shared" ref="CC301" si="1127">IF(AL301=0,"",ROUNDUP(AL295/AL301,0))</f>
        <v/>
      </c>
    </row>
    <row r="302" spans="1:81" ht="17.100000000000001" customHeight="1" outlineLevel="1">
      <c r="A302" s="174"/>
      <c r="B302" s="30" t="s">
        <v>25</v>
      </c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39"/>
      <c r="P302" s="39"/>
      <c r="Q302" s="39"/>
      <c r="R302" s="39"/>
      <c r="S302" s="39"/>
      <c r="T302" s="39"/>
      <c r="U302" s="39"/>
      <c r="V302" s="39"/>
      <c r="W302" s="39"/>
      <c r="X302" s="39"/>
      <c r="Y302" s="39"/>
      <c r="Z302" s="39"/>
      <c r="AA302" s="39"/>
      <c r="AB302" s="39"/>
      <c r="AC302" s="39"/>
      <c r="AD302" s="39"/>
      <c r="AE302" s="39"/>
      <c r="AF302" s="39"/>
      <c r="AG302" s="39"/>
      <c r="AH302" s="39"/>
      <c r="AI302" s="39"/>
      <c r="AJ302" s="39"/>
      <c r="AK302" s="39"/>
      <c r="AL302" s="39"/>
      <c r="AM302" s="39"/>
      <c r="AN302" s="40" t="str">
        <f t="shared" si="1116"/>
        <v/>
      </c>
      <c r="AO302" s="39"/>
      <c r="AP302" s="39"/>
      <c r="AQ302" s="42">
        <f t="shared" si="1117"/>
        <v>0</v>
      </c>
      <c r="AR302" s="25">
        <f t="shared" si="1118"/>
        <v>0</v>
      </c>
      <c r="AT302" s="3" t="str">
        <f t="shared" ref="AT302:CA302" si="1128">IF(C302=0,"",ROUNDUP(C295/C302,0))</f>
        <v/>
      </c>
      <c r="AU302" s="3" t="str">
        <f t="shared" si="1128"/>
        <v/>
      </c>
      <c r="AV302" s="3" t="str">
        <f t="shared" si="1128"/>
        <v/>
      </c>
      <c r="AW302" s="3" t="str">
        <f t="shared" si="1128"/>
        <v/>
      </c>
      <c r="AX302" s="3" t="str">
        <f t="shared" si="1128"/>
        <v/>
      </c>
      <c r="AY302" s="3" t="str">
        <f t="shared" si="1128"/>
        <v/>
      </c>
      <c r="AZ302" s="3" t="str">
        <f t="shared" si="1128"/>
        <v/>
      </c>
      <c r="BA302" s="3" t="str">
        <f t="shared" si="1128"/>
        <v/>
      </c>
      <c r="BB302" s="3" t="str">
        <f t="shared" si="1128"/>
        <v/>
      </c>
      <c r="BC302" s="3" t="str">
        <f t="shared" si="1128"/>
        <v/>
      </c>
      <c r="BD302" s="3" t="str">
        <f t="shared" si="1128"/>
        <v/>
      </c>
      <c r="BE302" s="3" t="str">
        <f t="shared" si="1128"/>
        <v/>
      </c>
      <c r="BF302" s="3" t="str">
        <f t="shared" si="1128"/>
        <v/>
      </c>
      <c r="BG302" s="3" t="str">
        <f t="shared" si="1128"/>
        <v/>
      </c>
      <c r="BH302" s="3" t="str">
        <f t="shared" si="1128"/>
        <v/>
      </c>
      <c r="BI302" s="3" t="str">
        <f t="shared" si="1128"/>
        <v/>
      </c>
      <c r="BJ302" s="3" t="str">
        <f t="shared" si="1128"/>
        <v/>
      </c>
      <c r="BK302" s="3" t="str">
        <f t="shared" si="1128"/>
        <v/>
      </c>
      <c r="BL302" s="3" t="str">
        <f t="shared" si="1128"/>
        <v/>
      </c>
      <c r="BM302" s="3" t="str">
        <f t="shared" si="1128"/>
        <v/>
      </c>
      <c r="BN302" s="3" t="str">
        <f t="shared" si="1128"/>
        <v/>
      </c>
      <c r="BO302" s="3" t="str">
        <f t="shared" si="1128"/>
        <v/>
      </c>
      <c r="BP302" s="3" t="str">
        <f t="shared" si="1128"/>
        <v/>
      </c>
      <c r="BQ302" s="3" t="str">
        <f t="shared" si="1128"/>
        <v/>
      </c>
      <c r="BR302" s="3" t="str">
        <f t="shared" si="1128"/>
        <v/>
      </c>
      <c r="BS302" s="3" t="str">
        <f t="shared" si="1128"/>
        <v/>
      </c>
      <c r="BT302" s="3" t="str">
        <f t="shared" si="1128"/>
        <v/>
      </c>
      <c r="BU302" s="3" t="str">
        <f t="shared" si="1128"/>
        <v/>
      </c>
      <c r="BV302" s="3" t="str">
        <f t="shared" si="1128"/>
        <v/>
      </c>
      <c r="BW302" s="3" t="str">
        <f t="shared" si="1128"/>
        <v/>
      </c>
      <c r="BX302" s="3" t="str">
        <f t="shared" si="1128"/>
        <v/>
      </c>
      <c r="BY302" s="3" t="str">
        <f t="shared" si="1128"/>
        <v/>
      </c>
      <c r="BZ302" s="3" t="str">
        <f t="shared" si="1128"/>
        <v/>
      </c>
      <c r="CA302" s="3" t="str">
        <f t="shared" si="1128"/>
        <v/>
      </c>
      <c r="CB302" s="3" t="str">
        <f t="shared" ref="CB302" si="1129">IF(AK302=0,"",ROUNDUP(AK295/AK302,0))</f>
        <v/>
      </c>
      <c r="CC302" s="3" t="str">
        <f t="shared" ref="CC302" si="1130">IF(AL302=0,"",ROUNDUP(AL295/AL302,0))</f>
        <v/>
      </c>
    </row>
    <row r="303" spans="1:81" ht="17.100000000000001" customHeight="1" outlineLevel="1">
      <c r="A303" s="174"/>
      <c r="B303" s="30" t="s">
        <v>26</v>
      </c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39"/>
      <c r="P303" s="39"/>
      <c r="Q303" s="39"/>
      <c r="R303" s="39"/>
      <c r="S303" s="39"/>
      <c r="T303" s="39"/>
      <c r="U303" s="39"/>
      <c r="V303" s="39"/>
      <c r="W303" s="39"/>
      <c r="X303" s="39"/>
      <c r="Y303" s="39"/>
      <c r="Z303" s="39"/>
      <c r="AA303" s="39"/>
      <c r="AB303" s="39"/>
      <c r="AC303" s="39"/>
      <c r="AD303" s="39"/>
      <c r="AE303" s="39"/>
      <c r="AF303" s="39"/>
      <c r="AG303" s="39"/>
      <c r="AH303" s="39"/>
      <c r="AI303" s="39"/>
      <c r="AJ303" s="39"/>
      <c r="AK303" s="39"/>
      <c r="AL303" s="39"/>
      <c r="AM303" s="39"/>
      <c r="AN303" s="40" t="str">
        <f>IF(AM303="","",SUM(C303:AL303)*AM303)</f>
        <v/>
      </c>
      <c r="AO303" s="39"/>
      <c r="AP303" s="39"/>
      <c r="AQ303" s="42">
        <f t="shared" si="1117"/>
        <v>0</v>
      </c>
      <c r="AR303" s="25">
        <f t="shared" si="1118"/>
        <v>0</v>
      </c>
      <c r="AT303" s="3" t="str">
        <f t="shared" ref="AT303:CA303" si="1131">IF(C303=0,"",ROUNDUP(C295/C303,0))</f>
        <v/>
      </c>
      <c r="AU303" s="3" t="str">
        <f t="shared" si="1131"/>
        <v/>
      </c>
      <c r="AV303" s="3" t="str">
        <f t="shared" si="1131"/>
        <v/>
      </c>
      <c r="AW303" s="3" t="str">
        <f t="shared" si="1131"/>
        <v/>
      </c>
      <c r="AX303" s="3" t="str">
        <f t="shared" si="1131"/>
        <v/>
      </c>
      <c r="AY303" s="3" t="str">
        <f t="shared" si="1131"/>
        <v/>
      </c>
      <c r="AZ303" s="3" t="str">
        <f t="shared" si="1131"/>
        <v/>
      </c>
      <c r="BA303" s="3" t="str">
        <f t="shared" si="1131"/>
        <v/>
      </c>
      <c r="BB303" s="3" t="str">
        <f t="shared" si="1131"/>
        <v/>
      </c>
      <c r="BC303" s="3" t="str">
        <f t="shared" si="1131"/>
        <v/>
      </c>
      <c r="BD303" s="3" t="str">
        <f t="shared" si="1131"/>
        <v/>
      </c>
      <c r="BE303" s="3" t="str">
        <f t="shared" si="1131"/>
        <v/>
      </c>
      <c r="BF303" s="3" t="str">
        <f t="shared" si="1131"/>
        <v/>
      </c>
      <c r="BG303" s="3" t="str">
        <f t="shared" si="1131"/>
        <v/>
      </c>
      <c r="BH303" s="3" t="str">
        <f t="shared" si="1131"/>
        <v/>
      </c>
      <c r="BI303" s="3" t="str">
        <f t="shared" si="1131"/>
        <v/>
      </c>
      <c r="BJ303" s="3" t="str">
        <f t="shared" si="1131"/>
        <v/>
      </c>
      <c r="BK303" s="3" t="str">
        <f t="shared" si="1131"/>
        <v/>
      </c>
      <c r="BL303" s="3" t="str">
        <f t="shared" si="1131"/>
        <v/>
      </c>
      <c r="BM303" s="3" t="str">
        <f t="shared" si="1131"/>
        <v/>
      </c>
      <c r="BN303" s="3" t="str">
        <f t="shared" si="1131"/>
        <v/>
      </c>
      <c r="BO303" s="3" t="str">
        <f t="shared" si="1131"/>
        <v/>
      </c>
      <c r="BP303" s="3" t="str">
        <f t="shared" si="1131"/>
        <v/>
      </c>
      <c r="BQ303" s="3" t="str">
        <f t="shared" si="1131"/>
        <v/>
      </c>
      <c r="BR303" s="3" t="str">
        <f t="shared" si="1131"/>
        <v/>
      </c>
      <c r="BS303" s="3" t="str">
        <f t="shared" si="1131"/>
        <v/>
      </c>
      <c r="BT303" s="3" t="str">
        <f t="shared" si="1131"/>
        <v/>
      </c>
      <c r="BU303" s="3" t="str">
        <f t="shared" si="1131"/>
        <v/>
      </c>
      <c r="BV303" s="3" t="str">
        <f t="shared" si="1131"/>
        <v/>
      </c>
      <c r="BW303" s="3" t="str">
        <f t="shared" si="1131"/>
        <v/>
      </c>
      <c r="BX303" s="3" t="str">
        <f t="shared" si="1131"/>
        <v/>
      </c>
      <c r="BY303" s="3" t="str">
        <f t="shared" si="1131"/>
        <v/>
      </c>
      <c r="BZ303" s="3" t="str">
        <f t="shared" si="1131"/>
        <v/>
      </c>
      <c r="CA303" s="3" t="str">
        <f t="shared" si="1131"/>
        <v/>
      </c>
      <c r="CB303" s="3" t="str">
        <f t="shared" ref="CB303" si="1132">IF(AK303=0,"",ROUNDUP(AK295/AK303,0))</f>
        <v/>
      </c>
      <c r="CC303" s="3" t="str">
        <f t="shared" ref="CC303" si="1133">IF(AL303=0,"",ROUNDUP(AL295/AL303,0))</f>
        <v/>
      </c>
    </row>
    <row r="304" spans="1:81" ht="17.100000000000001" customHeight="1" outlineLevel="1">
      <c r="A304" s="174"/>
      <c r="B304" s="30" t="s">
        <v>27</v>
      </c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39"/>
      <c r="P304" s="39"/>
      <c r="Q304" s="39"/>
      <c r="R304" s="39"/>
      <c r="S304" s="39"/>
      <c r="T304" s="39"/>
      <c r="U304" s="39"/>
      <c r="V304" s="39"/>
      <c r="W304" s="39"/>
      <c r="X304" s="39"/>
      <c r="Y304" s="39"/>
      <c r="Z304" s="39"/>
      <c r="AA304" s="39"/>
      <c r="AB304" s="39"/>
      <c r="AC304" s="39"/>
      <c r="AD304" s="39"/>
      <c r="AE304" s="39"/>
      <c r="AF304" s="39"/>
      <c r="AG304" s="39"/>
      <c r="AH304" s="39"/>
      <c r="AI304" s="39"/>
      <c r="AJ304" s="39"/>
      <c r="AK304" s="39"/>
      <c r="AL304" s="39"/>
      <c r="AM304" s="39"/>
      <c r="AN304" s="40" t="str">
        <f t="shared" ref="AN304:AN305" si="1134">IF(AM304="","",SUM(C304:AL304)*AM304)</f>
        <v/>
      </c>
      <c r="AO304" s="39"/>
      <c r="AP304" s="39"/>
      <c r="AQ304" s="42">
        <f t="shared" si="1117"/>
        <v>0</v>
      </c>
      <c r="AR304" s="25">
        <f t="shared" si="1118"/>
        <v>0</v>
      </c>
      <c r="AT304" s="3" t="str">
        <f t="shared" ref="AT304:CA304" si="1135">IF(C304=0,"",ROUNDUP(C295/C304,0))</f>
        <v/>
      </c>
      <c r="AU304" s="3" t="str">
        <f t="shared" si="1135"/>
        <v/>
      </c>
      <c r="AV304" s="3" t="str">
        <f t="shared" si="1135"/>
        <v/>
      </c>
      <c r="AW304" s="3" t="str">
        <f t="shared" si="1135"/>
        <v/>
      </c>
      <c r="AX304" s="3" t="str">
        <f t="shared" si="1135"/>
        <v/>
      </c>
      <c r="AY304" s="3" t="str">
        <f t="shared" si="1135"/>
        <v/>
      </c>
      <c r="AZ304" s="3" t="str">
        <f t="shared" si="1135"/>
        <v/>
      </c>
      <c r="BA304" s="3" t="str">
        <f t="shared" si="1135"/>
        <v/>
      </c>
      <c r="BB304" s="3" t="str">
        <f t="shared" si="1135"/>
        <v/>
      </c>
      <c r="BC304" s="3" t="str">
        <f t="shared" si="1135"/>
        <v/>
      </c>
      <c r="BD304" s="3" t="str">
        <f t="shared" si="1135"/>
        <v/>
      </c>
      <c r="BE304" s="3" t="str">
        <f t="shared" si="1135"/>
        <v/>
      </c>
      <c r="BF304" s="3" t="str">
        <f t="shared" si="1135"/>
        <v/>
      </c>
      <c r="BG304" s="3" t="str">
        <f t="shared" si="1135"/>
        <v/>
      </c>
      <c r="BH304" s="3" t="str">
        <f t="shared" si="1135"/>
        <v/>
      </c>
      <c r="BI304" s="3" t="str">
        <f t="shared" si="1135"/>
        <v/>
      </c>
      <c r="BJ304" s="3" t="str">
        <f t="shared" si="1135"/>
        <v/>
      </c>
      <c r="BK304" s="3" t="str">
        <f t="shared" si="1135"/>
        <v/>
      </c>
      <c r="BL304" s="3" t="str">
        <f t="shared" si="1135"/>
        <v/>
      </c>
      <c r="BM304" s="3" t="str">
        <f t="shared" si="1135"/>
        <v/>
      </c>
      <c r="BN304" s="3" t="str">
        <f t="shared" si="1135"/>
        <v/>
      </c>
      <c r="BO304" s="3" t="str">
        <f t="shared" si="1135"/>
        <v/>
      </c>
      <c r="BP304" s="3" t="str">
        <f t="shared" si="1135"/>
        <v/>
      </c>
      <c r="BQ304" s="3" t="str">
        <f t="shared" si="1135"/>
        <v/>
      </c>
      <c r="BR304" s="3" t="str">
        <f t="shared" si="1135"/>
        <v/>
      </c>
      <c r="BS304" s="3" t="str">
        <f t="shared" si="1135"/>
        <v/>
      </c>
      <c r="BT304" s="3" t="str">
        <f t="shared" si="1135"/>
        <v/>
      </c>
      <c r="BU304" s="3" t="str">
        <f t="shared" si="1135"/>
        <v/>
      </c>
      <c r="BV304" s="3" t="str">
        <f t="shared" si="1135"/>
        <v/>
      </c>
      <c r="BW304" s="3" t="str">
        <f t="shared" si="1135"/>
        <v/>
      </c>
      <c r="BX304" s="3" t="str">
        <f t="shared" si="1135"/>
        <v/>
      </c>
      <c r="BY304" s="3" t="str">
        <f t="shared" si="1135"/>
        <v/>
      </c>
      <c r="BZ304" s="3" t="str">
        <f t="shared" si="1135"/>
        <v/>
      </c>
      <c r="CA304" s="3" t="str">
        <f t="shared" si="1135"/>
        <v/>
      </c>
      <c r="CB304" s="3" t="str">
        <f t="shared" ref="CB304" si="1136">IF(AK304=0,"",ROUNDUP(AK295/AK304,0))</f>
        <v/>
      </c>
      <c r="CC304" s="3" t="str">
        <f t="shared" ref="CC304" si="1137">IF(AL304=0,"",ROUNDUP(AL295/AL304,0))</f>
        <v/>
      </c>
    </row>
    <row r="305" spans="1:81" ht="17.100000000000001" customHeight="1" outlineLevel="1">
      <c r="A305" s="175"/>
      <c r="B305" s="30" t="s">
        <v>28</v>
      </c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39"/>
      <c r="P305" s="39"/>
      <c r="Q305" s="39"/>
      <c r="R305" s="39"/>
      <c r="S305" s="39"/>
      <c r="T305" s="39"/>
      <c r="U305" s="39"/>
      <c r="V305" s="39"/>
      <c r="W305" s="39"/>
      <c r="X305" s="39"/>
      <c r="Y305" s="39"/>
      <c r="Z305" s="39"/>
      <c r="AA305" s="39"/>
      <c r="AB305" s="39"/>
      <c r="AC305" s="39"/>
      <c r="AD305" s="39"/>
      <c r="AE305" s="39"/>
      <c r="AF305" s="39"/>
      <c r="AG305" s="39"/>
      <c r="AH305" s="39"/>
      <c r="AI305" s="39"/>
      <c r="AJ305" s="39"/>
      <c r="AK305" s="39"/>
      <c r="AL305" s="39"/>
      <c r="AM305" s="39"/>
      <c r="AN305" s="41" t="str">
        <f t="shared" si="1134"/>
        <v/>
      </c>
      <c r="AO305" s="39"/>
      <c r="AP305" s="39"/>
      <c r="AQ305" s="42">
        <f t="shared" si="1117"/>
        <v>0</v>
      </c>
      <c r="AR305" s="25">
        <f t="shared" si="1118"/>
        <v>0</v>
      </c>
      <c r="AT305" s="3" t="str">
        <f t="shared" ref="AT305:CA305" si="1138">IF(C305=0,"",ROUNDUP(C295/C305,0))</f>
        <v/>
      </c>
      <c r="AU305" s="3" t="str">
        <f t="shared" si="1138"/>
        <v/>
      </c>
      <c r="AV305" s="3" t="str">
        <f t="shared" si="1138"/>
        <v/>
      </c>
      <c r="AW305" s="3" t="str">
        <f t="shared" si="1138"/>
        <v/>
      </c>
      <c r="AX305" s="3" t="str">
        <f t="shared" si="1138"/>
        <v/>
      </c>
      <c r="AY305" s="3" t="str">
        <f t="shared" si="1138"/>
        <v/>
      </c>
      <c r="AZ305" s="3" t="str">
        <f t="shared" si="1138"/>
        <v/>
      </c>
      <c r="BA305" s="3" t="str">
        <f t="shared" si="1138"/>
        <v/>
      </c>
      <c r="BB305" s="3" t="str">
        <f t="shared" si="1138"/>
        <v/>
      </c>
      <c r="BC305" s="3" t="str">
        <f t="shared" si="1138"/>
        <v/>
      </c>
      <c r="BD305" s="3" t="str">
        <f t="shared" si="1138"/>
        <v/>
      </c>
      <c r="BE305" s="3" t="str">
        <f t="shared" si="1138"/>
        <v/>
      </c>
      <c r="BF305" s="3" t="str">
        <f t="shared" si="1138"/>
        <v/>
      </c>
      <c r="BG305" s="3" t="str">
        <f t="shared" si="1138"/>
        <v/>
      </c>
      <c r="BH305" s="3" t="str">
        <f t="shared" si="1138"/>
        <v/>
      </c>
      <c r="BI305" s="3" t="str">
        <f t="shared" si="1138"/>
        <v/>
      </c>
      <c r="BJ305" s="3" t="str">
        <f t="shared" si="1138"/>
        <v/>
      </c>
      <c r="BK305" s="3" t="str">
        <f t="shared" si="1138"/>
        <v/>
      </c>
      <c r="BL305" s="3" t="str">
        <f t="shared" si="1138"/>
        <v/>
      </c>
      <c r="BM305" s="3" t="str">
        <f t="shared" si="1138"/>
        <v/>
      </c>
      <c r="BN305" s="3" t="str">
        <f t="shared" si="1138"/>
        <v/>
      </c>
      <c r="BO305" s="3" t="str">
        <f t="shared" si="1138"/>
        <v/>
      </c>
      <c r="BP305" s="3" t="str">
        <f t="shared" si="1138"/>
        <v/>
      </c>
      <c r="BQ305" s="3" t="str">
        <f t="shared" si="1138"/>
        <v/>
      </c>
      <c r="BR305" s="3" t="str">
        <f t="shared" si="1138"/>
        <v/>
      </c>
      <c r="BS305" s="3" t="str">
        <f t="shared" si="1138"/>
        <v/>
      </c>
      <c r="BT305" s="3" t="str">
        <f t="shared" si="1138"/>
        <v/>
      </c>
      <c r="BU305" s="3" t="str">
        <f t="shared" si="1138"/>
        <v/>
      </c>
      <c r="BV305" s="3" t="str">
        <f t="shared" si="1138"/>
        <v/>
      </c>
      <c r="BW305" s="3" t="str">
        <f t="shared" si="1138"/>
        <v/>
      </c>
      <c r="BX305" s="3" t="str">
        <f t="shared" si="1138"/>
        <v/>
      </c>
      <c r="BY305" s="3" t="str">
        <f t="shared" si="1138"/>
        <v/>
      </c>
      <c r="BZ305" s="3" t="str">
        <f t="shared" si="1138"/>
        <v/>
      </c>
      <c r="CA305" s="3" t="str">
        <f t="shared" si="1138"/>
        <v/>
      </c>
      <c r="CB305" s="3" t="str">
        <f t="shared" ref="CB305" si="1139">IF(AK305=0,"",ROUNDUP(AK295/AK305,0))</f>
        <v/>
      </c>
      <c r="CC305" s="3" t="str">
        <f t="shared" ref="CC305" si="1140">IF(AL305=0,"",ROUNDUP(AL295/AL305,0))</f>
        <v/>
      </c>
    </row>
    <row r="306" spans="1:81" ht="17.100000000000001" customHeight="1" outlineLevel="1" thickBot="1">
      <c r="AN306" s="7">
        <f>SUM(AN298:AN305)</f>
        <v>0</v>
      </c>
      <c r="AQ306" s="12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</row>
    <row r="307" spans="1:81" ht="21.95" customHeight="1" outlineLevel="1" thickBot="1">
      <c r="A307" s="201">
        <v>20</v>
      </c>
      <c r="B307" s="202"/>
      <c r="C307" s="203"/>
      <c r="AQ307" s="12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</row>
    <row r="308" spans="1:81" ht="17.100000000000001" customHeight="1" outlineLevel="1">
      <c r="A308" s="51" t="s">
        <v>29</v>
      </c>
      <c r="B308" s="50"/>
      <c r="C308" s="147" t="s">
        <v>10</v>
      </c>
      <c r="D308" s="148"/>
      <c r="E308" s="148"/>
      <c r="F308" s="148"/>
      <c r="G308" s="148"/>
      <c r="H308" s="148"/>
      <c r="I308" s="148"/>
      <c r="J308" s="148"/>
      <c r="K308" s="148"/>
      <c r="L308" s="148"/>
      <c r="M308" s="148"/>
      <c r="N308" s="148"/>
      <c r="O308" s="148"/>
      <c r="P308" s="148"/>
      <c r="Q308" s="148"/>
      <c r="R308" s="148"/>
      <c r="S308" s="148"/>
      <c r="T308" s="148"/>
      <c r="U308" s="148"/>
      <c r="V308" s="148"/>
      <c r="W308" s="148"/>
      <c r="X308" s="148"/>
      <c r="Y308" s="148"/>
      <c r="Z308" s="148"/>
      <c r="AA308" s="148"/>
      <c r="AB308" s="148"/>
      <c r="AC308" s="148"/>
      <c r="AD308" s="148"/>
      <c r="AE308" s="148"/>
      <c r="AF308" s="148"/>
      <c r="AG308" s="148"/>
      <c r="AH308" s="148"/>
      <c r="AI308" s="148"/>
      <c r="AJ308" s="148"/>
      <c r="AK308" s="148"/>
      <c r="AL308" s="148"/>
      <c r="AM308" s="10"/>
      <c r="AN308" s="31"/>
      <c r="AO308" s="35" t="s">
        <v>4</v>
      </c>
      <c r="AP308" s="149"/>
      <c r="AQ308" s="150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</row>
    <row r="309" spans="1:81" ht="27" outlineLevel="1">
      <c r="A309" s="52" t="s">
        <v>36</v>
      </c>
      <c r="B309" s="50"/>
      <c r="C309" s="26" t="str">
        <f>IF(C293=0,"",IF(C293&gt;0,C293))</f>
        <v/>
      </c>
      <c r="D309" s="26" t="str">
        <f t="shared" ref="D309:AL309" si="1141">IF(D293=0,"",IF(D293&gt;0,D293))</f>
        <v/>
      </c>
      <c r="E309" s="26" t="str">
        <f t="shared" si="1141"/>
        <v/>
      </c>
      <c r="F309" s="26" t="str">
        <f t="shared" si="1141"/>
        <v/>
      </c>
      <c r="G309" s="26" t="str">
        <f t="shared" si="1141"/>
        <v/>
      </c>
      <c r="H309" s="26" t="str">
        <f t="shared" si="1141"/>
        <v/>
      </c>
      <c r="I309" s="26" t="str">
        <f t="shared" si="1141"/>
        <v/>
      </c>
      <c r="J309" s="26" t="str">
        <f t="shared" si="1141"/>
        <v/>
      </c>
      <c r="K309" s="26" t="str">
        <f t="shared" si="1141"/>
        <v/>
      </c>
      <c r="L309" s="26" t="str">
        <f t="shared" si="1141"/>
        <v/>
      </c>
      <c r="M309" s="26" t="str">
        <f t="shared" si="1141"/>
        <v/>
      </c>
      <c r="N309" s="26" t="str">
        <f t="shared" si="1141"/>
        <v/>
      </c>
      <c r="O309" s="26" t="str">
        <f t="shared" si="1141"/>
        <v/>
      </c>
      <c r="P309" s="26" t="str">
        <f t="shared" si="1141"/>
        <v/>
      </c>
      <c r="Q309" s="26" t="str">
        <f t="shared" si="1141"/>
        <v/>
      </c>
      <c r="R309" s="26" t="str">
        <f t="shared" si="1141"/>
        <v/>
      </c>
      <c r="S309" s="26" t="str">
        <f t="shared" si="1141"/>
        <v/>
      </c>
      <c r="T309" s="26" t="str">
        <f t="shared" si="1141"/>
        <v/>
      </c>
      <c r="U309" s="26" t="str">
        <f t="shared" si="1141"/>
        <v/>
      </c>
      <c r="V309" s="26" t="str">
        <f t="shared" si="1141"/>
        <v/>
      </c>
      <c r="W309" s="26" t="str">
        <f t="shared" si="1141"/>
        <v/>
      </c>
      <c r="X309" s="26" t="str">
        <f t="shared" si="1141"/>
        <v/>
      </c>
      <c r="Y309" s="26" t="str">
        <f t="shared" si="1141"/>
        <v/>
      </c>
      <c r="Z309" s="26" t="str">
        <f t="shared" si="1141"/>
        <v/>
      </c>
      <c r="AA309" s="26" t="str">
        <f t="shared" si="1141"/>
        <v/>
      </c>
      <c r="AB309" s="26" t="str">
        <f t="shared" si="1141"/>
        <v/>
      </c>
      <c r="AC309" s="26" t="str">
        <f t="shared" si="1141"/>
        <v/>
      </c>
      <c r="AD309" s="26" t="str">
        <f t="shared" si="1141"/>
        <v/>
      </c>
      <c r="AE309" s="26" t="str">
        <f t="shared" si="1141"/>
        <v/>
      </c>
      <c r="AF309" s="26" t="str">
        <f t="shared" si="1141"/>
        <v/>
      </c>
      <c r="AG309" s="26" t="str">
        <f t="shared" si="1141"/>
        <v/>
      </c>
      <c r="AH309" s="26" t="str">
        <f t="shared" si="1141"/>
        <v/>
      </c>
      <c r="AI309" s="26" t="str">
        <f t="shared" si="1141"/>
        <v/>
      </c>
      <c r="AJ309" s="26" t="str">
        <f t="shared" si="1141"/>
        <v/>
      </c>
      <c r="AK309" s="26" t="str">
        <f t="shared" si="1141"/>
        <v/>
      </c>
      <c r="AL309" s="26" t="str">
        <f t="shared" si="1141"/>
        <v/>
      </c>
      <c r="AM309" s="5" t="s">
        <v>2</v>
      </c>
      <c r="AN309" s="31"/>
      <c r="AO309" s="32" t="s">
        <v>5</v>
      </c>
      <c r="AP309" s="151">
        <f>SUM(AQ314:AQ321)</f>
        <v>0</v>
      </c>
      <c r="AQ309" s="151"/>
      <c r="AT309" s="2" t="str">
        <f t="shared" ref="AT309:BY309" si="1142">IF(C309=0,"",IF(C309&gt;0,C309))</f>
        <v/>
      </c>
      <c r="AU309" s="2" t="str">
        <f t="shared" si="1142"/>
        <v/>
      </c>
      <c r="AV309" s="2" t="str">
        <f t="shared" si="1142"/>
        <v/>
      </c>
      <c r="AW309" s="2" t="str">
        <f t="shared" si="1142"/>
        <v/>
      </c>
      <c r="AX309" s="2" t="str">
        <f t="shared" si="1142"/>
        <v/>
      </c>
      <c r="AY309" s="2" t="str">
        <f t="shared" si="1142"/>
        <v/>
      </c>
      <c r="AZ309" s="2" t="str">
        <f t="shared" si="1142"/>
        <v/>
      </c>
      <c r="BA309" s="2" t="str">
        <f t="shared" si="1142"/>
        <v/>
      </c>
      <c r="BB309" s="2" t="str">
        <f t="shared" si="1142"/>
        <v/>
      </c>
      <c r="BC309" s="2" t="str">
        <f t="shared" si="1142"/>
        <v/>
      </c>
      <c r="BD309" s="2" t="str">
        <f t="shared" si="1142"/>
        <v/>
      </c>
      <c r="BE309" s="2" t="str">
        <f t="shared" si="1142"/>
        <v/>
      </c>
      <c r="BF309" s="2" t="str">
        <f t="shared" si="1142"/>
        <v/>
      </c>
      <c r="BG309" s="2" t="str">
        <f t="shared" si="1142"/>
        <v/>
      </c>
      <c r="BH309" s="2" t="str">
        <f t="shared" si="1142"/>
        <v/>
      </c>
      <c r="BI309" s="2" t="str">
        <f t="shared" si="1142"/>
        <v/>
      </c>
      <c r="BJ309" s="2" t="str">
        <f t="shared" si="1142"/>
        <v/>
      </c>
      <c r="BK309" s="2" t="str">
        <f t="shared" si="1142"/>
        <v/>
      </c>
      <c r="BL309" s="2" t="str">
        <f t="shared" si="1142"/>
        <v/>
      </c>
      <c r="BM309" s="2" t="str">
        <f t="shared" si="1142"/>
        <v/>
      </c>
      <c r="BN309" s="2" t="str">
        <f t="shared" si="1142"/>
        <v/>
      </c>
      <c r="BO309" s="2" t="str">
        <f t="shared" si="1142"/>
        <v/>
      </c>
      <c r="BP309" s="2" t="str">
        <f t="shared" si="1142"/>
        <v/>
      </c>
      <c r="BQ309" s="2" t="str">
        <f t="shared" si="1142"/>
        <v/>
      </c>
      <c r="BR309" s="2" t="str">
        <f t="shared" si="1142"/>
        <v/>
      </c>
      <c r="BS309" s="2" t="str">
        <f t="shared" si="1142"/>
        <v/>
      </c>
      <c r="BT309" s="2" t="str">
        <f t="shared" si="1142"/>
        <v/>
      </c>
      <c r="BU309" s="2" t="str">
        <f t="shared" si="1142"/>
        <v/>
      </c>
      <c r="BV309" s="2" t="str">
        <f t="shared" si="1142"/>
        <v/>
      </c>
      <c r="BW309" s="2" t="str">
        <f t="shared" si="1142"/>
        <v/>
      </c>
      <c r="BX309" s="2" t="str">
        <f t="shared" si="1142"/>
        <v/>
      </c>
      <c r="BY309" s="2" t="str">
        <f t="shared" si="1142"/>
        <v/>
      </c>
      <c r="BZ309" s="2" t="str">
        <f t="shared" ref="BZ309" si="1143">IF(AI309=0,"",IF(AI309&gt;0,AI309))</f>
        <v/>
      </c>
      <c r="CA309" s="2" t="str">
        <f t="shared" ref="CA309" si="1144">IF(AJ309=0,"",IF(AJ309&gt;0,AJ309))</f>
        <v/>
      </c>
      <c r="CB309" s="2" t="str">
        <f t="shared" ref="CB309" si="1145">IF(AK309=0,"",IF(AK309&gt;0,AK309))</f>
        <v/>
      </c>
      <c r="CC309" s="2" t="str">
        <f t="shared" ref="CC309" si="1146">IF(AL309=0,"",IF(AL309&gt;0,AL309))</f>
        <v/>
      </c>
    </row>
    <row r="310" spans="1:81" ht="17.100000000000001" customHeight="1" outlineLevel="1">
      <c r="A310" s="152" t="s">
        <v>30</v>
      </c>
      <c r="B310" s="153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6"/>
      <c r="O310" s="46"/>
      <c r="P310" s="46"/>
      <c r="Q310" s="46"/>
      <c r="R310" s="46"/>
      <c r="S310" s="46"/>
      <c r="T310" s="46"/>
      <c r="U310" s="46"/>
      <c r="V310" s="46"/>
      <c r="W310" s="46"/>
      <c r="X310" s="46"/>
      <c r="Y310" s="46"/>
      <c r="Z310" s="46"/>
      <c r="AA310" s="46"/>
      <c r="AB310" s="46"/>
      <c r="AC310" s="46"/>
      <c r="AD310" s="46"/>
      <c r="AE310" s="46"/>
      <c r="AF310" s="46"/>
      <c r="AG310" s="46"/>
      <c r="AH310" s="46"/>
      <c r="AI310" s="46"/>
      <c r="AJ310" s="46"/>
      <c r="AK310" s="46"/>
      <c r="AL310" s="46"/>
      <c r="AM310" s="45">
        <f>SUM(C310:AL310)</f>
        <v>0</v>
      </c>
      <c r="AN310" s="33"/>
      <c r="AO310" s="34" t="str">
        <f>IF(AP310&lt;5,"NO ",IF(AP310=5,"ok",IF(AP310&gt;5,"ok")))</f>
        <v xml:space="preserve">NO </v>
      </c>
      <c r="AP310" s="154">
        <f>AP308-AP309-AP311</f>
        <v>0</v>
      </c>
      <c r="AQ310" s="154"/>
      <c r="AR310" s="16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</row>
    <row r="311" spans="1:81" ht="17.100000000000001" customHeight="1" outlineLevel="1">
      <c r="A311" s="152"/>
      <c r="B311" s="153"/>
      <c r="C311" s="47" t="str">
        <f>IF(C309="","",C310-C314*$AM314-C315*$AM315-C316*$AM316-C317*$AM317-C318*$AM318-C319*$AM319-C320*$AM320-C321*$AM321)</f>
        <v/>
      </c>
      <c r="D311" s="47" t="str">
        <f t="shared" ref="D311" si="1147">IF(D309="","",D310-D314*$AM314-D315*$AM315-D316*$AM316-D317*$AM317-D318*$AM318-D319*$AM319-D320*$AM320-D321*$AM321)</f>
        <v/>
      </c>
      <c r="E311" s="47" t="str">
        <f t="shared" ref="E311" si="1148">IF(E309="","",E310-E314*$AM314-E315*$AM315-E316*$AM316-E317*$AM317-E318*$AM318-E319*$AM319-E320*$AM320-E321*$AM321)</f>
        <v/>
      </c>
      <c r="F311" s="47" t="str">
        <f t="shared" ref="F311" si="1149">IF(F309="","",F310-F314*$AM314-F315*$AM315-F316*$AM316-F317*$AM317-F318*$AM318-F319*$AM319-F320*$AM320-F321*$AM321)</f>
        <v/>
      </c>
      <c r="G311" s="47" t="str">
        <f t="shared" ref="G311" si="1150">IF(G309="","",G310-G314*$AM314-G315*$AM315-G316*$AM316-G317*$AM317-G318*$AM318-G319*$AM319-G320*$AM320-G321*$AM321)</f>
        <v/>
      </c>
      <c r="H311" s="47" t="str">
        <f t="shared" ref="H311" si="1151">IF(H309="","",H310-H314*$AM314-H315*$AM315-H316*$AM316-H317*$AM317-H318*$AM318-H319*$AM319-H320*$AM320-H321*$AM321)</f>
        <v/>
      </c>
      <c r="I311" s="47" t="str">
        <f t="shared" ref="I311" si="1152">IF(I309="","",I310-I314*$AM314-I315*$AM315-I316*$AM316-I317*$AM317-I318*$AM318-I319*$AM319-I320*$AM320-I321*$AM321)</f>
        <v/>
      </c>
      <c r="J311" s="47" t="str">
        <f t="shared" ref="J311" si="1153">IF(J309="","",J310-J314*$AM314-J315*$AM315-J316*$AM316-J317*$AM317-J318*$AM318-J319*$AM319-J320*$AM320-J321*$AM321)</f>
        <v/>
      </c>
      <c r="K311" s="47" t="str">
        <f t="shared" ref="K311" si="1154">IF(K309="","",K310-K314*$AM314-K315*$AM315-K316*$AM316-K317*$AM317-K318*$AM318-K319*$AM319-K320*$AM320-K321*$AM321)</f>
        <v/>
      </c>
      <c r="L311" s="47" t="str">
        <f t="shared" ref="L311" si="1155">IF(L309="","",L310-L314*$AM314-L315*$AM315-L316*$AM316-L317*$AM317-L318*$AM318-L319*$AM319-L320*$AM320-L321*$AM321)</f>
        <v/>
      </c>
      <c r="M311" s="47" t="str">
        <f t="shared" ref="M311" si="1156">IF(M309="","",M310-M314*$AM314-M315*$AM315-M316*$AM316-M317*$AM317-M318*$AM318-M319*$AM319-M320*$AM320-M321*$AM321)</f>
        <v/>
      </c>
      <c r="N311" s="47" t="str">
        <f t="shared" ref="N311" si="1157">IF(N309="","",N310-N314*$AM314-N315*$AM315-N316*$AM316-N317*$AM317-N318*$AM318-N319*$AM319-N320*$AM320-N321*$AM321)</f>
        <v/>
      </c>
      <c r="O311" s="47" t="str">
        <f t="shared" ref="O311" si="1158">IF(O309="","",O310-O314*$AM314-O315*$AM315-O316*$AM316-O317*$AM317-O318*$AM318-O319*$AM319-O320*$AM320-O321*$AM321)</f>
        <v/>
      </c>
      <c r="P311" s="47" t="str">
        <f t="shared" ref="P311" si="1159">IF(P309="","",P310-P314*$AM314-P315*$AM315-P316*$AM316-P317*$AM317-P318*$AM318-P319*$AM319-P320*$AM320-P321*$AM321)</f>
        <v/>
      </c>
      <c r="Q311" s="47" t="str">
        <f t="shared" ref="Q311" si="1160">IF(Q309="","",Q310-Q314*$AM314-Q315*$AM315-Q316*$AM316-Q317*$AM317-Q318*$AM318-Q319*$AM319-Q320*$AM320-Q321*$AM321)</f>
        <v/>
      </c>
      <c r="R311" s="47" t="str">
        <f t="shared" ref="R311" si="1161">IF(R309="","",R310-R314*$AM314-R315*$AM315-R316*$AM316-R317*$AM317-R318*$AM318-R319*$AM319-R320*$AM320-R321*$AM321)</f>
        <v/>
      </c>
      <c r="S311" s="47" t="str">
        <f t="shared" ref="S311" si="1162">IF(S309="","",S310-S314*$AM314-S315*$AM315-S316*$AM316-S317*$AM317-S318*$AM318-S319*$AM319-S320*$AM320-S321*$AM321)</f>
        <v/>
      </c>
      <c r="T311" s="47" t="str">
        <f t="shared" ref="T311" si="1163">IF(T309="","",T310-T314*$AM314-T315*$AM315-T316*$AM316-T317*$AM317-T318*$AM318-T319*$AM319-T320*$AM320-T321*$AM321)</f>
        <v/>
      </c>
      <c r="U311" s="47" t="str">
        <f t="shared" ref="U311" si="1164">IF(U309="","",U310-U314*$AM314-U315*$AM315-U316*$AM316-U317*$AM317-U318*$AM318-U319*$AM319-U320*$AM320-U321*$AM321)</f>
        <v/>
      </c>
      <c r="V311" s="47" t="str">
        <f t="shared" ref="V311" si="1165">IF(V309="","",V310-V314*$AM314-V315*$AM315-V316*$AM316-V317*$AM317-V318*$AM318-V319*$AM319-V320*$AM320-V321*$AM321)</f>
        <v/>
      </c>
      <c r="W311" s="47" t="str">
        <f t="shared" ref="W311" si="1166">IF(W309="","",W310-W314*$AM314-W315*$AM315-W316*$AM316-W317*$AM317-W318*$AM318-W319*$AM319-W320*$AM320-W321*$AM321)</f>
        <v/>
      </c>
      <c r="X311" s="47" t="str">
        <f t="shared" ref="X311" si="1167">IF(X309="","",X310-X314*$AM314-X315*$AM315-X316*$AM316-X317*$AM317-X318*$AM318-X319*$AM319-X320*$AM320-X321*$AM321)</f>
        <v/>
      </c>
      <c r="Y311" s="47" t="str">
        <f t="shared" ref="Y311" si="1168">IF(Y309="","",Y310-Y314*$AM314-Y315*$AM315-Y316*$AM316-Y317*$AM317-Y318*$AM318-Y319*$AM319-Y320*$AM320-Y321*$AM321)</f>
        <v/>
      </c>
      <c r="Z311" s="47" t="str">
        <f t="shared" ref="Z311" si="1169">IF(Z309="","",Z310-Z314*$AM314-Z315*$AM315-Z316*$AM316-Z317*$AM317-Z318*$AM318-Z319*$AM319-Z320*$AM320-Z321*$AM321)</f>
        <v/>
      </c>
      <c r="AA311" s="47" t="str">
        <f t="shared" ref="AA311" si="1170">IF(AA309="","",AA310-AA314*$AM314-AA315*$AM315-AA316*$AM316-AA317*$AM317-AA318*$AM318-AA319*$AM319-AA320*$AM320-AA321*$AM321)</f>
        <v/>
      </c>
      <c r="AB311" s="47" t="str">
        <f t="shared" ref="AB311" si="1171">IF(AB309="","",AB310-AB314*$AM314-AB315*$AM315-AB316*$AM316-AB317*$AM317-AB318*$AM318-AB319*$AM319-AB320*$AM320-AB321*$AM321)</f>
        <v/>
      </c>
      <c r="AC311" s="47" t="str">
        <f t="shared" ref="AC311" si="1172">IF(AC309="","",AC310-AC314*$AM314-AC315*$AM315-AC316*$AM316-AC317*$AM317-AC318*$AM318-AC319*$AM319-AC320*$AM320-AC321*$AM321)</f>
        <v/>
      </c>
      <c r="AD311" s="47" t="str">
        <f t="shared" ref="AD311" si="1173">IF(AD309="","",AD310-AD314*$AM314-AD315*$AM315-AD316*$AM316-AD317*$AM317-AD318*$AM318-AD319*$AM319-AD320*$AM320-AD321*$AM321)</f>
        <v/>
      </c>
      <c r="AE311" s="47" t="str">
        <f t="shared" ref="AE311" si="1174">IF(AE309="","",AE310-AE314*$AM314-AE315*$AM315-AE316*$AM316-AE317*$AM317-AE318*$AM318-AE319*$AM319-AE320*$AM320-AE321*$AM321)</f>
        <v/>
      </c>
      <c r="AF311" s="47" t="str">
        <f t="shared" ref="AF311" si="1175">IF(AF309="","",AF310-AF314*$AM314-AF315*$AM315-AF316*$AM316-AF317*$AM317-AF318*$AM318-AF319*$AM319-AF320*$AM320-AF321*$AM321)</f>
        <v/>
      </c>
      <c r="AG311" s="47" t="str">
        <f t="shared" ref="AG311" si="1176">IF(AG309="","",AG310-AG314*$AM314-AG315*$AM315-AG316*$AM316-AG317*$AM317-AG318*$AM318-AG319*$AM319-AG320*$AM320-AG321*$AM321)</f>
        <v/>
      </c>
      <c r="AH311" s="47" t="str">
        <f t="shared" ref="AH311" si="1177">IF(AH309="","",AH310-AH314*$AM314-AH315*$AM315-AH316*$AM316-AH317*$AM317-AH318*$AM318-AH319*$AM319-AH320*$AM320-AH321*$AM321)</f>
        <v/>
      </c>
      <c r="AI311" s="47" t="str">
        <f t="shared" ref="AI311" si="1178">IF(AI309="","",AI310-AI314*$AM314-AI315*$AM315-AI316*$AM316-AI317*$AM317-AI318*$AM318-AI319*$AM319-AI320*$AM320-AI321*$AM321)</f>
        <v/>
      </c>
      <c r="AJ311" s="47" t="str">
        <f t="shared" ref="AJ311" si="1179">IF(AJ309="","",AJ310-AJ314*$AM314-AJ315*$AM315-AJ316*$AM316-AJ317*$AM317-AJ318*$AM318-AJ319*$AM319-AJ320*$AM320-AJ321*$AM321)</f>
        <v/>
      </c>
      <c r="AK311" s="47" t="str">
        <f>IF(AK309="","",AK310-AK314*$AM314-AK315*$AM315-AK316*$AM316-AK317*$AM317-AK318*$AM318-AK319*$AM319-AK320*$AM320-AK321*$AM321)</f>
        <v/>
      </c>
      <c r="AL311" s="47" t="str">
        <f t="shared" ref="AL311" si="1180">IF(AL309="","",AL310-AL314*$AM314-AL315*$AM315-AL316*$AM316-AL317*$AM317-AL318*$AM318-AL319*$AM319-AL320*$AM320-AL321*$AM321)</f>
        <v/>
      </c>
      <c r="AM311" s="45">
        <f>SUM(C311:AL311)</f>
        <v>0</v>
      </c>
      <c r="AN311" s="155" t="s">
        <v>33</v>
      </c>
      <c r="AO311" s="156"/>
      <c r="AP311" s="157"/>
      <c r="AQ311" s="158"/>
      <c r="AR311" s="17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</row>
    <row r="312" spans="1:81" ht="17.100000000000001" customHeight="1" outlineLevel="1">
      <c r="A312" s="177" t="s">
        <v>20</v>
      </c>
      <c r="B312" s="178"/>
      <c r="C312" s="181" t="s">
        <v>0</v>
      </c>
      <c r="D312" s="182"/>
      <c r="E312" s="182"/>
      <c r="F312" s="182"/>
      <c r="G312" s="182"/>
      <c r="H312" s="182"/>
      <c r="I312" s="182"/>
      <c r="J312" s="182"/>
      <c r="K312" s="182"/>
      <c r="L312" s="182"/>
      <c r="M312" s="182"/>
      <c r="N312" s="182"/>
      <c r="O312" s="182"/>
      <c r="P312" s="182"/>
      <c r="Q312" s="182"/>
      <c r="R312" s="182"/>
      <c r="S312" s="182"/>
      <c r="T312" s="182"/>
      <c r="U312" s="182"/>
      <c r="V312" s="182"/>
      <c r="W312" s="182"/>
      <c r="X312" s="182"/>
      <c r="Y312" s="182"/>
      <c r="Z312" s="182"/>
      <c r="AA312" s="182"/>
      <c r="AB312" s="182"/>
      <c r="AC312" s="182"/>
      <c r="AD312" s="182"/>
      <c r="AE312" s="182"/>
      <c r="AF312" s="182"/>
      <c r="AG312" s="182"/>
      <c r="AH312" s="182"/>
      <c r="AI312" s="182"/>
      <c r="AJ312" s="182"/>
      <c r="AK312" s="182"/>
      <c r="AL312" s="183"/>
      <c r="AM312" s="187" t="s">
        <v>1</v>
      </c>
      <c r="AN312" s="200" t="s">
        <v>11</v>
      </c>
      <c r="AO312" s="196" t="s">
        <v>12</v>
      </c>
      <c r="AP312" s="197"/>
      <c r="AQ312" s="193" t="s">
        <v>6</v>
      </c>
      <c r="AR312" s="24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</row>
    <row r="313" spans="1:81" ht="17.100000000000001" customHeight="1" outlineLevel="1">
      <c r="A313" s="179"/>
      <c r="B313" s="180"/>
      <c r="C313" s="184"/>
      <c r="D313" s="185"/>
      <c r="E313" s="185"/>
      <c r="F313" s="185"/>
      <c r="G313" s="185"/>
      <c r="H313" s="185"/>
      <c r="I313" s="185"/>
      <c r="J313" s="185"/>
      <c r="K313" s="185"/>
      <c r="L313" s="185"/>
      <c r="M313" s="185"/>
      <c r="N313" s="185"/>
      <c r="O313" s="185"/>
      <c r="P313" s="185"/>
      <c r="Q313" s="185"/>
      <c r="R313" s="185"/>
      <c r="S313" s="185"/>
      <c r="T313" s="185"/>
      <c r="U313" s="185"/>
      <c r="V313" s="185"/>
      <c r="W313" s="185"/>
      <c r="X313" s="185"/>
      <c r="Y313" s="185"/>
      <c r="Z313" s="185"/>
      <c r="AA313" s="185"/>
      <c r="AB313" s="185"/>
      <c r="AC313" s="185"/>
      <c r="AD313" s="185"/>
      <c r="AE313" s="185"/>
      <c r="AF313" s="185"/>
      <c r="AG313" s="185"/>
      <c r="AH313" s="185"/>
      <c r="AI313" s="185"/>
      <c r="AJ313" s="185"/>
      <c r="AK313" s="185"/>
      <c r="AL313" s="186"/>
      <c r="AM313" s="188"/>
      <c r="AN313" s="190"/>
      <c r="AO313" s="18" t="s">
        <v>3</v>
      </c>
      <c r="AP313" s="19" t="s">
        <v>13</v>
      </c>
      <c r="AQ313" s="172"/>
      <c r="AR313" s="27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</row>
    <row r="314" spans="1:81" ht="17.100000000000001" customHeight="1" outlineLevel="1">
      <c r="A314" s="173"/>
      <c r="B314" s="30" t="s">
        <v>21</v>
      </c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39"/>
      <c r="P314" s="39"/>
      <c r="Q314" s="39"/>
      <c r="R314" s="39"/>
      <c r="S314" s="39"/>
      <c r="T314" s="39"/>
      <c r="U314" s="39"/>
      <c r="V314" s="39"/>
      <c r="W314" s="39"/>
      <c r="X314" s="39"/>
      <c r="Y314" s="39"/>
      <c r="Z314" s="39"/>
      <c r="AA314" s="39"/>
      <c r="AB314" s="39"/>
      <c r="AC314" s="39"/>
      <c r="AD314" s="39"/>
      <c r="AE314" s="39"/>
      <c r="AF314" s="39"/>
      <c r="AG314" s="39"/>
      <c r="AH314" s="39"/>
      <c r="AI314" s="39"/>
      <c r="AJ314" s="39"/>
      <c r="AK314" s="39"/>
      <c r="AL314" s="39"/>
      <c r="AM314" s="39"/>
      <c r="AN314" s="40" t="str">
        <f>IF(AM314="","",SUM(C314:AL314)*AM314)</f>
        <v/>
      </c>
      <c r="AO314" s="39"/>
      <c r="AP314" s="39"/>
      <c r="AQ314" s="42">
        <f>(AO314+AR314)*AM314</f>
        <v>0</v>
      </c>
      <c r="AR314" s="25">
        <f>AP314/36</f>
        <v>0</v>
      </c>
      <c r="AT314" s="3" t="str">
        <f t="shared" ref="AT314:CA314" si="1181">IF(C314=0,"",ROUNDUP(C311/C314,0))</f>
        <v/>
      </c>
      <c r="AU314" s="3" t="str">
        <f t="shared" si="1181"/>
        <v/>
      </c>
      <c r="AV314" s="3" t="str">
        <f t="shared" si="1181"/>
        <v/>
      </c>
      <c r="AW314" s="3" t="str">
        <f t="shared" si="1181"/>
        <v/>
      </c>
      <c r="AX314" s="3" t="str">
        <f t="shared" si="1181"/>
        <v/>
      </c>
      <c r="AY314" s="3" t="str">
        <f t="shared" si="1181"/>
        <v/>
      </c>
      <c r="AZ314" s="3" t="str">
        <f t="shared" si="1181"/>
        <v/>
      </c>
      <c r="BA314" s="3" t="str">
        <f t="shared" si="1181"/>
        <v/>
      </c>
      <c r="BB314" s="3" t="str">
        <f t="shared" si="1181"/>
        <v/>
      </c>
      <c r="BC314" s="3" t="str">
        <f t="shared" si="1181"/>
        <v/>
      </c>
      <c r="BD314" s="3" t="str">
        <f t="shared" si="1181"/>
        <v/>
      </c>
      <c r="BE314" s="3" t="str">
        <f t="shared" si="1181"/>
        <v/>
      </c>
      <c r="BF314" s="3" t="str">
        <f t="shared" si="1181"/>
        <v/>
      </c>
      <c r="BG314" s="3" t="str">
        <f t="shared" si="1181"/>
        <v/>
      </c>
      <c r="BH314" s="3" t="str">
        <f t="shared" si="1181"/>
        <v/>
      </c>
      <c r="BI314" s="3" t="str">
        <f t="shared" si="1181"/>
        <v/>
      </c>
      <c r="BJ314" s="3" t="str">
        <f t="shared" si="1181"/>
        <v/>
      </c>
      <c r="BK314" s="3" t="str">
        <f t="shared" si="1181"/>
        <v/>
      </c>
      <c r="BL314" s="3" t="str">
        <f t="shared" si="1181"/>
        <v/>
      </c>
      <c r="BM314" s="3" t="str">
        <f t="shared" si="1181"/>
        <v/>
      </c>
      <c r="BN314" s="3" t="str">
        <f t="shared" si="1181"/>
        <v/>
      </c>
      <c r="BO314" s="3" t="str">
        <f t="shared" si="1181"/>
        <v/>
      </c>
      <c r="BP314" s="3" t="str">
        <f t="shared" si="1181"/>
        <v/>
      </c>
      <c r="BQ314" s="3" t="str">
        <f t="shared" si="1181"/>
        <v/>
      </c>
      <c r="BR314" s="3" t="str">
        <f t="shared" si="1181"/>
        <v/>
      </c>
      <c r="BS314" s="3" t="str">
        <f t="shared" si="1181"/>
        <v/>
      </c>
      <c r="BT314" s="3" t="str">
        <f t="shared" si="1181"/>
        <v/>
      </c>
      <c r="BU314" s="3" t="str">
        <f t="shared" si="1181"/>
        <v/>
      </c>
      <c r="BV314" s="3" t="str">
        <f t="shared" si="1181"/>
        <v/>
      </c>
      <c r="BW314" s="3" t="str">
        <f t="shared" si="1181"/>
        <v/>
      </c>
      <c r="BX314" s="3" t="str">
        <f t="shared" si="1181"/>
        <v/>
      </c>
      <c r="BY314" s="3" t="str">
        <f t="shared" si="1181"/>
        <v/>
      </c>
      <c r="BZ314" s="3" t="str">
        <f t="shared" si="1181"/>
        <v/>
      </c>
      <c r="CA314" s="3" t="str">
        <f t="shared" si="1181"/>
        <v/>
      </c>
      <c r="CB314" s="3" t="str">
        <f t="shared" ref="CB314" si="1182">IF(AK314=0,"",ROUNDUP(AK311/AK314,0))</f>
        <v/>
      </c>
      <c r="CC314" s="3" t="str">
        <f t="shared" ref="CC314" si="1183">IF(AL314=0,"",ROUNDUP(AL311/AL314,0))</f>
        <v/>
      </c>
    </row>
    <row r="315" spans="1:81" ht="17.100000000000001" customHeight="1" outlineLevel="1">
      <c r="A315" s="174"/>
      <c r="B315" s="30" t="s">
        <v>22</v>
      </c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39"/>
      <c r="P315" s="39"/>
      <c r="Q315" s="39"/>
      <c r="R315" s="39"/>
      <c r="S315" s="39"/>
      <c r="T315" s="39"/>
      <c r="U315" s="39"/>
      <c r="V315" s="39"/>
      <c r="W315" s="39"/>
      <c r="X315" s="39"/>
      <c r="Y315" s="39"/>
      <c r="Z315" s="39"/>
      <c r="AA315" s="39"/>
      <c r="AB315" s="39"/>
      <c r="AC315" s="39"/>
      <c r="AD315" s="39"/>
      <c r="AE315" s="39"/>
      <c r="AF315" s="39"/>
      <c r="AG315" s="39"/>
      <c r="AH315" s="39"/>
      <c r="AI315" s="39"/>
      <c r="AJ315" s="39"/>
      <c r="AK315" s="39"/>
      <c r="AL315" s="39"/>
      <c r="AM315" s="39"/>
      <c r="AN315" s="40" t="str">
        <f t="shared" ref="AN315:AN318" si="1184">IF(AM315="","",SUM(C315:AL315)*AM315)</f>
        <v/>
      </c>
      <c r="AO315" s="39"/>
      <c r="AP315" s="39"/>
      <c r="AQ315" s="42">
        <f t="shared" ref="AQ315:AQ321" si="1185">(AO315+AR315)*AM315</f>
        <v>0</v>
      </c>
      <c r="AR315" s="25">
        <f t="shared" ref="AR315:AR321" si="1186">AP315/36</f>
        <v>0</v>
      </c>
      <c r="AT315" s="3" t="str">
        <f t="shared" ref="AT315:CA315" si="1187">IF(C315=0,"",ROUNDUP(C311/C315,0))</f>
        <v/>
      </c>
      <c r="AU315" s="3" t="str">
        <f t="shared" si="1187"/>
        <v/>
      </c>
      <c r="AV315" s="3" t="str">
        <f t="shared" si="1187"/>
        <v/>
      </c>
      <c r="AW315" s="3" t="str">
        <f t="shared" si="1187"/>
        <v/>
      </c>
      <c r="AX315" s="3" t="str">
        <f t="shared" si="1187"/>
        <v/>
      </c>
      <c r="AY315" s="3" t="str">
        <f t="shared" si="1187"/>
        <v/>
      </c>
      <c r="AZ315" s="3" t="str">
        <f t="shared" si="1187"/>
        <v/>
      </c>
      <c r="BA315" s="3" t="str">
        <f t="shared" si="1187"/>
        <v/>
      </c>
      <c r="BB315" s="3" t="str">
        <f t="shared" si="1187"/>
        <v/>
      </c>
      <c r="BC315" s="3" t="str">
        <f t="shared" si="1187"/>
        <v/>
      </c>
      <c r="BD315" s="3" t="str">
        <f t="shared" si="1187"/>
        <v/>
      </c>
      <c r="BE315" s="3" t="str">
        <f t="shared" si="1187"/>
        <v/>
      </c>
      <c r="BF315" s="3" t="str">
        <f t="shared" si="1187"/>
        <v/>
      </c>
      <c r="BG315" s="3" t="str">
        <f t="shared" si="1187"/>
        <v/>
      </c>
      <c r="BH315" s="3" t="str">
        <f t="shared" si="1187"/>
        <v/>
      </c>
      <c r="BI315" s="3" t="str">
        <f t="shared" si="1187"/>
        <v/>
      </c>
      <c r="BJ315" s="3" t="str">
        <f t="shared" si="1187"/>
        <v/>
      </c>
      <c r="BK315" s="3" t="str">
        <f t="shared" si="1187"/>
        <v/>
      </c>
      <c r="BL315" s="3" t="str">
        <f t="shared" si="1187"/>
        <v/>
      </c>
      <c r="BM315" s="3" t="str">
        <f t="shared" si="1187"/>
        <v/>
      </c>
      <c r="BN315" s="3" t="str">
        <f t="shared" si="1187"/>
        <v/>
      </c>
      <c r="BO315" s="3" t="str">
        <f t="shared" si="1187"/>
        <v/>
      </c>
      <c r="BP315" s="3" t="str">
        <f t="shared" si="1187"/>
        <v/>
      </c>
      <c r="BQ315" s="3" t="str">
        <f t="shared" si="1187"/>
        <v/>
      </c>
      <c r="BR315" s="3" t="str">
        <f t="shared" si="1187"/>
        <v/>
      </c>
      <c r="BS315" s="3" t="str">
        <f t="shared" si="1187"/>
        <v/>
      </c>
      <c r="BT315" s="3" t="str">
        <f t="shared" si="1187"/>
        <v/>
      </c>
      <c r="BU315" s="3" t="str">
        <f t="shared" si="1187"/>
        <v/>
      </c>
      <c r="BV315" s="3" t="str">
        <f t="shared" si="1187"/>
        <v/>
      </c>
      <c r="BW315" s="3" t="str">
        <f t="shared" si="1187"/>
        <v/>
      </c>
      <c r="BX315" s="3" t="str">
        <f t="shared" si="1187"/>
        <v/>
      </c>
      <c r="BY315" s="3" t="str">
        <f t="shared" si="1187"/>
        <v/>
      </c>
      <c r="BZ315" s="3" t="str">
        <f t="shared" si="1187"/>
        <v/>
      </c>
      <c r="CA315" s="3" t="str">
        <f t="shared" si="1187"/>
        <v/>
      </c>
      <c r="CB315" s="3" t="str">
        <f t="shared" ref="CB315" si="1188">IF(AK315=0,"",ROUNDUP(AK311/AK315,0))</f>
        <v/>
      </c>
      <c r="CC315" s="3" t="str">
        <f t="shared" ref="CC315" si="1189">IF(AL315=0,"",ROUNDUP(AL311/AL315,0))</f>
        <v/>
      </c>
    </row>
    <row r="316" spans="1:81" ht="17.100000000000001" customHeight="1" outlineLevel="1">
      <c r="A316" s="174"/>
      <c r="B316" s="30" t="s">
        <v>23</v>
      </c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39"/>
      <c r="P316" s="39"/>
      <c r="Q316" s="39"/>
      <c r="R316" s="39"/>
      <c r="S316" s="39"/>
      <c r="T316" s="39"/>
      <c r="U316" s="39"/>
      <c r="V316" s="39"/>
      <c r="W316" s="39"/>
      <c r="X316" s="39"/>
      <c r="Y316" s="39"/>
      <c r="Z316" s="39"/>
      <c r="AA316" s="39"/>
      <c r="AB316" s="39"/>
      <c r="AC316" s="39"/>
      <c r="AD316" s="39"/>
      <c r="AE316" s="39"/>
      <c r="AF316" s="39"/>
      <c r="AG316" s="39"/>
      <c r="AH316" s="39"/>
      <c r="AI316" s="39"/>
      <c r="AJ316" s="39"/>
      <c r="AK316" s="39"/>
      <c r="AL316" s="39"/>
      <c r="AM316" s="39"/>
      <c r="AN316" s="40" t="str">
        <f t="shared" si="1184"/>
        <v/>
      </c>
      <c r="AO316" s="39"/>
      <c r="AP316" s="39"/>
      <c r="AQ316" s="42">
        <f t="shared" si="1185"/>
        <v>0</v>
      </c>
      <c r="AR316" s="25">
        <f t="shared" si="1186"/>
        <v>0</v>
      </c>
      <c r="AT316" s="3" t="str">
        <f t="shared" ref="AT316:CA316" si="1190">IF(C316=0,"",ROUNDUP(C311/C316,0))</f>
        <v/>
      </c>
      <c r="AU316" s="3" t="str">
        <f t="shared" si="1190"/>
        <v/>
      </c>
      <c r="AV316" s="3" t="str">
        <f t="shared" si="1190"/>
        <v/>
      </c>
      <c r="AW316" s="3" t="str">
        <f t="shared" si="1190"/>
        <v/>
      </c>
      <c r="AX316" s="3" t="str">
        <f t="shared" si="1190"/>
        <v/>
      </c>
      <c r="AY316" s="3" t="str">
        <f t="shared" si="1190"/>
        <v/>
      </c>
      <c r="AZ316" s="3" t="str">
        <f t="shared" si="1190"/>
        <v/>
      </c>
      <c r="BA316" s="3" t="str">
        <f t="shared" si="1190"/>
        <v/>
      </c>
      <c r="BB316" s="3" t="str">
        <f t="shared" si="1190"/>
        <v/>
      </c>
      <c r="BC316" s="3" t="str">
        <f t="shared" si="1190"/>
        <v/>
      </c>
      <c r="BD316" s="3" t="str">
        <f t="shared" si="1190"/>
        <v/>
      </c>
      <c r="BE316" s="3" t="str">
        <f t="shared" si="1190"/>
        <v/>
      </c>
      <c r="BF316" s="3" t="str">
        <f t="shared" si="1190"/>
        <v/>
      </c>
      <c r="BG316" s="3" t="str">
        <f t="shared" si="1190"/>
        <v/>
      </c>
      <c r="BH316" s="3" t="str">
        <f t="shared" si="1190"/>
        <v/>
      </c>
      <c r="BI316" s="3" t="str">
        <f t="shared" si="1190"/>
        <v/>
      </c>
      <c r="BJ316" s="3" t="str">
        <f t="shared" si="1190"/>
        <v/>
      </c>
      <c r="BK316" s="3" t="str">
        <f t="shared" si="1190"/>
        <v/>
      </c>
      <c r="BL316" s="3" t="str">
        <f t="shared" si="1190"/>
        <v/>
      </c>
      <c r="BM316" s="3" t="str">
        <f t="shared" si="1190"/>
        <v/>
      </c>
      <c r="BN316" s="3" t="str">
        <f t="shared" si="1190"/>
        <v/>
      </c>
      <c r="BO316" s="3" t="str">
        <f t="shared" si="1190"/>
        <v/>
      </c>
      <c r="BP316" s="3" t="str">
        <f t="shared" si="1190"/>
        <v/>
      </c>
      <c r="BQ316" s="3" t="str">
        <f t="shared" si="1190"/>
        <v/>
      </c>
      <c r="BR316" s="3" t="str">
        <f t="shared" si="1190"/>
        <v/>
      </c>
      <c r="BS316" s="3" t="str">
        <f t="shared" si="1190"/>
        <v/>
      </c>
      <c r="BT316" s="3" t="str">
        <f t="shared" si="1190"/>
        <v/>
      </c>
      <c r="BU316" s="3" t="str">
        <f t="shared" si="1190"/>
        <v/>
      </c>
      <c r="BV316" s="3" t="str">
        <f t="shared" si="1190"/>
        <v/>
      </c>
      <c r="BW316" s="3" t="str">
        <f t="shared" si="1190"/>
        <v/>
      </c>
      <c r="BX316" s="3" t="str">
        <f t="shared" si="1190"/>
        <v/>
      </c>
      <c r="BY316" s="3" t="str">
        <f t="shared" si="1190"/>
        <v/>
      </c>
      <c r="BZ316" s="3" t="str">
        <f t="shared" si="1190"/>
        <v/>
      </c>
      <c r="CA316" s="3" t="str">
        <f t="shared" si="1190"/>
        <v/>
      </c>
      <c r="CB316" s="3" t="str">
        <f t="shared" ref="CB316" si="1191">IF(AK316=0,"",ROUNDUP(AK311/AK316,0))</f>
        <v/>
      </c>
      <c r="CC316" s="3" t="str">
        <f t="shared" ref="CC316" si="1192">IF(AL316=0,"",ROUNDUP(AL311/AL316,0))</f>
        <v/>
      </c>
    </row>
    <row r="317" spans="1:81" ht="17.100000000000001" customHeight="1" outlineLevel="1">
      <c r="A317" s="174"/>
      <c r="B317" s="30" t="s">
        <v>24</v>
      </c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39"/>
      <c r="P317" s="39"/>
      <c r="Q317" s="39"/>
      <c r="R317" s="39"/>
      <c r="S317" s="39"/>
      <c r="T317" s="39"/>
      <c r="U317" s="39"/>
      <c r="V317" s="39"/>
      <c r="W317" s="39"/>
      <c r="X317" s="39"/>
      <c r="Y317" s="39"/>
      <c r="Z317" s="39"/>
      <c r="AA317" s="39"/>
      <c r="AB317" s="39"/>
      <c r="AC317" s="39"/>
      <c r="AD317" s="39"/>
      <c r="AE317" s="39"/>
      <c r="AF317" s="39"/>
      <c r="AG317" s="39"/>
      <c r="AH317" s="39"/>
      <c r="AI317" s="39"/>
      <c r="AJ317" s="39"/>
      <c r="AK317" s="39"/>
      <c r="AL317" s="39"/>
      <c r="AM317" s="39"/>
      <c r="AN317" s="40" t="str">
        <f t="shared" si="1184"/>
        <v/>
      </c>
      <c r="AO317" s="39"/>
      <c r="AP317" s="39"/>
      <c r="AQ317" s="42">
        <f t="shared" si="1185"/>
        <v>0</v>
      </c>
      <c r="AR317" s="25">
        <f t="shared" si="1186"/>
        <v>0</v>
      </c>
      <c r="AT317" s="3" t="str">
        <f t="shared" ref="AT317:CA317" si="1193">IF(C317=0,"",ROUNDUP(C311/C317,0))</f>
        <v/>
      </c>
      <c r="AU317" s="3" t="str">
        <f t="shared" si="1193"/>
        <v/>
      </c>
      <c r="AV317" s="3" t="str">
        <f t="shared" si="1193"/>
        <v/>
      </c>
      <c r="AW317" s="3" t="str">
        <f t="shared" si="1193"/>
        <v/>
      </c>
      <c r="AX317" s="3" t="str">
        <f t="shared" si="1193"/>
        <v/>
      </c>
      <c r="AY317" s="3" t="str">
        <f t="shared" si="1193"/>
        <v/>
      </c>
      <c r="AZ317" s="3" t="str">
        <f t="shared" si="1193"/>
        <v/>
      </c>
      <c r="BA317" s="3" t="str">
        <f t="shared" si="1193"/>
        <v/>
      </c>
      <c r="BB317" s="3" t="str">
        <f t="shared" si="1193"/>
        <v/>
      </c>
      <c r="BC317" s="3" t="str">
        <f t="shared" si="1193"/>
        <v/>
      </c>
      <c r="BD317" s="3" t="str">
        <f t="shared" si="1193"/>
        <v/>
      </c>
      <c r="BE317" s="3" t="str">
        <f t="shared" si="1193"/>
        <v/>
      </c>
      <c r="BF317" s="3" t="str">
        <f t="shared" si="1193"/>
        <v/>
      </c>
      <c r="BG317" s="3" t="str">
        <f t="shared" si="1193"/>
        <v/>
      </c>
      <c r="BH317" s="3" t="str">
        <f t="shared" si="1193"/>
        <v/>
      </c>
      <c r="BI317" s="3" t="str">
        <f t="shared" si="1193"/>
        <v/>
      </c>
      <c r="BJ317" s="3" t="str">
        <f t="shared" si="1193"/>
        <v/>
      </c>
      <c r="BK317" s="3" t="str">
        <f t="shared" si="1193"/>
        <v/>
      </c>
      <c r="BL317" s="3" t="str">
        <f t="shared" si="1193"/>
        <v/>
      </c>
      <c r="BM317" s="3" t="str">
        <f t="shared" si="1193"/>
        <v/>
      </c>
      <c r="BN317" s="3" t="str">
        <f t="shared" si="1193"/>
        <v/>
      </c>
      <c r="BO317" s="3" t="str">
        <f t="shared" si="1193"/>
        <v/>
      </c>
      <c r="BP317" s="3" t="str">
        <f t="shared" si="1193"/>
        <v/>
      </c>
      <c r="BQ317" s="3" t="str">
        <f t="shared" si="1193"/>
        <v/>
      </c>
      <c r="BR317" s="3" t="str">
        <f t="shared" si="1193"/>
        <v/>
      </c>
      <c r="BS317" s="3" t="str">
        <f t="shared" si="1193"/>
        <v/>
      </c>
      <c r="BT317" s="3" t="str">
        <f t="shared" si="1193"/>
        <v/>
      </c>
      <c r="BU317" s="3" t="str">
        <f t="shared" si="1193"/>
        <v/>
      </c>
      <c r="BV317" s="3" t="str">
        <f t="shared" si="1193"/>
        <v/>
      </c>
      <c r="BW317" s="3" t="str">
        <f t="shared" si="1193"/>
        <v/>
      </c>
      <c r="BX317" s="3" t="str">
        <f t="shared" si="1193"/>
        <v/>
      </c>
      <c r="BY317" s="3" t="str">
        <f t="shared" si="1193"/>
        <v/>
      </c>
      <c r="BZ317" s="3" t="str">
        <f t="shared" si="1193"/>
        <v/>
      </c>
      <c r="CA317" s="3" t="str">
        <f t="shared" si="1193"/>
        <v/>
      </c>
      <c r="CB317" s="3" t="str">
        <f t="shared" ref="CB317" si="1194">IF(AK317=0,"",ROUNDUP(AK311/AK317,0))</f>
        <v/>
      </c>
      <c r="CC317" s="3" t="str">
        <f t="shared" ref="CC317" si="1195">IF(AL317=0,"",ROUNDUP(AL311/AL317,0))</f>
        <v/>
      </c>
    </row>
    <row r="318" spans="1:81" ht="17.100000000000001" customHeight="1" outlineLevel="1">
      <c r="A318" s="174"/>
      <c r="B318" s="30" t="s">
        <v>25</v>
      </c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39"/>
      <c r="P318" s="39"/>
      <c r="Q318" s="39"/>
      <c r="R318" s="39"/>
      <c r="S318" s="39"/>
      <c r="T318" s="39"/>
      <c r="U318" s="39"/>
      <c r="V318" s="39"/>
      <c r="W318" s="39"/>
      <c r="X318" s="39"/>
      <c r="Y318" s="39"/>
      <c r="Z318" s="39"/>
      <c r="AA318" s="39"/>
      <c r="AB318" s="39"/>
      <c r="AC318" s="39"/>
      <c r="AD318" s="39"/>
      <c r="AE318" s="39"/>
      <c r="AF318" s="39"/>
      <c r="AG318" s="39"/>
      <c r="AH318" s="39"/>
      <c r="AI318" s="39"/>
      <c r="AJ318" s="39"/>
      <c r="AK318" s="39"/>
      <c r="AL318" s="39"/>
      <c r="AM318" s="39"/>
      <c r="AN318" s="40" t="str">
        <f t="shared" si="1184"/>
        <v/>
      </c>
      <c r="AO318" s="39"/>
      <c r="AP318" s="39"/>
      <c r="AQ318" s="42">
        <f t="shared" si="1185"/>
        <v>0</v>
      </c>
      <c r="AR318" s="25">
        <f t="shared" si="1186"/>
        <v>0</v>
      </c>
      <c r="AT318" s="3" t="str">
        <f t="shared" ref="AT318:CA318" si="1196">IF(C318=0,"",ROUNDUP(C311/C318,0))</f>
        <v/>
      </c>
      <c r="AU318" s="3" t="str">
        <f t="shared" si="1196"/>
        <v/>
      </c>
      <c r="AV318" s="3" t="str">
        <f t="shared" si="1196"/>
        <v/>
      </c>
      <c r="AW318" s="3" t="str">
        <f t="shared" si="1196"/>
        <v/>
      </c>
      <c r="AX318" s="3" t="str">
        <f t="shared" si="1196"/>
        <v/>
      </c>
      <c r="AY318" s="3" t="str">
        <f t="shared" si="1196"/>
        <v/>
      </c>
      <c r="AZ318" s="3" t="str">
        <f t="shared" si="1196"/>
        <v/>
      </c>
      <c r="BA318" s="3" t="str">
        <f t="shared" si="1196"/>
        <v/>
      </c>
      <c r="BB318" s="3" t="str">
        <f t="shared" si="1196"/>
        <v/>
      </c>
      <c r="BC318" s="3" t="str">
        <f t="shared" si="1196"/>
        <v/>
      </c>
      <c r="BD318" s="3" t="str">
        <f t="shared" si="1196"/>
        <v/>
      </c>
      <c r="BE318" s="3" t="str">
        <f t="shared" si="1196"/>
        <v/>
      </c>
      <c r="BF318" s="3" t="str">
        <f t="shared" si="1196"/>
        <v/>
      </c>
      <c r="BG318" s="3" t="str">
        <f t="shared" si="1196"/>
        <v/>
      </c>
      <c r="BH318" s="3" t="str">
        <f t="shared" si="1196"/>
        <v/>
      </c>
      <c r="BI318" s="3" t="str">
        <f t="shared" si="1196"/>
        <v/>
      </c>
      <c r="BJ318" s="3" t="str">
        <f t="shared" si="1196"/>
        <v/>
      </c>
      <c r="BK318" s="3" t="str">
        <f t="shared" si="1196"/>
        <v/>
      </c>
      <c r="BL318" s="3" t="str">
        <f t="shared" si="1196"/>
        <v/>
      </c>
      <c r="BM318" s="3" t="str">
        <f t="shared" si="1196"/>
        <v/>
      </c>
      <c r="BN318" s="3" t="str">
        <f t="shared" si="1196"/>
        <v/>
      </c>
      <c r="BO318" s="3" t="str">
        <f t="shared" si="1196"/>
        <v/>
      </c>
      <c r="BP318" s="3" t="str">
        <f t="shared" si="1196"/>
        <v/>
      </c>
      <c r="BQ318" s="3" t="str">
        <f t="shared" si="1196"/>
        <v/>
      </c>
      <c r="BR318" s="3" t="str">
        <f t="shared" si="1196"/>
        <v/>
      </c>
      <c r="BS318" s="3" t="str">
        <f t="shared" si="1196"/>
        <v/>
      </c>
      <c r="BT318" s="3" t="str">
        <f t="shared" si="1196"/>
        <v/>
      </c>
      <c r="BU318" s="3" t="str">
        <f t="shared" si="1196"/>
        <v/>
      </c>
      <c r="BV318" s="3" t="str">
        <f t="shared" si="1196"/>
        <v/>
      </c>
      <c r="BW318" s="3" t="str">
        <f t="shared" si="1196"/>
        <v/>
      </c>
      <c r="BX318" s="3" t="str">
        <f t="shared" si="1196"/>
        <v/>
      </c>
      <c r="BY318" s="3" t="str">
        <f t="shared" si="1196"/>
        <v/>
      </c>
      <c r="BZ318" s="3" t="str">
        <f t="shared" si="1196"/>
        <v/>
      </c>
      <c r="CA318" s="3" t="str">
        <f t="shared" si="1196"/>
        <v/>
      </c>
      <c r="CB318" s="3" t="str">
        <f t="shared" ref="CB318" si="1197">IF(AK318=0,"",ROUNDUP(AK311/AK318,0))</f>
        <v/>
      </c>
      <c r="CC318" s="3" t="str">
        <f t="shared" ref="CC318" si="1198">IF(AL318=0,"",ROUNDUP(AL311/AL318,0))</f>
        <v/>
      </c>
    </row>
    <row r="319" spans="1:81" ht="17.100000000000001" customHeight="1" outlineLevel="1">
      <c r="A319" s="174"/>
      <c r="B319" s="30" t="s">
        <v>26</v>
      </c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39"/>
      <c r="P319" s="39"/>
      <c r="Q319" s="39"/>
      <c r="R319" s="39"/>
      <c r="S319" s="39"/>
      <c r="T319" s="39"/>
      <c r="U319" s="39"/>
      <c r="V319" s="39"/>
      <c r="W319" s="39"/>
      <c r="X319" s="39"/>
      <c r="Y319" s="39"/>
      <c r="Z319" s="39"/>
      <c r="AA319" s="39"/>
      <c r="AB319" s="39"/>
      <c r="AC319" s="39"/>
      <c r="AD319" s="39"/>
      <c r="AE319" s="39"/>
      <c r="AF319" s="39"/>
      <c r="AG319" s="39"/>
      <c r="AH319" s="39"/>
      <c r="AI319" s="39"/>
      <c r="AJ319" s="39"/>
      <c r="AK319" s="39"/>
      <c r="AL319" s="39"/>
      <c r="AM319" s="39"/>
      <c r="AN319" s="40" t="str">
        <f>IF(AM319="","",SUM(C319:AL319)*AM319)</f>
        <v/>
      </c>
      <c r="AO319" s="39"/>
      <c r="AP319" s="39"/>
      <c r="AQ319" s="42">
        <f t="shared" si="1185"/>
        <v>0</v>
      </c>
      <c r="AR319" s="25">
        <f t="shared" si="1186"/>
        <v>0</v>
      </c>
      <c r="AT319" s="3" t="str">
        <f t="shared" ref="AT319:CA319" si="1199">IF(C319=0,"",ROUNDUP(C311/C319,0))</f>
        <v/>
      </c>
      <c r="AU319" s="3" t="str">
        <f t="shared" si="1199"/>
        <v/>
      </c>
      <c r="AV319" s="3" t="str">
        <f t="shared" si="1199"/>
        <v/>
      </c>
      <c r="AW319" s="3" t="str">
        <f t="shared" si="1199"/>
        <v/>
      </c>
      <c r="AX319" s="3" t="str">
        <f t="shared" si="1199"/>
        <v/>
      </c>
      <c r="AY319" s="3" t="str">
        <f t="shared" si="1199"/>
        <v/>
      </c>
      <c r="AZ319" s="3" t="str">
        <f t="shared" si="1199"/>
        <v/>
      </c>
      <c r="BA319" s="3" t="str">
        <f t="shared" si="1199"/>
        <v/>
      </c>
      <c r="BB319" s="3" t="str">
        <f t="shared" si="1199"/>
        <v/>
      </c>
      <c r="BC319" s="3" t="str">
        <f t="shared" si="1199"/>
        <v/>
      </c>
      <c r="BD319" s="3" t="str">
        <f t="shared" si="1199"/>
        <v/>
      </c>
      <c r="BE319" s="3" t="str">
        <f t="shared" si="1199"/>
        <v/>
      </c>
      <c r="BF319" s="3" t="str">
        <f t="shared" si="1199"/>
        <v/>
      </c>
      <c r="BG319" s="3" t="str">
        <f t="shared" si="1199"/>
        <v/>
      </c>
      <c r="BH319" s="3" t="str">
        <f t="shared" si="1199"/>
        <v/>
      </c>
      <c r="BI319" s="3" t="str">
        <f t="shared" si="1199"/>
        <v/>
      </c>
      <c r="BJ319" s="3" t="str">
        <f t="shared" si="1199"/>
        <v/>
      </c>
      <c r="BK319" s="3" t="str">
        <f t="shared" si="1199"/>
        <v/>
      </c>
      <c r="BL319" s="3" t="str">
        <f t="shared" si="1199"/>
        <v/>
      </c>
      <c r="BM319" s="3" t="str">
        <f t="shared" si="1199"/>
        <v/>
      </c>
      <c r="BN319" s="3" t="str">
        <f t="shared" si="1199"/>
        <v/>
      </c>
      <c r="BO319" s="3" t="str">
        <f t="shared" si="1199"/>
        <v/>
      </c>
      <c r="BP319" s="3" t="str">
        <f t="shared" si="1199"/>
        <v/>
      </c>
      <c r="BQ319" s="3" t="str">
        <f t="shared" si="1199"/>
        <v/>
      </c>
      <c r="BR319" s="3" t="str">
        <f t="shared" si="1199"/>
        <v/>
      </c>
      <c r="BS319" s="3" t="str">
        <f t="shared" si="1199"/>
        <v/>
      </c>
      <c r="BT319" s="3" t="str">
        <f t="shared" si="1199"/>
        <v/>
      </c>
      <c r="BU319" s="3" t="str">
        <f t="shared" si="1199"/>
        <v/>
      </c>
      <c r="BV319" s="3" t="str">
        <f t="shared" si="1199"/>
        <v/>
      </c>
      <c r="BW319" s="3" t="str">
        <f t="shared" si="1199"/>
        <v/>
      </c>
      <c r="BX319" s="3" t="str">
        <f t="shared" si="1199"/>
        <v/>
      </c>
      <c r="BY319" s="3" t="str">
        <f t="shared" si="1199"/>
        <v/>
      </c>
      <c r="BZ319" s="3" t="str">
        <f t="shared" si="1199"/>
        <v/>
      </c>
      <c r="CA319" s="3" t="str">
        <f t="shared" si="1199"/>
        <v/>
      </c>
      <c r="CB319" s="3" t="str">
        <f t="shared" ref="CB319" si="1200">IF(AK319=0,"",ROUNDUP(AK311/AK319,0))</f>
        <v/>
      </c>
      <c r="CC319" s="3" t="str">
        <f t="shared" ref="CC319" si="1201">IF(AL319=0,"",ROUNDUP(AL311/AL319,0))</f>
        <v/>
      </c>
    </row>
    <row r="320" spans="1:81" ht="17.100000000000001" customHeight="1" outlineLevel="1">
      <c r="A320" s="174"/>
      <c r="B320" s="30" t="s">
        <v>27</v>
      </c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39"/>
      <c r="P320" s="39"/>
      <c r="Q320" s="39"/>
      <c r="R320" s="39"/>
      <c r="S320" s="39"/>
      <c r="T320" s="39"/>
      <c r="U320" s="39"/>
      <c r="V320" s="39"/>
      <c r="W320" s="39"/>
      <c r="X320" s="39"/>
      <c r="Y320" s="39"/>
      <c r="Z320" s="39"/>
      <c r="AA320" s="39"/>
      <c r="AB320" s="39"/>
      <c r="AC320" s="39"/>
      <c r="AD320" s="39"/>
      <c r="AE320" s="39"/>
      <c r="AF320" s="39"/>
      <c r="AG320" s="39"/>
      <c r="AH320" s="39"/>
      <c r="AI320" s="39"/>
      <c r="AJ320" s="39"/>
      <c r="AK320" s="39"/>
      <c r="AL320" s="39"/>
      <c r="AM320" s="39"/>
      <c r="AN320" s="40" t="str">
        <f t="shared" ref="AN320:AN321" si="1202">IF(AM320="","",SUM(C320:AL320)*AM320)</f>
        <v/>
      </c>
      <c r="AO320" s="39"/>
      <c r="AP320" s="39"/>
      <c r="AQ320" s="42">
        <f t="shared" si="1185"/>
        <v>0</v>
      </c>
      <c r="AR320" s="25">
        <f t="shared" si="1186"/>
        <v>0</v>
      </c>
      <c r="AT320" s="3" t="str">
        <f t="shared" ref="AT320:CA320" si="1203">IF(C320=0,"",ROUNDUP(C311/C320,0))</f>
        <v/>
      </c>
      <c r="AU320" s="3" t="str">
        <f t="shared" si="1203"/>
        <v/>
      </c>
      <c r="AV320" s="3" t="str">
        <f t="shared" si="1203"/>
        <v/>
      </c>
      <c r="AW320" s="3" t="str">
        <f t="shared" si="1203"/>
        <v/>
      </c>
      <c r="AX320" s="3" t="str">
        <f t="shared" si="1203"/>
        <v/>
      </c>
      <c r="AY320" s="3" t="str">
        <f t="shared" si="1203"/>
        <v/>
      </c>
      <c r="AZ320" s="3" t="str">
        <f t="shared" si="1203"/>
        <v/>
      </c>
      <c r="BA320" s="3" t="str">
        <f t="shared" si="1203"/>
        <v/>
      </c>
      <c r="BB320" s="3" t="str">
        <f t="shared" si="1203"/>
        <v/>
      </c>
      <c r="BC320" s="3" t="str">
        <f t="shared" si="1203"/>
        <v/>
      </c>
      <c r="BD320" s="3" t="str">
        <f t="shared" si="1203"/>
        <v/>
      </c>
      <c r="BE320" s="3" t="str">
        <f t="shared" si="1203"/>
        <v/>
      </c>
      <c r="BF320" s="3" t="str">
        <f t="shared" si="1203"/>
        <v/>
      </c>
      <c r="BG320" s="3" t="str">
        <f t="shared" si="1203"/>
        <v/>
      </c>
      <c r="BH320" s="3" t="str">
        <f t="shared" si="1203"/>
        <v/>
      </c>
      <c r="BI320" s="3" t="str">
        <f t="shared" si="1203"/>
        <v/>
      </c>
      <c r="BJ320" s="3" t="str">
        <f t="shared" si="1203"/>
        <v/>
      </c>
      <c r="BK320" s="3" t="str">
        <f t="shared" si="1203"/>
        <v/>
      </c>
      <c r="BL320" s="3" t="str">
        <f t="shared" si="1203"/>
        <v/>
      </c>
      <c r="BM320" s="3" t="str">
        <f t="shared" si="1203"/>
        <v/>
      </c>
      <c r="BN320" s="3" t="str">
        <f t="shared" si="1203"/>
        <v/>
      </c>
      <c r="BO320" s="3" t="str">
        <f t="shared" si="1203"/>
        <v/>
      </c>
      <c r="BP320" s="3" t="str">
        <f t="shared" si="1203"/>
        <v/>
      </c>
      <c r="BQ320" s="3" t="str">
        <f t="shared" si="1203"/>
        <v/>
      </c>
      <c r="BR320" s="3" t="str">
        <f t="shared" si="1203"/>
        <v/>
      </c>
      <c r="BS320" s="3" t="str">
        <f t="shared" si="1203"/>
        <v/>
      </c>
      <c r="BT320" s="3" t="str">
        <f t="shared" si="1203"/>
        <v/>
      </c>
      <c r="BU320" s="3" t="str">
        <f t="shared" si="1203"/>
        <v/>
      </c>
      <c r="BV320" s="3" t="str">
        <f t="shared" si="1203"/>
        <v/>
      </c>
      <c r="BW320" s="3" t="str">
        <f t="shared" si="1203"/>
        <v/>
      </c>
      <c r="BX320" s="3" t="str">
        <f t="shared" si="1203"/>
        <v/>
      </c>
      <c r="BY320" s="3" t="str">
        <f t="shared" si="1203"/>
        <v/>
      </c>
      <c r="BZ320" s="3" t="str">
        <f t="shared" si="1203"/>
        <v/>
      </c>
      <c r="CA320" s="3" t="str">
        <f t="shared" si="1203"/>
        <v/>
      </c>
      <c r="CB320" s="3" t="str">
        <f t="shared" ref="CB320" si="1204">IF(AK320=0,"",ROUNDUP(AK311/AK320,0))</f>
        <v/>
      </c>
      <c r="CC320" s="3" t="str">
        <f t="shared" ref="CC320" si="1205">IF(AL320=0,"",ROUNDUP(AL311/AL320,0))</f>
        <v/>
      </c>
    </row>
    <row r="321" spans="1:81" ht="17.100000000000001" customHeight="1" outlineLevel="1">
      <c r="A321" s="175"/>
      <c r="B321" s="30" t="s">
        <v>28</v>
      </c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39"/>
      <c r="P321" s="39"/>
      <c r="Q321" s="39"/>
      <c r="R321" s="39"/>
      <c r="S321" s="39"/>
      <c r="T321" s="39"/>
      <c r="U321" s="39"/>
      <c r="V321" s="39"/>
      <c r="W321" s="39"/>
      <c r="X321" s="39"/>
      <c r="Y321" s="39"/>
      <c r="Z321" s="39"/>
      <c r="AA321" s="39"/>
      <c r="AB321" s="39"/>
      <c r="AC321" s="39"/>
      <c r="AD321" s="39"/>
      <c r="AE321" s="39"/>
      <c r="AF321" s="39"/>
      <c r="AG321" s="39"/>
      <c r="AH321" s="39"/>
      <c r="AI321" s="39"/>
      <c r="AJ321" s="39"/>
      <c r="AK321" s="39"/>
      <c r="AL321" s="39"/>
      <c r="AM321" s="39"/>
      <c r="AN321" s="41" t="str">
        <f t="shared" si="1202"/>
        <v/>
      </c>
      <c r="AO321" s="39"/>
      <c r="AP321" s="39"/>
      <c r="AQ321" s="42">
        <f t="shared" si="1185"/>
        <v>0</v>
      </c>
      <c r="AR321" s="25">
        <f t="shared" si="1186"/>
        <v>0</v>
      </c>
      <c r="AT321" s="3" t="str">
        <f t="shared" ref="AT321:CA321" si="1206">IF(C321=0,"",ROUNDUP(C311/C321,0))</f>
        <v/>
      </c>
      <c r="AU321" s="3" t="str">
        <f t="shared" si="1206"/>
        <v/>
      </c>
      <c r="AV321" s="3" t="str">
        <f t="shared" si="1206"/>
        <v/>
      </c>
      <c r="AW321" s="3" t="str">
        <f t="shared" si="1206"/>
        <v/>
      </c>
      <c r="AX321" s="3" t="str">
        <f t="shared" si="1206"/>
        <v/>
      </c>
      <c r="AY321" s="3" t="str">
        <f t="shared" si="1206"/>
        <v/>
      </c>
      <c r="AZ321" s="3" t="str">
        <f t="shared" si="1206"/>
        <v/>
      </c>
      <c r="BA321" s="3" t="str">
        <f t="shared" si="1206"/>
        <v/>
      </c>
      <c r="BB321" s="3" t="str">
        <f t="shared" si="1206"/>
        <v/>
      </c>
      <c r="BC321" s="3" t="str">
        <f t="shared" si="1206"/>
        <v/>
      </c>
      <c r="BD321" s="3" t="str">
        <f t="shared" si="1206"/>
        <v/>
      </c>
      <c r="BE321" s="3" t="str">
        <f t="shared" si="1206"/>
        <v/>
      </c>
      <c r="BF321" s="3" t="str">
        <f t="shared" si="1206"/>
        <v/>
      </c>
      <c r="BG321" s="3" t="str">
        <f t="shared" si="1206"/>
        <v/>
      </c>
      <c r="BH321" s="3" t="str">
        <f t="shared" si="1206"/>
        <v/>
      </c>
      <c r="BI321" s="3" t="str">
        <f t="shared" si="1206"/>
        <v/>
      </c>
      <c r="BJ321" s="3" t="str">
        <f t="shared" si="1206"/>
        <v/>
      </c>
      <c r="BK321" s="3" t="str">
        <f t="shared" si="1206"/>
        <v/>
      </c>
      <c r="BL321" s="3" t="str">
        <f t="shared" si="1206"/>
        <v/>
      </c>
      <c r="BM321" s="3" t="str">
        <f t="shared" si="1206"/>
        <v/>
      </c>
      <c r="BN321" s="3" t="str">
        <f t="shared" si="1206"/>
        <v/>
      </c>
      <c r="BO321" s="3" t="str">
        <f t="shared" si="1206"/>
        <v/>
      </c>
      <c r="BP321" s="3" t="str">
        <f t="shared" si="1206"/>
        <v/>
      </c>
      <c r="BQ321" s="3" t="str">
        <f t="shared" si="1206"/>
        <v/>
      </c>
      <c r="BR321" s="3" t="str">
        <f t="shared" si="1206"/>
        <v/>
      </c>
      <c r="BS321" s="3" t="str">
        <f t="shared" si="1206"/>
        <v/>
      </c>
      <c r="BT321" s="3" t="str">
        <f t="shared" si="1206"/>
        <v/>
      </c>
      <c r="BU321" s="3" t="str">
        <f t="shared" si="1206"/>
        <v/>
      </c>
      <c r="BV321" s="3" t="str">
        <f t="shared" si="1206"/>
        <v/>
      </c>
      <c r="BW321" s="3" t="str">
        <f t="shared" si="1206"/>
        <v/>
      </c>
      <c r="BX321" s="3" t="str">
        <f t="shared" si="1206"/>
        <v/>
      </c>
      <c r="BY321" s="3" t="str">
        <f t="shared" si="1206"/>
        <v/>
      </c>
      <c r="BZ321" s="3" t="str">
        <f t="shared" si="1206"/>
        <v/>
      </c>
      <c r="CA321" s="3" t="str">
        <f t="shared" si="1206"/>
        <v/>
      </c>
      <c r="CB321" s="3" t="str">
        <f t="shared" ref="CB321" si="1207">IF(AK321=0,"",ROUNDUP(AK311/AK321,0))</f>
        <v/>
      </c>
      <c r="CC321" s="3" t="str">
        <f t="shared" ref="CC321" si="1208">IF(AL321=0,"",ROUNDUP(AL311/AL321,0))</f>
        <v/>
      </c>
    </row>
    <row r="322" spans="1:81" ht="17.100000000000001" customHeight="1" outlineLevel="1" thickBot="1">
      <c r="AN322" s="43">
        <f>SUM(AN314:AN321)</f>
        <v>0</v>
      </c>
      <c r="AQ322" s="12"/>
    </row>
    <row r="323" spans="1:81" ht="21.95" customHeight="1" outlineLevel="1" thickBot="1">
      <c r="A323" s="201">
        <v>21</v>
      </c>
      <c r="B323" s="202"/>
      <c r="C323" s="203"/>
      <c r="AQ323" s="12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</row>
    <row r="324" spans="1:81" ht="17.100000000000001" customHeight="1" outlineLevel="1">
      <c r="A324" s="51" t="s">
        <v>29</v>
      </c>
      <c r="B324" s="50"/>
      <c r="C324" s="147" t="s">
        <v>10</v>
      </c>
      <c r="D324" s="148"/>
      <c r="E324" s="148"/>
      <c r="F324" s="148"/>
      <c r="G324" s="148"/>
      <c r="H324" s="148"/>
      <c r="I324" s="148"/>
      <c r="J324" s="148"/>
      <c r="K324" s="148"/>
      <c r="L324" s="148"/>
      <c r="M324" s="148"/>
      <c r="N324" s="148"/>
      <c r="O324" s="148"/>
      <c r="P324" s="148"/>
      <c r="Q324" s="148"/>
      <c r="R324" s="148"/>
      <c r="S324" s="148"/>
      <c r="T324" s="148"/>
      <c r="U324" s="148"/>
      <c r="V324" s="148"/>
      <c r="W324" s="148"/>
      <c r="X324" s="148"/>
      <c r="Y324" s="148"/>
      <c r="Z324" s="148"/>
      <c r="AA324" s="148"/>
      <c r="AB324" s="148"/>
      <c r="AC324" s="148"/>
      <c r="AD324" s="148"/>
      <c r="AE324" s="148"/>
      <c r="AF324" s="148"/>
      <c r="AG324" s="148"/>
      <c r="AH324" s="148"/>
      <c r="AI324" s="148"/>
      <c r="AJ324" s="148"/>
      <c r="AK324" s="148"/>
      <c r="AL324" s="148"/>
      <c r="AM324" s="10"/>
      <c r="AN324" s="31"/>
      <c r="AO324" s="35" t="s">
        <v>4</v>
      </c>
      <c r="AP324" s="149"/>
      <c r="AQ324" s="150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</row>
    <row r="325" spans="1:81" ht="27" outlineLevel="1">
      <c r="A325" s="52" t="s">
        <v>36</v>
      </c>
      <c r="B325" s="50"/>
      <c r="C325" s="26" t="str">
        <f>IF(C309=0,"",IF(C309&gt;0,C309))</f>
        <v/>
      </c>
      <c r="D325" s="26" t="str">
        <f t="shared" ref="D325:AL325" si="1209">IF(D309=0,"",IF(D309&gt;0,D309))</f>
        <v/>
      </c>
      <c r="E325" s="26" t="str">
        <f t="shared" si="1209"/>
        <v/>
      </c>
      <c r="F325" s="26" t="str">
        <f t="shared" si="1209"/>
        <v/>
      </c>
      <c r="G325" s="26" t="str">
        <f t="shared" si="1209"/>
        <v/>
      </c>
      <c r="H325" s="26" t="str">
        <f t="shared" si="1209"/>
        <v/>
      </c>
      <c r="I325" s="26" t="str">
        <f t="shared" si="1209"/>
        <v/>
      </c>
      <c r="J325" s="26" t="str">
        <f t="shared" si="1209"/>
        <v/>
      </c>
      <c r="K325" s="26" t="str">
        <f t="shared" si="1209"/>
        <v/>
      </c>
      <c r="L325" s="26" t="str">
        <f t="shared" si="1209"/>
        <v/>
      </c>
      <c r="M325" s="26" t="str">
        <f t="shared" si="1209"/>
        <v/>
      </c>
      <c r="N325" s="26" t="str">
        <f t="shared" si="1209"/>
        <v/>
      </c>
      <c r="O325" s="26" t="str">
        <f t="shared" si="1209"/>
        <v/>
      </c>
      <c r="P325" s="26" t="str">
        <f t="shared" si="1209"/>
        <v/>
      </c>
      <c r="Q325" s="26" t="str">
        <f t="shared" si="1209"/>
        <v/>
      </c>
      <c r="R325" s="26" t="str">
        <f t="shared" si="1209"/>
        <v/>
      </c>
      <c r="S325" s="26" t="str">
        <f t="shared" si="1209"/>
        <v/>
      </c>
      <c r="T325" s="26" t="str">
        <f t="shared" si="1209"/>
        <v/>
      </c>
      <c r="U325" s="26" t="str">
        <f t="shared" si="1209"/>
        <v/>
      </c>
      <c r="V325" s="26" t="str">
        <f t="shared" si="1209"/>
        <v/>
      </c>
      <c r="W325" s="26" t="str">
        <f t="shared" si="1209"/>
        <v/>
      </c>
      <c r="X325" s="26" t="str">
        <f t="shared" si="1209"/>
        <v/>
      </c>
      <c r="Y325" s="26" t="str">
        <f t="shared" si="1209"/>
        <v/>
      </c>
      <c r="Z325" s="26" t="str">
        <f t="shared" si="1209"/>
        <v/>
      </c>
      <c r="AA325" s="26" t="str">
        <f t="shared" si="1209"/>
        <v/>
      </c>
      <c r="AB325" s="26" t="str">
        <f t="shared" si="1209"/>
        <v/>
      </c>
      <c r="AC325" s="26" t="str">
        <f t="shared" si="1209"/>
        <v/>
      </c>
      <c r="AD325" s="26" t="str">
        <f t="shared" si="1209"/>
        <v/>
      </c>
      <c r="AE325" s="26" t="str">
        <f t="shared" si="1209"/>
        <v/>
      </c>
      <c r="AF325" s="26" t="str">
        <f t="shared" si="1209"/>
        <v/>
      </c>
      <c r="AG325" s="26" t="str">
        <f t="shared" si="1209"/>
        <v/>
      </c>
      <c r="AH325" s="26" t="str">
        <f t="shared" si="1209"/>
        <v/>
      </c>
      <c r="AI325" s="26" t="str">
        <f t="shared" si="1209"/>
        <v/>
      </c>
      <c r="AJ325" s="26" t="str">
        <f t="shared" si="1209"/>
        <v/>
      </c>
      <c r="AK325" s="26" t="str">
        <f t="shared" si="1209"/>
        <v/>
      </c>
      <c r="AL325" s="26" t="str">
        <f t="shared" si="1209"/>
        <v/>
      </c>
      <c r="AM325" s="5" t="s">
        <v>2</v>
      </c>
      <c r="AN325" s="31"/>
      <c r="AO325" s="32" t="s">
        <v>5</v>
      </c>
      <c r="AP325" s="151">
        <f>SUM(AQ330:AQ337)</f>
        <v>0</v>
      </c>
      <c r="AQ325" s="151"/>
      <c r="AT325" s="2" t="str">
        <f t="shared" ref="AT325:BY325" si="1210">IF(C325=0,"",IF(C325&gt;0,C325))</f>
        <v/>
      </c>
      <c r="AU325" s="2" t="str">
        <f t="shared" si="1210"/>
        <v/>
      </c>
      <c r="AV325" s="2" t="str">
        <f t="shared" si="1210"/>
        <v/>
      </c>
      <c r="AW325" s="2" t="str">
        <f t="shared" si="1210"/>
        <v/>
      </c>
      <c r="AX325" s="2" t="str">
        <f t="shared" si="1210"/>
        <v/>
      </c>
      <c r="AY325" s="2" t="str">
        <f t="shared" si="1210"/>
        <v/>
      </c>
      <c r="AZ325" s="2" t="str">
        <f t="shared" si="1210"/>
        <v/>
      </c>
      <c r="BA325" s="2" t="str">
        <f t="shared" si="1210"/>
        <v/>
      </c>
      <c r="BB325" s="2" t="str">
        <f t="shared" si="1210"/>
        <v/>
      </c>
      <c r="BC325" s="2" t="str">
        <f t="shared" si="1210"/>
        <v/>
      </c>
      <c r="BD325" s="2" t="str">
        <f t="shared" si="1210"/>
        <v/>
      </c>
      <c r="BE325" s="2" t="str">
        <f t="shared" si="1210"/>
        <v/>
      </c>
      <c r="BF325" s="2" t="str">
        <f t="shared" si="1210"/>
        <v/>
      </c>
      <c r="BG325" s="2" t="str">
        <f t="shared" si="1210"/>
        <v/>
      </c>
      <c r="BH325" s="2" t="str">
        <f t="shared" si="1210"/>
        <v/>
      </c>
      <c r="BI325" s="2" t="str">
        <f t="shared" si="1210"/>
        <v/>
      </c>
      <c r="BJ325" s="2" t="str">
        <f t="shared" si="1210"/>
        <v/>
      </c>
      <c r="BK325" s="2" t="str">
        <f t="shared" si="1210"/>
        <v/>
      </c>
      <c r="BL325" s="2" t="str">
        <f t="shared" si="1210"/>
        <v/>
      </c>
      <c r="BM325" s="2" t="str">
        <f t="shared" si="1210"/>
        <v/>
      </c>
      <c r="BN325" s="2" t="str">
        <f t="shared" si="1210"/>
        <v/>
      </c>
      <c r="BO325" s="2" t="str">
        <f t="shared" si="1210"/>
        <v/>
      </c>
      <c r="BP325" s="2" t="str">
        <f t="shared" si="1210"/>
        <v/>
      </c>
      <c r="BQ325" s="2" t="str">
        <f t="shared" si="1210"/>
        <v/>
      </c>
      <c r="BR325" s="2" t="str">
        <f t="shared" si="1210"/>
        <v/>
      </c>
      <c r="BS325" s="2" t="str">
        <f t="shared" si="1210"/>
        <v/>
      </c>
      <c r="BT325" s="2" t="str">
        <f t="shared" si="1210"/>
        <v/>
      </c>
      <c r="BU325" s="2" t="str">
        <f t="shared" si="1210"/>
        <v/>
      </c>
      <c r="BV325" s="2" t="str">
        <f t="shared" si="1210"/>
        <v/>
      </c>
      <c r="BW325" s="2" t="str">
        <f t="shared" si="1210"/>
        <v/>
      </c>
      <c r="BX325" s="2" t="str">
        <f t="shared" si="1210"/>
        <v/>
      </c>
      <c r="BY325" s="2" t="str">
        <f t="shared" si="1210"/>
        <v/>
      </c>
      <c r="BZ325" s="2" t="str">
        <f t="shared" ref="BZ325" si="1211">IF(AI325=0,"",IF(AI325&gt;0,AI325))</f>
        <v/>
      </c>
      <c r="CA325" s="2" t="str">
        <f t="shared" ref="CA325" si="1212">IF(AJ325=0,"",IF(AJ325&gt;0,AJ325))</f>
        <v/>
      </c>
      <c r="CB325" s="2" t="str">
        <f t="shared" ref="CB325" si="1213">IF(AK325=0,"",IF(AK325&gt;0,AK325))</f>
        <v/>
      </c>
      <c r="CC325" s="2" t="str">
        <f t="shared" ref="CC325" si="1214">IF(AL325=0,"",IF(AL325&gt;0,AL325))</f>
        <v/>
      </c>
    </row>
    <row r="326" spans="1:81" ht="17.100000000000001" customHeight="1" outlineLevel="1">
      <c r="A326" s="152" t="s">
        <v>30</v>
      </c>
      <c r="B326" s="153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6"/>
      <c r="O326" s="46"/>
      <c r="P326" s="46"/>
      <c r="Q326" s="46"/>
      <c r="R326" s="46"/>
      <c r="S326" s="46"/>
      <c r="T326" s="46"/>
      <c r="U326" s="46"/>
      <c r="V326" s="46"/>
      <c r="W326" s="46"/>
      <c r="X326" s="46"/>
      <c r="Y326" s="46"/>
      <c r="Z326" s="46"/>
      <c r="AA326" s="46"/>
      <c r="AB326" s="46"/>
      <c r="AC326" s="46"/>
      <c r="AD326" s="46"/>
      <c r="AE326" s="46"/>
      <c r="AF326" s="46"/>
      <c r="AG326" s="46"/>
      <c r="AH326" s="46"/>
      <c r="AI326" s="46"/>
      <c r="AJ326" s="46"/>
      <c r="AK326" s="46"/>
      <c r="AL326" s="46"/>
      <c r="AM326" s="45">
        <f>SUM(C326:AL326)</f>
        <v>0</v>
      </c>
      <c r="AN326" s="33"/>
      <c r="AO326" s="34" t="str">
        <f>IF(AP326&lt;5,"NO ",IF(AP326=5,"ok",IF(AP326&gt;5,"ok")))</f>
        <v xml:space="preserve">NO </v>
      </c>
      <c r="AP326" s="154">
        <f>AP324-AP325-AP327</f>
        <v>0</v>
      </c>
      <c r="AQ326" s="154"/>
      <c r="AR326" s="16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</row>
    <row r="327" spans="1:81" ht="17.100000000000001" customHeight="1" outlineLevel="1">
      <c r="A327" s="152"/>
      <c r="B327" s="153"/>
      <c r="C327" s="47" t="str">
        <f>IF(C325="","",C326-C330*$AM330-C331*$AM331-C332*$AM332-C333*$AM333-C334*$AM334-C335*$AM335-C336*$AM336-C337*$AM337)</f>
        <v/>
      </c>
      <c r="D327" s="47" t="str">
        <f t="shared" ref="D327" si="1215">IF(D325="","",D326-D330*$AM330-D331*$AM331-D332*$AM332-D333*$AM333-D334*$AM334-D335*$AM335-D336*$AM336-D337*$AM337)</f>
        <v/>
      </c>
      <c r="E327" s="47" t="str">
        <f t="shared" ref="E327" si="1216">IF(E325="","",E326-E330*$AM330-E331*$AM331-E332*$AM332-E333*$AM333-E334*$AM334-E335*$AM335-E336*$AM336-E337*$AM337)</f>
        <v/>
      </c>
      <c r="F327" s="47" t="str">
        <f t="shared" ref="F327" si="1217">IF(F325="","",F326-F330*$AM330-F331*$AM331-F332*$AM332-F333*$AM333-F334*$AM334-F335*$AM335-F336*$AM336-F337*$AM337)</f>
        <v/>
      </c>
      <c r="G327" s="47" t="str">
        <f t="shared" ref="G327" si="1218">IF(G325="","",G326-G330*$AM330-G331*$AM331-G332*$AM332-G333*$AM333-G334*$AM334-G335*$AM335-G336*$AM336-G337*$AM337)</f>
        <v/>
      </c>
      <c r="H327" s="47" t="str">
        <f t="shared" ref="H327" si="1219">IF(H325="","",H326-H330*$AM330-H331*$AM331-H332*$AM332-H333*$AM333-H334*$AM334-H335*$AM335-H336*$AM336-H337*$AM337)</f>
        <v/>
      </c>
      <c r="I327" s="47" t="str">
        <f t="shared" ref="I327" si="1220">IF(I325="","",I326-I330*$AM330-I331*$AM331-I332*$AM332-I333*$AM333-I334*$AM334-I335*$AM335-I336*$AM336-I337*$AM337)</f>
        <v/>
      </c>
      <c r="J327" s="47" t="str">
        <f t="shared" ref="J327" si="1221">IF(J325="","",J326-J330*$AM330-J331*$AM331-J332*$AM332-J333*$AM333-J334*$AM334-J335*$AM335-J336*$AM336-J337*$AM337)</f>
        <v/>
      </c>
      <c r="K327" s="47" t="str">
        <f t="shared" ref="K327" si="1222">IF(K325="","",K326-K330*$AM330-K331*$AM331-K332*$AM332-K333*$AM333-K334*$AM334-K335*$AM335-K336*$AM336-K337*$AM337)</f>
        <v/>
      </c>
      <c r="L327" s="47" t="str">
        <f t="shared" ref="L327" si="1223">IF(L325="","",L326-L330*$AM330-L331*$AM331-L332*$AM332-L333*$AM333-L334*$AM334-L335*$AM335-L336*$AM336-L337*$AM337)</f>
        <v/>
      </c>
      <c r="M327" s="47" t="str">
        <f t="shared" ref="M327" si="1224">IF(M325="","",M326-M330*$AM330-M331*$AM331-M332*$AM332-M333*$AM333-M334*$AM334-M335*$AM335-M336*$AM336-M337*$AM337)</f>
        <v/>
      </c>
      <c r="N327" s="47" t="str">
        <f t="shared" ref="N327" si="1225">IF(N325="","",N326-N330*$AM330-N331*$AM331-N332*$AM332-N333*$AM333-N334*$AM334-N335*$AM335-N336*$AM336-N337*$AM337)</f>
        <v/>
      </c>
      <c r="O327" s="47" t="str">
        <f t="shared" ref="O327" si="1226">IF(O325="","",O326-O330*$AM330-O331*$AM331-O332*$AM332-O333*$AM333-O334*$AM334-O335*$AM335-O336*$AM336-O337*$AM337)</f>
        <v/>
      </c>
      <c r="P327" s="47" t="str">
        <f t="shared" ref="P327" si="1227">IF(P325="","",P326-P330*$AM330-P331*$AM331-P332*$AM332-P333*$AM333-P334*$AM334-P335*$AM335-P336*$AM336-P337*$AM337)</f>
        <v/>
      </c>
      <c r="Q327" s="47" t="str">
        <f t="shared" ref="Q327" si="1228">IF(Q325="","",Q326-Q330*$AM330-Q331*$AM331-Q332*$AM332-Q333*$AM333-Q334*$AM334-Q335*$AM335-Q336*$AM336-Q337*$AM337)</f>
        <v/>
      </c>
      <c r="R327" s="47" t="str">
        <f t="shared" ref="R327" si="1229">IF(R325="","",R326-R330*$AM330-R331*$AM331-R332*$AM332-R333*$AM333-R334*$AM334-R335*$AM335-R336*$AM336-R337*$AM337)</f>
        <v/>
      </c>
      <c r="S327" s="47" t="str">
        <f t="shared" ref="S327" si="1230">IF(S325="","",S326-S330*$AM330-S331*$AM331-S332*$AM332-S333*$AM333-S334*$AM334-S335*$AM335-S336*$AM336-S337*$AM337)</f>
        <v/>
      </c>
      <c r="T327" s="47" t="str">
        <f t="shared" ref="T327" si="1231">IF(T325="","",T326-T330*$AM330-T331*$AM331-T332*$AM332-T333*$AM333-T334*$AM334-T335*$AM335-T336*$AM336-T337*$AM337)</f>
        <v/>
      </c>
      <c r="U327" s="47" t="str">
        <f t="shared" ref="U327" si="1232">IF(U325="","",U326-U330*$AM330-U331*$AM331-U332*$AM332-U333*$AM333-U334*$AM334-U335*$AM335-U336*$AM336-U337*$AM337)</f>
        <v/>
      </c>
      <c r="V327" s="47" t="str">
        <f t="shared" ref="V327" si="1233">IF(V325="","",V326-V330*$AM330-V331*$AM331-V332*$AM332-V333*$AM333-V334*$AM334-V335*$AM335-V336*$AM336-V337*$AM337)</f>
        <v/>
      </c>
      <c r="W327" s="47" t="str">
        <f t="shared" ref="W327" si="1234">IF(W325="","",W326-W330*$AM330-W331*$AM331-W332*$AM332-W333*$AM333-W334*$AM334-W335*$AM335-W336*$AM336-W337*$AM337)</f>
        <v/>
      </c>
      <c r="X327" s="47" t="str">
        <f t="shared" ref="X327" si="1235">IF(X325="","",X326-X330*$AM330-X331*$AM331-X332*$AM332-X333*$AM333-X334*$AM334-X335*$AM335-X336*$AM336-X337*$AM337)</f>
        <v/>
      </c>
      <c r="Y327" s="47" t="str">
        <f t="shared" ref="Y327" si="1236">IF(Y325="","",Y326-Y330*$AM330-Y331*$AM331-Y332*$AM332-Y333*$AM333-Y334*$AM334-Y335*$AM335-Y336*$AM336-Y337*$AM337)</f>
        <v/>
      </c>
      <c r="Z327" s="47" t="str">
        <f t="shared" ref="Z327" si="1237">IF(Z325="","",Z326-Z330*$AM330-Z331*$AM331-Z332*$AM332-Z333*$AM333-Z334*$AM334-Z335*$AM335-Z336*$AM336-Z337*$AM337)</f>
        <v/>
      </c>
      <c r="AA327" s="47" t="str">
        <f t="shared" ref="AA327" si="1238">IF(AA325="","",AA326-AA330*$AM330-AA331*$AM331-AA332*$AM332-AA333*$AM333-AA334*$AM334-AA335*$AM335-AA336*$AM336-AA337*$AM337)</f>
        <v/>
      </c>
      <c r="AB327" s="47" t="str">
        <f t="shared" ref="AB327" si="1239">IF(AB325="","",AB326-AB330*$AM330-AB331*$AM331-AB332*$AM332-AB333*$AM333-AB334*$AM334-AB335*$AM335-AB336*$AM336-AB337*$AM337)</f>
        <v/>
      </c>
      <c r="AC327" s="47" t="str">
        <f t="shared" ref="AC327" si="1240">IF(AC325="","",AC326-AC330*$AM330-AC331*$AM331-AC332*$AM332-AC333*$AM333-AC334*$AM334-AC335*$AM335-AC336*$AM336-AC337*$AM337)</f>
        <v/>
      </c>
      <c r="AD327" s="47" t="str">
        <f t="shared" ref="AD327" si="1241">IF(AD325="","",AD326-AD330*$AM330-AD331*$AM331-AD332*$AM332-AD333*$AM333-AD334*$AM334-AD335*$AM335-AD336*$AM336-AD337*$AM337)</f>
        <v/>
      </c>
      <c r="AE327" s="47" t="str">
        <f t="shared" ref="AE327" si="1242">IF(AE325="","",AE326-AE330*$AM330-AE331*$AM331-AE332*$AM332-AE333*$AM333-AE334*$AM334-AE335*$AM335-AE336*$AM336-AE337*$AM337)</f>
        <v/>
      </c>
      <c r="AF327" s="47" t="str">
        <f t="shared" ref="AF327" si="1243">IF(AF325="","",AF326-AF330*$AM330-AF331*$AM331-AF332*$AM332-AF333*$AM333-AF334*$AM334-AF335*$AM335-AF336*$AM336-AF337*$AM337)</f>
        <v/>
      </c>
      <c r="AG327" s="47" t="str">
        <f t="shared" ref="AG327" si="1244">IF(AG325="","",AG326-AG330*$AM330-AG331*$AM331-AG332*$AM332-AG333*$AM333-AG334*$AM334-AG335*$AM335-AG336*$AM336-AG337*$AM337)</f>
        <v/>
      </c>
      <c r="AH327" s="47" t="str">
        <f t="shared" ref="AH327" si="1245">IF(AH325="","",AH326-AH330*$AM330-AH331*$AM331-AH332*$AM332-AH333*$AM333-AH334*$AM334-AH335*$AM335-AH336*$AM336-AH337*$AM337)</f>
        <v/>
      </c>
      <c r="AI327" s="47" t="str">
        <f t="shared" ref="AI327" si="1246">IF(AI325="","",AI326-AI330*$AM330-AI331*$AM331-AI332*$AM332-AI333*$AM333-AI334*$AM334-AI335*$AM335-AI336*$AM336-AI337*$AM337)</f>
        <v/>
      </c>
      <c r="AJ327" s="47" t="str">
        <f t="shared" ref="AJ327" si="1247">IF(AJ325="","",AJ326-AJ330*$AM330-AJ331*$AM331-AJ332*$AM332-AJ333*$AM333-AJ334*$AM334-AJ335*$AM335-AJ336*$AM336-AJ337*$AM337)</f>
        <v/>
      </c>
      <c r="AK327" s="47" t="str">
        <f>IF(AK325="","",AK326-AK330*$AM330-AK331*$AM331-AK332*$AM332-AK333*$AM333-AK334*$AM334-AK335*$AM335-AK336*$AM336-AK337*$AM337)</f>
        <v/>
      </c>
      <c r="AL327" s="47" t="str">
        <f t="shared" ref="AL327" si="1248">IF(AL325="","",AL326-AL330*$AM330-AL331*$AM331-AL332*$AM332-AL333*$AM333-AL334*$AM334-AL335*$AM335-AL336*$AM336-AL337*$AM337)</f>
        <v/>
      </c>
      <c r="AM327" s="45">
        <f>SUM(C327:AL327)</f>
        <v>0</v>
      </c>
      <c r="AN327" s="155" t="s">
        <v>33</v>
      </c>
      <c r="AO327" s="156"/>
      <c r="AP327" s="157"/>
      <c r="AQ327" s="158"/>
      <c r="AR327" s="17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</row>
    <row r="328" spans="1:81" ht="17.100000000000001" customHeight="1" outlineLevel="1">
      <c r="A328" s="177" t="s">
        <v>20</v>
      </c>
      <c r="B328" s="178"/>
      <c r="C328" s="181" t="s">
        <v>0</v>
      </c>
      <c r="D328" s="182"/>
      <c r="E328" s="182"/>
      <c r="F328" s="182"/>
      <c r="G328" s="182"/>
      <c r="H328" s="182"/>
      <c r="I328" s="182"/>
      <c r="J328" s="182"/>
      <c r="K328" s="182"/>
      <c r="L328" s="182"/>
      <c r="M328" s="182"/>
      <c r="N328" s="182"/>
      <c r="O328" s="182"/>
      <c r="P328" s="182"/>
      <c r="Q328" s="182"/>
      <c r="R328" s="182"/>
      <c r="S328" s="182"/>
      <c r="T328" s="182"/>
      <c r="U328" s="182"/>
      <c r="V328" s="182"/>
      <c r="W328" s="182"/>
      <c r="X328" s="182"/>
      <c r="Y328" s="182"/>
      <c r="Z328" s="182"/>
      <c r="AA328" s="182"/>
      <c r="AB328" s="182"/>
      <c r="AC328" s="182"/>
      <c r="AD328" s="182"/>
      <c r="AE328" s="182"/>
      <c r="AF328" s="182"/>
      <c r="AG328" s="182"/>
      <c r="AH328" s="182"/>
      <c r="AI328" s="182"/>
      <c r="AJ328" s="182"/>
      <c r="AK328" s="182"/>
      <c r="AL328" s="183"/>
      <c r="AM328" s="187" t="s">
        <v>1</v>
      </c>
      <c r="AN328" s="200" t="s">
        <v>11</v>
      </c>
      <c r="AO328" s="196" t="s">
        <v>12</v>
      </c>
      <c r="AP328" s="197"/>
      <c r="AQ328" s="193" t="s">
        <v>6</v>
      </c>
      <c r="AR328" s="24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</row>
    <row r="329" spans="1:81" ht="17.100000000000001" customHeight="1" outlineLevel="1">
      <c r="A329" s="179"/>
      <c r="B329" s="180"/>
      <c r="C329" s="184"/>
      <c r="D329" s="185"/>
      <c r="E329" s="185"/>
      <c r="F329" s="185"/>
      <c r="G329" s="185"/>
      <c r="H329" s="185"/>
      <c r="I329" s="185"/>
      <c r="J329" s="185"/>
      <c r="K329" s="185"/>
      <c r="L329" s="185"/>
      <c r="M329" s="185"/>
      <c r="N329" s="185"/>
      <c r="O329" s="185"/>
      <c r="P329" s="185"/>
      <c r="Q329" s="185"/>
      <c r="R329" s="185"/>
      <c r="S329" s="185"/>
      <c r="T329" s="185"/>
      <c r="U329" s="185"/>
      <c r="V329" s="185"/>
      <c r="W329" s="185"/>
      <c r="X329" s="185"/>
      <c r="Y329" s="185"/>
      <c r="Z329" s="185"/>
      <c r="AA329" s="185"/>
      <c r="AB329" s="185"/>
      <c r="AC329" s="185"/>
      <c r="AD329" s="185"/>
      <c r="AE329" s="185"/>
      <c r="AF329" s="185"/>
      <c r="AG329" s="185"/>
      <c r="AH329" s="185"/>
      <c r="AI329" s="185"/>
      <c r="AJ329" s="185"/>
      <c r="AK329" s="185"/>
      <c r="AL329" s="186"/>
      <c r="AM329" s="188"/>
      <c r="AN329" s="190"/>
      <c r="AO329" s="18" t="s">
        <v>3</v>
      </c>
      <c r="AP329" s="19" t="s">
        <v>13</v>
      </c>
      <c r="AQ329" s="172"/>
      <c r="AR329" s="27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</row>
    <row r="330" spans="1:81" ht="17.100000000000001" customHeight="1" outlineLevel="1">
      <c r="A330" s="173"/>
      <c r="B330" s="30" t="s">
        <v>21</v>
      </c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39"/>
      <c r="P330" s="39"/>
      <c r="Q330" s="39"/>
      <c r="R330" s="39"/>
      <c r="S330" s="39"/>
      <c r="T330" s="39"/>
      <c r="U330" s="39"/>
      <c r="V330" s="39"/>
      <c r="W330" s="39"/>
      <c r="X330" s="39"/>
      <c r="Y330" s="39"/>
      <c r="Z330" s="39"/>
      <c r="AA330" s="39"/>
      <c r="AB330" s="39"/>
      <c r="AC330" s="39"/>
      <c r="AD330" s="39"/>
      <c r="AE330" s="39"/>
      <c r="AF330" s="39"/>
      <c r="AG330" s="39"/>
      <c r="AH330" s="39"/>
      <c r="AI330" s="39"/>
      <c r="AJ330" s="39"/>
      <c r="AK330" s="39"/>
      <c r="AL330" s="39"/>
      <c r="AM330" s="39"/>
      <c r="AN330" s="40" t="str">
        <f>IF(AM330="","",SUM(C330:AL330)*AM330)</f>
        <v/>
      </c>
      <c r="AO330" s="39"/>
      <c r="AP330" s="39"/>
      <c r="AQ330" s="42">
        <f>(AO330+AR330)*AM330</f>
        <v>0</v>
      </c>
      <c r="AR330" s="25">
        <f>AP330/36</f>
        <v>0</v>
      </c>
      <c r="AT330" s="3" t="str">
        <f t="shared" ref="AT330:CA330" si="1249">IF(C330=0,"",ROUNDUP(C327/C330,0))</f>
        <v/>
      </c>
      <c r="AU330" s="3" t="str">
        <f t="shared" si="1249"/>
        <v/>
      </c>
      <c r="AV330" s="3" t="str">
        <f t="shared" si="1249"/>
        <v/>
      </c>
      <c r="AW330" s="3" t="str">
        <f t="shared" si="1249"/>
        <v/>
      </c>
      <c r="AX330" s="3" t="str">
        <f t="shared" si="1249"/>
        <v/>
      </c>
      <c r="AY330" s="3" t="str">
        <f t="shared" si="1249"/>
        <v/>
      </c>
      <c r="AZ330" s="3" t="str">
        <f t="shared" si="1249"/>
        <v/>
      </c>
      <c r="BA330" s="3" t="str">
        <f t="shared" si="1249"/>
        <v/>
      </c>
      <c r="BB330" s="3" t="str">
        <f t="shared" si="1249"/>
        <v/>
      </c>
      <c r="BC330" s="3" t="str">
        <f t="shared" si="1249"/>
        <v/>
      </c>
      <c r="BD330" s="3" t="str">
        <f t="shared" si="1249"/>
        <v/>
      </c>
      <c r="BE330" s="3" t="str">
        <f t="shared" si="1249"/>
        <v/>
      </c>
      <c r="BF330" s="3" t="str">
        <f t="shared" si="1249"/>
        <v/>
      </c>
      <c r="BG330" s="3" t="str">
        <f t="shared" si="1249"/>
        <v/>
      </c>
      <c r="BH330" s="3" t="str">
        <f t="shared" si="1249"/>
        <v/>
      </c>
      <c r="BI330" s="3" t="str">
        <f t="shared" si="1249"/>
        <v/>
      </c>
      <c r="BJ330" s="3" t="str">
        <f t="shared" si="1249"/>
        <v/>
      </c>
      <c r="BK330" s="3" t="str">
        <f t="shared" si="1249"/>
        <v/>
      </c>
      <c r="BL330" s="3" t="str">
        <f t="shared" si="1249"/>
        <v/>
      </c>
      <c r="BM330" s="3" t="str">
        <f t="shared" si="1249"/>
        <v/>
      </c>
      <c r="BN330" s="3" t="str">
        <f t="shared" si="1249"/>
        <v/>
      </c>
      <c r="BO330" s="3" t="str">
        <f t="shared" si="1249"/>
        <v/>
      </c>
      <c r="BP330" s="3" t="str">
        <f t="shared" si="1249"/>
        <v/>
      </c>
      <c r="BQ330" s="3" t="str">
        <f t="shared" si="1249"/>
        <v/>
      </c>
      <c r="BR330" s="3" t="str">
        <f t="shared" si="1249"/>
        <v/>
      </c>
      <c r="BS330" s="3" t="str">
        <f t="shared" si="1249"/>
        <v/>
      </c>
      <c r="BT330" s="3" t="str">
        <f t="shared" si="1249"/>
        <v/>
      </c>
      <c r="BU330" s="3" t="str">
        <f t="shared" si="1249"/>
        <v/>
      </c>
      <c r="BV330" s="3" t="str">
        <f t="shared" si="1249"/>
        <v/>
      </c>
      <c r="BW330" s="3" t="str">
        <f t="shared" si="1249"/>
        <v/>
      </c>
      <c r="BX330" s="3" t="str">
        <f t="shared" si="1249"/>
        <v/>
      </c>
      <c r="BY330" s="3" t="str">
        <f t="shared" si="1249"/>
        <v/>
      </c>
      <c r="BZ330" s="3" t="str">
        <f t="shared" si="1249"/>
        <v/>
      </c>
      <c r="CA330" s="3" t="str">
        <f t="shared" si="1249"/>
        <v/>
      </c>
      <c r="CB330" s="3" t="str">
        <f t="shared" ref="CB330" si="1250">IF(AK330=0,"",ROUNDUP(AK327/AK330,0))</f>
        <v/>
      </c>
      <c r="CC330" s="3" t="str">
        <f t="shared" ref="CC330" si="1251">IF(AL330=0,"",ROUNDUP(AL327/AL330,0))</f>
        <v/>
      </c>
    </row>
    <row r="331" spans="1:81" ht="17.100000000000001" customHeight="1" outlineLevel="1">
      <c r="A331" s="174"/>
      <c r="B331" s="30" t="s">
        <v>22</v>
      </c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39"/>
      <c r="P331" s="39"/>
      <c r="Q331" s="39"/>
      <c r="R331" s="39"/>
      <c r="S331" s="39"/>
      <c r="T331" s="39"/>
      <c r="U331" s="39"/>
      <c r="V331" s="39"/>
      <c r="W331" s="39"/>
      <c r="X331" s="39"/>
      <c r="Y331" s="39"/>
      <c r="Z331" s="39"/>
      <c r="AA331" s="39"/>
      <c r="AB331" s="39"/>
      <c r="AC331" s="39"/>
      <c r="AD331" s="39"/>
      <c r="AE331" s="39"/>
      <c r="AF331" s="39"/>
      <c r="AG331" s="39"/>
      <c r="AH331" s="39"/>
      <c r="AI331" s="39"/>
      <c r="AJ331" s="39"/>
      <c r="AK331" s="39"/>
      <c r="AL331" s="39"/>
      <c r="AM331" s="39"/>
      <c r="AN331" s="40" t="str">
        <f t="shared" ref="AN331:AN334" si="1252">IF(AM331="","",SUM(C331:AL331)*AM331)</f>
        <v/>
      </c>
      <c r="AO331" s="39"/>
      <c r="AP331" s="39"/>
      <c r="AQ331" s="42">
        <f t="shared" ref="AQ331:AQ337" si="1253">(AO331+AR331)*AM331</f>
        <v>0</v>
      </c>
      <c r="AR331" s="25">
        <f t="shared" ref="AR331:AR337" si="1254">AP331/36</f>
        <v>0</v>
      </c>
      <c r="AT331" s="3" t="str">
        <f t="shared" ref="AT331:CA331" si="1255">IF(C331=0,"",ROUNDUP(C327/C331,0))</f>
        <v/>
      </c>
      <c r="AU331" s="3" t="str">
        <f t="shared" si="1255"/>
        <v/>
      </c>
      <c r="AV331" s="3" t="str">
        <f t="shared" si="1255"/>
        <v/>
      </c>
      <c r="AW331" s="3" t="str">
        <f t="shared" si="1255"/>
        <v/>
      </c>
      <c r="AX331" s="3" t="str">
        <f t="shared" si="1255"/>
        <v/>
      </c>
      <c r="AY331" s="3" t="str">
        <f t="shared" si="1255"/>
        <v/>
      </c>
      <c r="AZ331" s="3" t="str">
        <f t="shared" si="1255"/>
        <v/>
      </c>
      <c r="BA331" s="3" t="str">
        <f t="shared" si="1255"/>
        <v/>
      </c>
      <c r="BB331" s="3" t="str">
        <f t="shared" si="1255"/>
        <v/>
      </c>
      <c r="BC331" s="3" t="str">
        <f t="shared" si="1255"/>
        <v/>
      </c>
      <c r="BD331" s="3" t="str">
        <f t="shared" si="1255"/>
        <v/>
      </c>
      <c r="BE331" s="3" t="str">
        <f t="shared" si="1255"/>
        <v/>
      </c>
      <c r="BF331" s="3" t="str">
        <f t="shared" si="1255"/>
        <v/>
      </c>
      <c r="BG331" s="3" t="str">
        <f t="shared" si="1255"/>
        <v/>
      </c>
      <c r="BH331" s="3" t="str">
        <f t="shared" si="1255"/>
        <v/>
      </c>
      <c r="BI331" s="3" t="str">
        <f t="shared" si="1255"/>
        <v/>
      </c>
      <c r="BJ331" s="3" t="str">
        <f t="shared" si="1255"/>
        <v/>
      </c>
      <c r="BK331" s="3" t="str">
        <f t="shared" si="1255"/>
        <v/>
      </c>
      <c r="BL331" s="3" t="str">
        <f t="shared" si="1255"/>
        <v/>
      </c>
      <c r="BM331" s="3" t="str">
        <f t="shared" si="1255"/>
        <v/>
      </c>
      <c r="BN331" s="3" t="str">
        <f t="shared" si="1255"/>
        <v/>
      </c>
      <c r="BO331" s="3" t="str">
        <f t="shared" si="1255"/>
        <v/>
      </c>
      <c r="BP331" s="3" t="str">
        <f t="shared" si="1255"/>
        <v/>
      </c>
      <c r="BQ331" s="3" t="str">
        <f t="shared" si="1255"/>
        <v/>
      </c>
      <c r="BR331" s="3" t="str">
        <f t="shared" si="1255"/>
        <v/>
      </c>
      <c r="BS331" s="3" t="str">
        <f t="shared" si="1255"/>
        <v/>
      </c>
      <c r="BT331" s="3" t="str">
        <f t="shared" si="1255"/>
        <v/>
      </c>
      <c r="BU331" s="3" t="str">
        <f t="shared" si="1255"/>
        <v/>
      </c>
      <c r="BV331" s="3" t="str">
        <f t="shared" si="1255"/>
        <v/>
      </c>
      <c r="BW331" s="3" t="str">
        <f t="shared" si="1255"/>
        <v/>
      </c>
      <c r="BX331" s="3" t="str">
        <f t="shared" si="1255"/>
        <v/>
      </c>
      <c r="BY331" s="3" t="str">
        <f t="shared" si="1255"/>
        <v/>
      </c>
      <c r="BZ331" s="3" t="str">
        <f t="shared" si="1255"/>
        <v/>
      </c>
      <c r="CA331" s="3" t="str">
        <f t="shared" si="1255"/>
        <v/>
      </c>
      <c r="CB331" s="3" t="str">
        <f t="shared" ref="CB331" si="1256">IF(AK331=0,"",ROUNDUP(AK327/AK331,0))</f>
        <v/>
      </c>
      <c r="CC331" s="3" t="str">
        <f t="shared" ref="CC331" si="1257">IF(AL331=0,"",ROUNDUP(AL327/AL331,0))</f>
        <v/>
      </c>
    </row>
    <row r="332" spans="1:81" ht="17.100000000000001" customHeight="1" outlineLevel="1">
      <c r="A332" s="174"/>
      <c r="B332" s="30" t="s">
        <v>23</v>
      </c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39"/>
      <c r="P332" s="39"/>
      <c r="Q332" s="39"/>
      <c r="R332" s="39"/>
      <c r="S332" s="39"/>
      <c r="T332" s="39"/>
      <c r="U332" s="39"/>
      <c r="V332" s="39"/>
      <c r="W332" s="39"/>
      <c r="X332" s="39"/>
      <c r="Y332" s="39"/>
      <c r="Z332" s="39"/>
      <c r="AA332" s="39"/>
      <c r="AB332" s="39"/>
      <c r="AC332" s="39"/>
      <c r="AD332" s="39"/>
      <c r="AE332" s="39"/>
      <c r="AF332" s="39"/>
      <c r="AG332" s="39"/>
      <c r="AH332" s="39"/>
      <c r="AI332" s="39"/>
      <c r="AJ332" s="39"/>
      <c r="AK332" s="39"/>
      <c r="AL332" s="39"/>
      <c r="AM332" s="39"/>
      <c r="AN332" s="40" t="str">
        <f t="shared" si="1252"/>
        <v/>
      </c>
      <c r="AO332" s="39"/>
      <c r="AP332" s="39"/>
      <c r="AQ332" s="42">
        <f t="shared" si="1253"/>
        <v>0</v>
      </c>
      <c r="AR332" s="25">
        <f t="shared" si="1254"/>
        <v>0</v>
      </c>
      <c r="AT332" s="3" t="str">
        <f t="shared" ref="AT332:CA332" si="1258">IF(C332=0,"",ROUNDUP(C327/C332,0))</f>
        <v/>
      </c>
      <c r="AU332" s="3" t="str">
        <f t="shared" si="1258"/>
        <v/>
      </c>
      <c r="AV332" s="3" t="str">
        <f t="shared" si="1258"/>
        <v/>
      </c>
      <c r="AW332" s="3" t="str">
        <f t="shared" si="1258"/>
        <v/>
      </c>
      <c r="AX332" s="3" t="str">
        <f t="shared" si="1258"/>
        <v/>
      </c>
      <c r="AY332" s="3" t="str">
        <f t="shared" si="1258"/>
        <v/>
      </c>
      <c r="AZ332" s="3" t="str">
        <f t="shared" si="1258"/>
        <v/>
      </c>
      <c r="BA332" s="3" t="str">
        <f t="shared" si="1258"/>
        <v/>
      </c>
      <c r="BB332" s="3" t="str">
        <f t="shared" si="1258"/>
        <v/>
      </c>
      <c r="BC332" s="3" t="str">
        <f t="shared" si="1258"/>
        <v/>
      </c>
      <c r="BD332" s="3" t="str">
        <f t="shared" si="1258"/>
        <v/>
      </c>
      <c r="BE332" s="3" t="str">
        <f t="shared" si="1258"/>
        <v/>
      </c>
      <c r="BF332" s="3" t="str">
        <f t="shared" si="1258"/>
        <v/>
      </c>
      <c r="BG332" s="3" t="str">
        <f t="shared" si="1258"/>
        <v/>
      </c>
      <c r="BH332" s="3" t="str">
        <f t="shared" si="1258"/>
        <v/>
      </c>
      <c r="BI332" s="3" t="str">
        <f t="shared" si="1258"/>
        <v/>
      </c>
      <c r="BJ332" s="3" t="str">
        <f t="shared" si="1258"/>
        <v/>
      </c>
      <c r="BK332" s="3" t="str">
        <f t="shared" si="1258"/>
        <v/>
      </c>
      <c r="BL332" s="3" t="str">
        <f t="shared" si="1258"/>
        <v/>
      </c>
      <c r="BM332" s="3" t="str">
        <f t="shared" si="1258"/>
        <v/>
      </c>
      <c r="BN332" s="3" t="str">
        <f t="shared" si="1258"/>
        <v/>
      </c>
      <c r="BO332" s="3" t="str">
        <f t="shared" si="1258"/>
        <v/>
      </c>
      <c r="BP332" s="3" t="str">
        <f t="shared" si="1258"/>
        <v/>
      </c>
      <c r="BQ332" s="3" t="str">
        <f t="shared" si="1258"/>
        <v/>
      </c>
      <c r="BR332" s="3" t="str">
        <f t="shared" si="1258"/>
        <v/>
      </c>
      <c r="BS332" s="3" t="str">
        <f t="shared" si="1258"/>
        <v/>
      </c>
      <c r="BT332" s="3" t="str">
        <f t="shared" si="1258"/>
        <v/>
      </c>
      <c r="BU332" s="3" t="str">
        <f t="shared" si="1258"/>
        <v/>
      </c>
      <c r="BV332" s="3" t="str">
        <f t="shared" si="1258"/>
        <v/>
      </c>
      <c r="BW332" s="3" t="str">
        <f t="shared" si="1258"/>
        <v/>
      </c>
      <c r="BX332" s="3" t="str">
        <f t="shared" si="1258"/>
        <v/>
      </c>
      <c r="BY332" s="3" t="str">
        <f t="shared" si="1258"/>
        <v/>
      </c>
      <c r="BZ332" s="3" t="str">
        <f t="shared" si="1258"/>
        <v/>
      </c>
      <c r="CA332" s="3" t="str">
        <f t="shared" si="1258"/>
        <v/>
      </c>
      <c r="CB332" s="3" t="str">
        <f t="shared" ref="CB332" si="1259">IF(AK332=0,"",ROUNDUP(AK327/AK332,0))</f>
        <v/>
      </c>
      <c r="CC332" s="3" t="str">
        <f t="shared" ref="CC332" si="1260">IF(AL332=0,"",ROUNDUP(AL327/AL332,0))</f>
        <v/>
      </c>
    </row>
    <row r="333" spans="1:81" ht="17.100000000000001" customHeight="1" outlineLevel="1">
      <c r="A333" s="174"/>
      <c r="B333" s="30" t="s">
        <v>24</v>
      </c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39"/>
      <c r="P333" s="39"/>
      <c r="Q333" s="39"/>
      <c r="R333" s="39"/>
      <c r="S333" s="39"/>
      <c r="T333" s="39"/>
      <c r="U333" s="39"/>
      <c r="V333" s="39"/>
      <c r="W333" s="39"/>
      <c r="X333" s="39"/>
      <c r="Y333" s="39"/>
      <c r="Z333" s="39"/>
      <c r="AA333" s="39"/>
      <c r="AB333" s="39"/>
      <c r="AC333" s="39"/>
      <c r="AD333" s="39"/>
      <c r="AE333" s="39"/>
      <c r="AF333" s="39"/>
      <c r="AG333" s="39"/>
      <c r="AH333" s="39"/>
      <c r="AI333" s="39"/>
      <c r="AJ333" s="39"/>
      <c r="AK333" s="39"/>
      <c r="AL333" s="39"/>
      <c r="AM333" s="39"/>
      <c r="AN333" s="40" t="str">
        <f t="shared" si="1252"/>
        <v/>
      </c>
      <c r="AO333" s="39"/>
      <c r="AP333" s="39"/>
      <c r="AQ333" s="42">
        <f t="shared" si="1253"/>
        <v>0</v>
      </c>
      <c r="AR333" s="25">
        <f t="shared" si="1254"/>
        <v>0</v>
      </c>
      <c r="AT333" s="3" t="str">
        <f t="shared" ref="AT333:CA333" si="1261">IF(C333=0,"",ROUNDUP(C327/C333,0))</f>
        <v/>
      </c>
      <c r="AU333" s="3" t="str">
        <f t="shared" si="1261"/>
        <v/>
      </c>
      <c r="AV333" s="3" t="str">
        <f t="shared" si="1261"/>
        <v/>
      </c>
      <c r="AW333" s="3" t="str">
        <f t="shared" si="1261"/>
        <v/>
      </c>
      <c r="AX333" s="3" t="str">
        <f t="shared" si="1261"/>
        <v/>
      </c>
      <c r="AY333" s="3" t="str">
        <f t="shared" si="1261"/>
        <v/>
      </c>
      <c r="AZ333" s="3" t="str">
        <f t="shared" si="1261"/>
        <v/>
      </c>
      <c r="BA333" s="3" t="str">
        <f t="shared" si="1261"/>
        <v/>
      </c>
      <c r="BB333" s="3" t="str">
        <f t="shared" si="1261"/>
        <v/>
      </c>
      <c r="BC333" s="3" t="str">
        <f t="shared" si="1261"/>
        <v/>
      </c>
      <c r="BD333" s="3" t="str">
        <f t="shared" si="1261"/>
        <v/>
      </c>
      <c r="BE333" s="3" t="str">
        <f t="shared" si="1261"/>
        <v/>
      </c>
      <c r="BF333" s="3" t="str">
        <f t="shared" si="1261"/>
        <v/>
      </c>
      <c r="BG333" s="3" t="str">
        <f t="shared" si="1261"/>
        <v/>
      </c>
      <c r="BH333" s="3" t="str">
        <f t="shared" si="1261"/>
        <v/>
      </c>
      <c r="BI333" s="3" t="str">
        <f t="shared" si="1261"/>
        <v/>
      </c>
      <c r="BJ333" s="3" t="str">
        <f t="shared" si="1261"/>
        <v/>
      </c>
      <c r="BK333" s="3" t="str">
        <f t="shared" si="1261"/>
        <v/>
      </c>
      <c r="BL333" s="3" t="str">
        <f t="shared" si="1261"/>
        <v/>
      </c>
      <c r="BM333" s="3" t="str">
        <f t="shared" si="1261"/>
        <v/>
      </c>
      <c r="BN333" s="3" t="str">
        <f t="shared" si="1261"/>
        <v/>
      </c>
      <c r="BO333" s="3" t="str">
        <f t="shared" si="1261"/>
        <v/>
      </c>
      <c r="BP333" s="3" t="str">
        <f t="shared" si="1261"/>
        <v/>
      </c>
      <c r="BQ333" s="3" t="str">
        <f t="shared" si="1261"/>
        <v/>
      </c>
      <c r="BR333" s="3" t="str">
        <f t="shared" si="1261"/>
        <v/>
      </c>
      <c r="BS333" s="3" t="str">
        <f t="shared" si="1261"/>
        <v/>
      </c>
      <c r="BT333" s="3" t="str">
        <f t="shared" si="1261"/>
        <v/>
      </c>
      <c r="BU333" s="3" t="str">
        <f t="shared" si="1261"/>
        <v/>
      </c>
      <c r="BV333" s="3" t="str">
        <f t="shared" si="1261"/>
        <v/>
      </c>
      <c r="BW333" s="3" t="str">
        <f t="shared" si="1261"/>
        <v/>
      </c>
      <c r="BX333" s="3" t="str">
        <f t="shared" si="1261"/>
        <v/>
      </c>
      <c r="BY333" s="3" t="str">
        <f t="shared" si="1261"/>
        <v/>
      </c>
      <c r="BZ333" s="3" t="str">
        <f t="shared" si="1261"/>
        <v/>
      </c>
      <c r="CA333" s="3" t="str">
        <f t="shared" si="1261"/>
        <v/>
      </c>
      <c r="CB333" s="3" t="str">
        <f t="shared" ref="CB333" si="1262">IF(AK333=0,"",ROUNDUP(AK327/AK333,0))</f>
        <v/>
      </c>
      <c r="CC333" s="3" t="str">
        <f t="shared" ref="CC333" si="1263">IF(AL333=0,"",ROUNDUP(AL327/AL333,0))</f>
        <v/>
      </c>
    </row>
    <row r="334" spans="1:81" ht="17.100000000000001" customHeight="1" outlineLevel="1">
      <c r="A334" s="174"/>
      <c r="B334" s="30" t="s">
        <v>25</v>
      </c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39"/>
      <c r="P334" s="39"/>
      <c r="Q334" s="39"/>
      <c r="R334" s="39"/>
      <c r="S334" s="39"/>
      <c r="T334" s="39"/>
      <c r="U334" s="39"/>
      <c r="V334" s="39"/>
      <c r="W334" s="39"/>
      <c r="X334" s="39"/>
      <c r="Y334" s="39"/>
      <c r="Z334" s="39"/>
      <c r="AA334" s="39"/>
      <c r="AB334" s="39"/>
      <c r="AC334" s="39"/>
      <c r="AD334" s="39"/>
      <c r="AE334" s="39"/>
      <c r="AF334" s="39"/>
      <c r="AG334" s="39"/>
      <c r="AH334" s="39"/>
      <c r="AI334" s="39"/>
      <c r="AJ334" s="39"/>
      <c r="AK334" s="39"/>
      <c r="AL334" s="39"/>
      <c r="AM334" s="39"/>
      <c r="AN334" s="40" t="str">
        <f t="shared" si="1252"/>
        <v/>
      </c>
      <c r="AO334" s="39"/>
      <c r="AP334" s="39"/>
      <c r="AQ334" s="42">
        <f t="shared" si="1253"/>
        <v>0</v>
      </c>
      <c r="AR334" s="25">
        <f t="shared" si="1254"/>
        <v>0</v>
      </c>
      <c r="AT334" s="3" t="str">
        <f t="shared" ref="AT334:CA334" si="1264">IF(C334=0,"",ROUNDUP(C327/C334,0))</f>
        <v/>
      </c>
      <c r="AU334" s="3" t="str">
        <f t="shared" si="1264"/>
        <v/>
      </c>
      <c r="AV334" s="3" t="str">
        <f t="shared" si="1264"/>
        <v/>
      </c>
      <c r="AW334" s="3" t="str">
        <f t="shared" si="1264"/>
        <v/>
      </c>
      <c r="AX334" s="3" t="str">
        <f t="shared" si="1264"/>
        <v/>
      </c>
      <c r="AY334" s="3" t="str">
        <f t="shared" si="1264"/>
        <v/>
      </c>
      <c r="AZ334" s="3" t="str">
        <f t="shared" si="1264"/>
        <v/>
      </c>
      <c r="BA334" s="3" t="str">
        <f t="shared" si="1264"/>
        <v/>
      </c>
      <c r="BB334" s="3" t="str">
        <f t="shared" si="1264"/>
        <v/>
      </c>
      <c r="BC334" s="3" t="str">
        <f t="shared" si="1264"/>
        <v/>
      </c>
      <c r="BD334" s="3" t="str">
        <f t="shared" si="1264"/>
        <v/>
      </c>
      <c r="BE334" s="3" t="str">
        <f t="shared" si="1264"/>
        <v/>
      </c>
      <c r="BF334" s="3" t="str">
        <f t="shared" si="1264"/>
        <v/>
      </c>
      <c r="BG334" s="3" t="str">
        <f t="shared" si="1264"/>
        <v/>
      </c>
      <c r="BH334" s="3" t="str">
        <f t="shared" si="1264"/>
        <v/>
      </c>
      <c r="BI334" s="3" t="str">
        <f t="shared" si="1264"/>
        <v/>
      </c>
      <c r="BJ334" s="3" t="str">
        <f t="shared" si="1264"/>
        <v/>
      </c>
      <c r="BK334" s="3" t="str">
        <f t="shared" si="1264"/>
        <v/>
      </c>
      <c r="BL334" s="3" t="str">
        <f t="shared" si="1264"/>
        <v/>
      </c>
      <c r="BM334" s="3" t="str">
        <f t="shared" si="1264"/>
        <v/>
      </c>
      <c r="BN334" s="3" t="str">
        <f t="shared" si="1264"/>
        <v/>
      </c>
      <c r="BO334" s="3" t="str">
        <f t="shared" si="1264"/>
        <v/>
      </c>
      <c r="BP334" s="3" t="str">
        <f t="shared" si="1264"/>
        <v/>
      </c>
      <c r="BQ334" s="3" t="str">
        <f t="shared" si="1264"/>
        <v/>
      </c>
      <c r="BR334" s="3" t="str">
        <f t="shared" si="1264"/>
        <v/>
      </c>
      <c r="BS334" s="3" t="str">
        <f t="shared" si="1264"/>
        <v/>
      </c>
      <c r="BT334" s="3" t="str">
        <f t="shared" si="1264"/>
        <v/>
      </c>
      <c r="BU334" s="3" t="str">
        <f t="shared" si="1264"/>
        <v/>
      </c>
      <c r="BV334" s="3" t="str">
        <f t="shared" si="1264"/>
        <v/>
      </c>
      <c r="BW334" s="3" t="str">
        <f t="shared" si="1264"/>
        <v/>
      </c>
      <c r="BX334" s="3" t="str">
        <f t="shared" si="1264"/>
        <v/>
      </c>
      <c r="BY334" s="3" t="str">
        <f t="shared" si="1264"/>
        <v/>
      </c>
      <c r="BZ334" s="3" t="str">
        <f t="shared" si="1264"/>
        <v/>
      </c>
      <c r="CA334" s="3" t="str">
        <f t="shared" si="1264"/>
        <v/>
      </c>
      <c r="CB334" s="3" t="str">
        <f t="shared" ref="CB334" si="1265">IF(AK334=0,"",ROUNDUP(AK327/AK334,0))</f>
        <v/>
      </c>
      <c r="CC334" s="3" t="str">
        <f t="shared" ref="CC334" si="1266">IF(AL334=0,"",ROUNDUP(AL327/AL334,0))</f>
        <v/>
      </c>
    </row>
    <row r="335" spans="1:81" ht="17.100000000000001" customHeight="1" outlineLevel="1">
      <c r="A335" s="174"/>
      <c r="B335" s="30" t="s">
        <v>26</v>
      </c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39"/>
      <c r="P335" s="39"/>
      <c r="Q335" s="39"/>
      <c r="R335" s="39"/>
      <c r="S335" s="39"/>
      <c r="T335" s="39"/>
      <c r="U335" s="39"/>
      <c r="V335" s="39"/>
      <c r="W335" s="39"/>
      <c r="X335" s="39"/>
      <c r="Y335" s="39"/>
      <c r="Z335" s="39"/>
      <c r="AA335" s="39"/>
      <c r="AB335" s="39"/>
      <c r="AC335" s="39"/>
      <c r="AD335" s="39"/>
      <c r="AE335" s="39"/>
      <c r="AF335" s="39"/>
      <c r="AG335" s="39"/>
      <c r="AH335" s="39"/>
      <c r="AI335" s="39"/>
      <c r="AJ335" s="39"/>
      <c r="AK335" s="39"/>
      <c r="AL335" s="39"/>
      <c r="AM335" s="39"/>
      <c r="AN335" s="40" t="str">
        <f>IF(AM335="","",SUM(C335:AL335)*AM335)</f>
        <v/>
      </c>
      <c r="AO335" s="39"/>
      <c r="AP335" s="39"/>
      <c r="AQ335" s="42">
        <f t="shared" si="1253"/>
        <v>0</v>
      </c>
      <c r="AR335" s="25">
        <f t="shared" si="1254"/>
        <v>0</v>
      </c>
      <c r="AT335" s="3" t="str">
        <f t="shared" ref="AT335:CA335" si="1267">IF(C335=0,"",ROUNDUP(C327/C335,0))</f>
        <v/>
      </c>
      <c r="AU335" s="3" t="str">
        <f t="shared" si="1267"/>
        <v/>
      </c>
      <c r="AV335" s="3" t="str">
        <f t="shared" si="1267"/>
        <v/>
      </c>
      <c r="AW335" s="3" t="str">
        <f t="shared" si="1267"/>
        <v/>
      </c>
      <c r="AX335" s="3" t="str">
        <f t="shared" si="1267"/>
        <v/>
      </c>
      <c r="AY335" s="3" t="str">
        <f t="shared" si="1267"/>
        <v/>
      </c>
      <c r="AZ335" s="3" t="str">
        <f t="shared" si="1267"/>
        <v/>
      </c>
      <c r="BA335" s="3" t="str">
        <f t="shared" si="1267"/>
        <v/>
      </c>
      <c r="BB335" s="3" t="str">
        <f t="shared" si="1267"/>
        <v/>
      </c>
      <c r="BC335" s="3" t="str">
        <f t="shared" si="1267"/>
        <v/>
      </c>
      <c r="BD335" s="3" t="str">
        <f t="shared" si="1267"/>
        <v/>
      </c>
      <c r="BE335" s="3" t="str">
        <f t="shared" si="1267"/>
        <v/>
      </c>
      <c r="BF335" s="3" t="str">
        <f t="shared" si="1267"/>
        <v/>
      </c>
      <c r="BG335" s="3" t="str">
        <f t="shared" si="1267"/>
        <v/>
      </c>
      <c r="BH335" s="3" t="str">
        <f t="shared" si="1267"/>
        <v/>
      </c>
      <c r="BI335" s="3" t="str">
        <f t="shared" si="1267"/>
        <v/>
      </c>
      <c r="BJ335" s="3" t="str">
        <f t="shared" si="1267"/>
        <v/>
      </c>
      <c r="BK335" s="3" t="str">
        <f t="shared" si="1267"/>
        <v/>
      </c>
      <c r="BL335" s="3" t="str">
        <f t="shared" si="1267"/>
        <v/>
      </c>
      <c r="BM335" s="3" t="str">
        <f t="shared" si="1267"/>
        <v/>
      </c>
      <c r="BN335" s="3" t="str">
        <f t="shared" si="1267"/>
        <v/>
      </c>
      <c r="BO335" s="3" t="str">
        <f t="shared" si="1267"/>
        <v/>
      </c>
      <c r="BP335" s="3" t="str">
        <f t="shared" si="1267"/>
        <v/>
      </c>
      <c r="BQ335" s="3" t="str">
        <f t="shared" si="1267"/>
        <v/>
      </c>
      <c r="BR335" s="3" t="str">
        <f t="shared" si="1267"/>
        <v/>
      </c>
      <c r="BS335" s="3" t="str">
        <f t="shared" si="1267"/>
        <v/>
      </c>
      <c r="BT335" s="3" t="str">
        <f t="shared" si="1267"/>
        <v/>
      </c>
      <c r="BU335" s="3" t="str">
        <f t="shared" si="1267"/>
        <v/>
      </c>
      <c r="BV335" s="3" t="str">
        <f t="shared" si="1267"/>
        <v/>
      </c>
      <c r="BW335" s="3" t="str">
        <f t="shared" si="1267"/>
        <v/>
      </c>
      <c r="BX335" s="3" t="str">
        <f t="shared" si="1267"/>
        <v/>
      </c>
      <c r="BY335" s="3" t="str">
        <f t="shared" si="1267"/>
        <v/>
      </c>
      <c r="BZ335" s="3" t="str">
        <f t="shared" si="1267"/>
        <v/>
      </c>
      <c r="CA335" s="3" t="str">
        <f t="shared" si="1267"/>
        <v/>
      </c>
      <c r="CB335" s="3" t="str">
        <f t="shared" ref="CB335" si="1268">IF(AK335=0,"",ROUNDUP(AK327/AK335,0))</f>
        <v/>
      </c>
      <c r="CC335" s="3" t="str">
        <f t="shared" ref="CC335" si="1269">IF(AL335=0,"",ROUNDUP(AL327/AL335,0))</f>
        <v/>
      </c>
    </row>
    <row r="336" spans="1:81" ht="17.100000000000001" customHeight="1" outlineLevel="1">
      <c r="A336" s="174"/>
      <c r="B336" s="30" t="s">
        <v>27</v>
      </c>
      <c r="C336" s="39"/>
      <c r="D336" s="39"/>
      <c r="E336" s="39"/>
      <c r="F336" s="39"/>
      <c r="G336" s="39"/>
      <c r="H336" s="39"/>
      <c r="I336" s="39"/>
      <c r="J336" s="39"/>
      <c r="K336" s="39"/>
      <c r="L336" s="39"/>
      <c r="M336" s="39"/>
      <c r="N336" s="39"/>
      <c r="O336" s="39"/>
      <c r="P336" s="39"/>
      <c r="Q336" s="39"/>
      <c r="R336" s="39"/>
      <c r="S336" s="39"/>
      <c r="T336" s="39"/>
      <c r="U336" s="39"/>
      <c r="V336" s="39"/>
      <c r="W336" s="39"/>
      <c r="X336" s="39"/>
      <c r="Y336" s="39"/>
      <c r="Z336" s="39"/>
      <c r="AA336" s="39"/>
      <c r="AB336" s="39"/>
      <c r="AC336" s="39"/>
      <c r="AD336" s="39"/>
      <c r="AE336" s="39"/>
      <c r="AF336" s="39"/>
      <c r="AG336" s="39"/>
      <c r="AH336" s="39"/>
      <c r="AI336" s="39"/>
      <c r="AJ336" s="39"/>
      <c r="AK336" s="39"/>
      <c r="AL336" s="39"/>
      <c r="AM336" s="39"/>
      <c r="AN336" s="40" t="str">
        <f t="shared" ref="AN336:AN337" si="1270">IF(AM336="","",SUM(C336:AL336)*AM336)</f>
        <v/>
      </c>
      <c r="AO336" s="39"/>
      <c r="AP336" s="39"/>
      <c r="AQ336" s="42">
        <f t="shared" si="1253"/>
        <v>0</v>
      </c>
      <c r="AR336" s="25">
        <f t="shared" si="1254"/>
        <v>0</v>
      </c>
      <c r="AT336" s="3" t="str">
        <f t="shared" ref="AT336:CA336" si="1271">IF(C336=0,"",ROUNDUP(C327/C336,0))</f>
        <v/>
      </c>
      <c r="AU336" s="3" t="str">
        <f t="shared" si="1271"/>
        <v/>
      </c>
      <c r="AV336" s="3" t="str">
        <f t="shared" si="1271"/>
        <v/>
      </c>
      <c r="AW336" s="3" t="str">
        <f t="shared" si="1271"/>
        <v/>
      </c>
      <c r="AX336" s="3" t="str">
        <f t="shared" si="1271"/>
        <v/>
      </c>
      <c r="AY336" s="3" t="str">
        <f t="shared" si="1271"/>
        <v/>
      </c>
      <c r="AZ336" s="3" t="str">
        <f t="shared" si="1271"/>
        <v/>
      </c>
      <c r="BA336" s="3" t="str">
        <f t="shared" si="1271"/>
        <v/>
      </c>
      <c r="BB336" s="3" t="str">
        <f t="shared" si="1271"/>
        <v/>
      </c>
      <c r="BC336" s="3" t="str">
        <f t="shared" si="1271"/>
        <v/>
      </c>
      <c r="BD336" s="3" t="str">
        <f t="shared" si="1271"/>
        <v/>
      </c>
      <c r="BE336" s="3" t="str">
        <f t="shared" si="1271"/>
        <v/>
      </c>
      <c r="BF336" s="3" t="str">
        <f t="shared" si="1271"/>
        <v/>
      </c>
      <c r="BG336" s="3" t="str">
        <f t="shared" si="1271"/>
        <v/>
      </c>
      <c r="BH336" s="3" t="str">
        <f t="shared" si="1271"/>
        <v/>
      </c>
      <c r="BI336" s="3" t="str">
        <f t="shared" si="1271"/>
        <v/>
      </c>
      <c r="BJ336" s="3" t="str">
        <f t="shared" si="1271"/>
        <v/>
      </c>
      <c r="BK336" s="3" t="str">
        <f t="shared" si="1271"/>
        <v/>
      </c>
      <c r="BL336" s="3" t="str">
        <f t="shared" si="1271"/>
        <v/>
      </c>
      <c r="BM336" s="3" t="str">
        <f t="shared" si="1271"/>
        <v/>
      </c>
      <c r="BN336" s="3" t="str">
        <f t="shared" si="1271"/>
        <v/>
      </c>
      <c r="BO336" s="3" t="str">
        <f t="shared" si="1271"/>
        <v/>
      </c>
      <c r="BP336" s="3" t="str">
        <f t="shared" si="1271"/>
        <v/>
      </c>
      <c r="BQ336" s="3" t="str">
        <f t="shared" si="1271"/>
        <v/>
      </c>
      <c r="BR336" s="3" t="str">
        <f t="shared" si="1271"/>
        <v/>
      </c>
      <c r="BS336" s="3" t="str">
        <f t="shared" si="1271"/>
        <v/>
      </c>
      <c r="BT336" s="3" t="str">
        <f t="shared" si="1271"/>
        <v/>
      </c>
      <c r="BU336" s="3" t="str">
        <f t="shared" si="1271"/>
        <v/>
      </c>
      <c r="BV336" s="3" t="str">
        <f t="shared" si="1271"/>
        <v/>
      </c>
      <c r="BW336" s="3" t="str">
        <f t="shared" si="1271"/>
        <v/>
      </c>
      <c r="BX336" s="3" t="str">
        <f t="shared" si="1271"/>
        <v/>
      </c>
      <c r="BY336" s="3" t="str">
        <f t="shared" si="1271"/>
        <v/>
      </c>
      <c r="BZ336" s="3" t="str">
        <f t="shared" si="1271"/>
        <v/>
      </c>
      <c r="CA336" s="3" t="str">
        <f t="shared" si="1271"/>
        <v/>
      </c>
      <c r="CB336" s="3" t="str">
        <f t="shared" ref="CB336" si="1272">IF(AK336=0,"",ROUNDUP(AK327/AK336,0))</f>
        <v/>
      </c>
      <c r="CC336" s="3" t="str">
        <f t="shared" ref="CC336" si="1273">IF(AL336=0,"",ROUNDUP(AL327/AL336,0))</f>
        <v/>
      </c>
    </row>
    <row r="337" spans="1:81" ht="17.100000000000001" customHeight="1" outlineLevel="1">
      <c r="A337" s="175"/>
      <c r="B337" s="30" t="s">
        <v>28</v>
      </c>
      <c r="C337" s="39"/>
      <c r="D337" s="39"/>
      <c r="E337" s="39"/>
      <c r="F337" s="39"/>
      <c r="G337" s="39"/>
      <c r="H337" s="39"/>
      <c r="I337" s="39"/>
      <c r="J337" s="39"/>
      <c r="K337" s="39"/>
      <c r="L337" s="39"/>
      <c r="M337" s="39"/>
      <c r="N337" s="39"/>
      <c r="O337" s="39"/>
      <c r="P337" s="39"/>
      <c r="Q337" s="39"/>
      <c r="R337" s="39"/>
      <c r="S337" s="39"/>
      <c r="T337" s="39"/>
      <c r="U337" s="39"/>
      <c r="V337" s="39"/>
      <c r="W337" s="39"/>
      <c r="X337" s="39"/>
      <c r="Y337" s="39"/>
      <c r="Z337" s="39"/>
      <c r="AA337" s="39"/>
      <c r="AB337" s="39"/>
      <c r="AC337" s="39"/>
      <c r="AD337" s="39"/>
      <c r="AE337" s="39"/>
      <c r="AF337" s="39"/>
      <c r="AG337" s="39"/>
      <c r="AH337" s="39"/>
      <c r="AI337" s="39"/>
      <c r="AJ337" s="39"/>
      <c r="AK337" s="39"/>
      <c r="AL337" s="39"/>
      <c r="AM337" s="39"/>
      <c r="AN337" s="41" t="str">
        <f t="shared" si="1270"/>
        <v/>
      </c>
      <c r="AO337" s="39"/>
      <c r="AP337" s="39"/>
      <c r="AQ337" s="42">
        <f t="shared" si="1253"/>
        <v>0</v>
      </c>
      <c r="AR337" s="25">
        <f t="shared" si="1254"/>
        <v>0</v>
      </c>
      <c r="AT337" s="3" t="str">
        <f t="shared" ref="AT337:CA337" si="1274">IF(C337=0,"",ROUNDUP(C327/C337,0))</f>
        <v/>
      </c>
      <c r="AU337" s="3" t="str">
        <f t="shared" si="1274"/>
        <v/>
      </c>
      <c r="AV337" s="3" t="str">
        <f t="shared" si="1274"/>
        <v/>
      </c>
      <c r="AW337" s="3" t="str">
        <f t="shared" si="1274"/>
        <v/>
      </c>
      <c r="AX337" s="3" t="str">
        <f t="shared" si="1274"/>
        <v/>
      </c>
      <c r="AY337" s="3" t="str">
        <f t="shared" si="1274"/>
        <v/>
      </c>
      <c r="AZ337" s="3" t="str">
        <f t="shared" si="1274"/>
        <v/>
      </c>
      <c r="BA337" s="3" t="str">
        <f t="shared" si="1274"/>
        <v/>
      </c>
      <c r="BB337" s="3" t="str">
        <f t="shared" si="1274"/>
        <v/>
      </c>
      <c r="BC337" s="3" t="str">
        <f t="shared" si="1274"/>
        <v/>
      </c>
      <c r="BD337" s="3" t="str">
        <f t="shared" si="1274"/>
        <v/>
      </c>
      <c r="BE337" s="3" t="str">
        <f t="shared" si="1274"/>
        <v/>
      </c>
      <c r="BF337" s="3" t="str">
        <f t="shared" si="1274"/>
        <v/>
      </c>
      <c r="BG337" s="3" t="str">
        <f t="shared" si="1274"/>
        <v/>
      </c>
      <c r="BH337" s="3" t="str">
        <f t="shared" si="1274"/>
        <v/>
      </c>
      <c r="BI337" s="3" t="str">
        <f t="shared" si="1274"/>
        <v/>
      </c>
      <c r="BJ337" s="3" t="str">
        <f t="shared" si="1274"/>
        <v/>
      </c>
      <c r="BK337" s="3" t="str">
        <f t="shared" si="1274"/>
        <v/>
      </c>
      <c r="BL337" s="3" t="str">
        <f t="shared" si="1274"/>
        <v/>
      </c>
      <c r="BM337" s="3" t="str">
        <f t="shared" si="1274"/>
        <v/>
      </c>
      <c r="BN337" s="3" t="str">
        <f t="shared" si="1274"/>
        <v/>
      </c>
      <c r="BO337" s="3" t="str">
        <f t="shared" si="1274"/>
        <v/>
      </c>
      <c r="BP337" s="3" t="str">
        <f t="shared" si="1274"/>
        <v/>
      </c>
      <c r="BQ337" s="3" t="str">
        <f t="shared" si="1274"/>
        <v/>
      </c>
      <c r="BR337" s="3" t="str">
        <f t="shared" si="1274"/>
        <v/>
      </c>
      <c r="BS337" s="3" t="str">
        <f t="shared" si="1274"/>
        <v/>
      </c>
      <c r="BT337" s="3" t="str">
        <f t="shared" si="1274"/>
        <v/>
      </c>
      <c r="BU337" s="3" t="str">
        <f t="shared" si="1274"/>
        <v/>
      </c>
      <c r="BV337" s="3" t="str">
        <f t="shared" si="1274"/>
        <v/>
      </c>
      <c r="BW337" s="3" t="str">
        <f t="shared" si="1274"/>
        <v/>
      </c>
      <c r="BX337" s="3" t="str">
        <f t="shared" si="1274"/>
        <v/>
      </c>
      <c r="BY337" s="3" t="str">
        <f t="shared" si="1274"/>
        <v/>
      </c>
      <c r="BZ337" s="3" t="str">
        <f t="shared" si="1274"/>
        <v/>
      </c>
      <c r="CA337" s="3" t="str">
        <f t="shared" si="1274"/>
        <v/>
      </c>
      <c r="CB337" s="3" t="str">
        <f t="shared" ref="CB337" si="1275">IF(AK337=0,"",ROUNDUP(AK327/AK337,0))</f>
        <v/>
      </c>
      <c r="CC337" s="3" t="str">
        <f t="shared" ref="CC337" si="1276">IF(AL337=0,"",ROUNDUP(AL327/AL337,0))</f>
        <v/>
      </c>
    </row>
    <row r="338" spans="1:81" ht="12.75" thickBot="1"/>
    <row r="339" spans="1:81" ht="21.95" customHeight="1" outlineLevel="1" thickBot="1">
      <c r="A339" s="201">
        <v>22</v>
      </c>
      <c r="B339" s="202"/>
      <c r="C339" s="203"/>
      <c r="AQ339" s="12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</row>
    <row r="340" spans="1:81" ht="17.100000000000001" customHeight="1" outlineLevel="1">
      <c r="A340" s="51" t="s">
        <v>29</v>
      </c>
      <c r="B340" s="50"/>
      <c r="C340" s="147" t="s">
        <v>10</v>
      </c>
      <c r="D340" s="148"/>
      <c r="E340" s="148"/>
      <c r="F340" s="148"/>
      <c r="G340" s="148"/>
      <c r="H340" s="148"/>
      <c r="I340" s="148"/>
      <c r="J340" s="148"/>
      <c r="K340" s="148"/>
      <c r="L340" s="148"/>
      <c r="M340" s="148"/>
      <c r="N340" s="148"/>
      <c r="O340" s="148"/>
      <c r="P340" s="148"/>
      <c r="Q340" s="148"/>
      <c r="R340" s="148"/>
      <c r="S340" s="148"/>
      <c r="T340" s="148"/>
      <c r="U340" s="148"/>
      <c r="V340" s="148"/>
      <c r="W340" s="148"/>
      <c r="X340" s="148"/>
      <c r="Y340" s="148"/>
      <c r="Z340" s="148"/>
      <c r="AA340" s="148"/>
      <c r="AB340" s="148"/>
      <c r="AC340" s="148"/>
      <c r="AD340" s="148"/>
      <c r="AE340" s="148"/>
      <c r="AF340" s="148"/>
      <c r="AG340" s="148"/>
      <c r="AH340" s="148"/>
      <c r="AI340" s="148"/>
      <c r="AJ340" s="148"/>
      <c r="AK340" s="148"/>
      <c r="AL340" s="148"/>
      <c r="AM340" s="10"/>
      <c r="AN340" s="31"/>
      <c r="AO340" s="35" t="s">
        <v>4</v>
      </c>
      <c r="AP340" s="149"/>
      <c r="AQ340" s="150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</row>
    <row r="341" spans="1:81" ht="27" outlineLevel="1">
      <c r="A341" s="52" t="s">
        <v>36</v>
      </c>
      <c r="B341" s="50"/>
      <c r="C341" s="26" t="str">
        <f>IF(C325=0,"",IF(C325&gt;0,C325))</f>
        <v/>
      </c>
      <c r="D341" s="26" t="str">
        <f t="shared" ref="D341:AL341" si="1277">IF(D325=0,"",IF(D325&gt;0,D325))</f>
        <v/>
      </c>
      <c r="E341" s="26" t="str">
        <f t="shared" si="1277"/>
        <v/>
      </c>
      <c r="F341" s="26" t="str">
        <f t="shared" si="1277"/>
        <v/>
      </c>
      <c r="G341" s="26" t="str">
        <f t="shared" si="1277"/>
        <v/>
      </c>
      <c r="H341" s="26" t="str">
        <f t="shared" si="1277"/>
        <v/>
      </c>
      <c r="I341" s="26" t="str">
        <f t="shared" si="1277"/>
        <v/>
      </c>
      <c r="J341" s="26" t="str">
        <f t="shared" si="1277"/>
        <v/>
      </c>
      <c r="K341" s="26" t="str">
        <f t="shared" si="1277"/>
        <v/>
      </c>
      <c r="L341" s="26" t="str">
        <f t="shared" si="1277"/>
        <v/>
      </c>
      <c r="M341" s="26" t="str">
        <f t="shared" si="1277"/>
        <v/>
      </c>
      <c r="N341" s="26" t="str">
        <f t="shared" si="1277"/>
        <v/>
      </c>
      <c r="O341" s="26" t="str">
        <f t="shared" si="1277"/>
        <v/>
      </c>
      <c r="P341" s="26" t="str">
        <f t="shared" si="1277"/>
        <v/>
      </c>
      <c r="Q341" s="26" t="str">
        <f t="shared" si="1277"/>
        <v/>
      </c>
      <c r="R341" s="26" t="str">
        <f t="shared" si="1277"/>
        <v/>
      </c>
      <c r="S341" s="26" t="str">
        <f t="shared" si="1277"/>
        <v/>
      </c>
      <c r="T341" s="26" t="str">
        <f t="shared" si="1277"/>
        <v/>
      </c>
      <c r="U341" s="26" t="str">
        <f t="shared" si="1277"/>
        <v/>
      </c>
      <c r="V341" s="26" t="str">
        <f t="shared" si="1277"/>
        <v/>
      </c>
      <c r="W341" s="26" t="str">
        <f t="shared" si="1277"/>
        <v/>
      </c>
      <c r="X341" s="26" t="str">
        <f t="shared" si="1277"/>
        <v/>
      </c>
      <c r="Y341" s="26" t="str">
        <f t="shared" si="1277"/>
        <v/>
      </c>
      <c r="Z341" s="26" t="str">
        <f t="shared" si="1277"/>
        <v/>
      </c>
      <c r="AA341" s="26" t="str">
        <f t="shared" si="1277"/>
        <v/>
      </c>
      <c r="AB341" s="26" t="str">
        <f t="shared" si="1277"/>
        <v/>
      </c>
      <c r="AC341" s="26" t="str">
        <f t="shared" si="1277"/>
        <v/>
      </c>
      <c r="AD341" s="26" t="str">
        <f t="shared" si="1277"/>
        <v/>
      </c>
      <c r="AE341" s="26" t="str">
        <f t="shared" si="1277"/>
        <v/>
      </c>
      <c r="AF341" s="26" t="str">
        <f t="shared" si="1277"/>
        <v/>
      </c>
      <c r="AG341" s="26" t="str">
        <f t="shared" si="1277"/>
        <v/>
      </c>
      <c r="AH341" s="26" t="str">
        <f t="shared" si="1277"/>
        <v/>
      </c>
      <c r="AI341" s="26" t="str">
        <f t="shared" si="1277"/>
        <v/>
      </c>
      <c r="AJ341" s="26" t="str">
        <f t="shared" si="1277"/>
        <v/>
      </c>
      <c r="AK341" s="26" t="str">
        <f t="shared" si="1277"/>
        <v/>
      </c>
      <c r="AL341" s="26" t="str">
        <f t="shared" si="1277"/>
        <v/>
      </c>
      <c r="AM341" s="5" t="s">
        <v>2</v>
      </c>
      <c r="AN341" s="31"/>
      <c r="AO341" s="32" t="s">
        <v>5</v>
      </c>
      <c r="AP341" s="151">
        <f>SUM(AQ346:AQ353)</f>
        <v>0</v>
      </c>
      <c r="AQ341" s="151"/>
      <c r="AT341" s="2" t="str">
        <f t="shared" ref="AT341:BY341" si="1278">IF(C341=0,"",IF(C341&gt;0,C341))</f>
        <v/>
      </c>
      <c r="AU341" s="2" t="str">
        <f t="shared" si="1278"/>
        <v/>
      </c>
      <c r="AV341" s="2" t="str">
        <f t="shared" si="1278"/>
        <v/>
      </c>
      <c r="AW341" s="2" t="str">
        <f t="shared" si="1278"/>
        <v/>
      </c>
      <c r="AX341" s="2" t="str">
        <f t="shared" si="1278"/>
        <v/>
      </c>
      <c r="AY341" s="2" t="str">
        <f t="shared" si="1278"/>
        <v/>
      </c>
      <c r="AZ341" s="2" t="str">
        <f t="shared" si="1278"/>
        <v/>
      </c>
      <c r="BA341" s="2" t="str">
        <f t="shared" si="1278"/>
        <v/>
      </c>
      <c r="BB341" s="2" t="str">
        <f t="shared" si="1278"/>
        <v/>
      </c>
      <c r="BC341" s="2" t="str">
        <f t="shared" si="1278"/>
        <v/>
      </c>
      <c r="BD341" s="2" t="str">
        <f t="shared" si="1278"/>
        <v/>
      </c>
      <c r="BE341" s="2" t="str">
        <f t="shared" si="1278"/>
        <v/>
      </c>
      <c r="BF341" s="2" t="str">
        <f t="shared" si="1278"/>
        <v/>
      </c>
      <c r="BG341" s="2" t="str">
        <f t="shared" si="1278"/>
        <v/>
      </c>
      <c r="BH341" s="2" t="str">
        <f t="shared" si="1278"/>
        <v/>
      </c>
      <c r="BI341" s="2" t="str">
        <f t="shared" si="1278"/>
        <v/>
      </c>
      <c r="BJ341" s="2" t="str">
        <f t="shared" si="1278"/>
        <v/>
      </c>
      <c r="BK341" s="2" t="str">
        <f t="shared" si="1278"/>
        <v/>
      </c>
      <c r="BL341" s="2" t="str">
        <f t="shared" si="1278"/>
        <v/>
      </c>
      <c r="BM341" s="2" t="str">
        <f t="shared" si="1278"/>
        <v/>
      </c>
      <c r="BN341" s="2" t="str">
        <f t="shared" si="1278"/>
        <v/>
      </c>
      <c r="BO341" s="2" t="str">
        <f t="shared" si="1278"/>
        <v/>
      </c>
      <c r="BP341" s="2" t="str">
        <f t="shared" si="1278"/>
        <v/>
      </c>
      <c r="BQ341" s="2" t="str">
        <f t="shared" si="1278"/>
        <v/>
      </c>
      <c r="BR341" s="2" t="str">
        <f t="shared" si="1278"/>
        <v/>
      </c>
      <c r="BS341" s="2" t="str">
        <f t="shared" si="1278"/>
        <v/>
      </c>
      <c r="BT341" s="2" t="str">
        <f t="shared" si="1278"/>
        <v/>
      </c>
      <c r="BU341" s="2" t="str">
        <f t="shared" si="1278"/>
        <v/>
      </c>
      <c r="BV341" s="2" t="str">
        <f t="shared" si="1278"/>
        <v/>
      </c>
      <c r="BW341" s="2" t="str">
        <f t="shared" si="1278"/>
        <v/>
      </c>
      <c r="BX341" s="2" t="str">
        <f t="shared" si="1278"/>
        <v/>
      </c>
      <c r="BY341" s="2" t="str">
        <f t="shared" si="1278"/>
        <v/>
      </c>
      <c r="BZ341" s="2" t="str">
        <f t="shared" ref="BZ341" si="1279">IF(AI341=0,"",IF(AI341&gt;0,AI341))</f>
        <v/>
      </c>
      <c r="CA341" s="2" t="str">
        <f t="shared" ref="CA341" si="1280">IF(AJ341=0,"",IF(AJ341&gt;0,AJ341))</f>
        <v/>
      </c>
      <c r="CB341" s="2" t="str">
        <f t="shared" ref="CB341" si="1281">IF(AK341=0,"",IF(AK341&gt;0,AK341))</f>
        <v/>
      </c>
      <c r="CC341" s="2" t="str">
        <f t="shared" ref="CC341" si="1282">IF(AL341=0,"",IF(AL341&gt;0,AL341))</f>
        <v/>
      </c>
    </row>
    <row r="342" spans="1:81" ht="17.100000000000001" customHeight="1" outlineLevel="1">
      <c r="A342" s="152" t="s">
        <v>30</v>
      </c>
      <c r="B342" s="153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6"/>
      <c r="O342" s="46"/>
      <c r="P342" s="46"/>
      <c r="Q342" s="46"/>
      <c r="R342" s="46"/>
      <c r="S342" s="46"/>
      <c r="T342" s="46"/>
      <c r="U342" s="46"/>
      <c r="V342" s="46"/>
      <c r="W342" s="46"/>
      <c r="X342" s="46"/>
      <c r="Y342" s="46"/>
      <c r="Z342" s="46"/>
      <c r="AA342" s="46"/>
      <c r="AB342" s="46"/>
      <c r="AC342" s="46"/>
      <c r="AD342" s="46"/>
      <c r="AE342" s="46"/>
      <c r="AF342" s="46"/>
      <c r="AG342" s="46"/>
      <c r="AH342" s="46"/>
      <c r="AI342" s="46"/>
      <c r="AJ342" s="46"/>
      <c r="AK342" s="46"/>
      <c r="AL342" s="46"/>
      <c r="AM342" s="45">
        <f>SUM(C342:AL342)</f>
        <v>0</v>
      </c>
      <c r="AN342" s="33"/>
      <c r="AO342" s="34" t="str">
        <f>IF(AP342&lt;5,"NO ",IF(AP342=5,"ok",IF(AP342&gt;5,"ok")))</f>
        <v xml:space="preserve">NO </v>
      </c>
      <c r="AP342" s="154">
        <f>AP340-AP341-AP343</f>
        <v>0</v>
      </c>
      <c r="AQ342" s="154"/>
      <c r="AR342" s="16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</row>
    <row r="343" spans="1:81" ht="17.100000000000001" customHeight="1" outlineLevel="1">
      <c r="A343" s="152"/>
      <c r="B343" s="153"/>
      <c r="C343" s="47" t="str">
        <f>IF(C341="","",C342-C346*$AM346-C347*$AM347-C348*$AM348-C349*$AM349-C350*$AM350-C351*$AM351-C352*$AM352-C353*$AM353)</f>
        <v/>
      </c>
      <c r="D343" s="47" t="str">
        <f t="shared" ref="D343" si="1283">IF(D341="","",D342-D346*$AM346-D347*$AM347-D348*$AM348-D349*$AM349-D350*$AM350-D351*$AM351-D352*$AM352-D353*$AM353)</f>
        <v/>
      </c>
      <c r="E343" s="47" t="str">
        <f t="shared" ref="E343" si="1284">IF(E341="","",E342-E346*$AM346-E347*$AM347-E348*$AM348-E349*$AM349-E350*$AM350-E351*$AM351-E352*$AM352-E353*$AM353)</f>
        <v/>
      </c>
      <c r="F343" s="47" t="str">
        <f t="shared" ref="F343" si="1285">IF(F341="","",F342-F346*$AM346-F347*$AM347-F348*$AM348-F349*$AM349-F350*$AM350-F351*$AM351-F352*$AM352-F353*$AM353)</f>
        <v/>
      </c>
      <c r="G343" s="47" t="str">
        <f t="shared" ref="G343" si="1286">IF(G341="","",G342-G346*$AM346-G347*$AM347-G348*$AM348-G349*$AM349-G350*$AM350-G351*$AM351-G352*$AM352-G353*$AM353)</f>
        <v/>
      </c>
      <c r="H343" s="47" t="str">
        <f t="shared" ref="H343" si="1287">IF(H341="","",H342-H346*$AM346-H347*$AM347-H348*$AM348-H349*$AM349-H350*$AM350-H351*$AM351-H352*$AM352-H353*$AM353)</f>
        <v/>
      </c>
      <c r="I343" s="47" t="str">
        <f t="shared" ref="I343" si="1288">IF(I341="","",I342-I346*$AM346-I347*$AM347-I348*$AM348-I349*$AM349-I350*$AM350-I351*$AM351-I352*$AM352-I353*$AM353)</f>
        <v/>
      </c>
      <c r="J343" s="47" t="str">
        <f t="shared" ref="J343" si="1289">IF(J341="","",J342-J346*$AM346-J347*$AM347-J348*$AM348-J349*$AM349-J350*$AM350-J351*$AM351-J352*$AM352-J353*$AM353)</f>
        <v/>
      </c>
      <c r="K343" s="47" t="str">
        <f t="shared" ref="K343" si="1290">IF(K341="","",K342-K346*$AM346-K347*$AM347-K348*$AM348-K349*$AM349-K350*$AM350-K351*$AM351-K352*$AM352-K353*$AM353)</f>
        <v/>
      </c>
      <c r="L343" s="47" t="str">
        <f t="shared" ref="L343" si="1291">IF(L341="","",L342-L346*$AM346-L347*$AM347-L348*$AM348-L349*$AM349-L350*$AM350-L351*$AM351-L352*$AM352-L353*$AM353)</f>
        <v/>
      </c>
      <c r="M343" s="47" t="str">
        <f t="shared" ref="M343" si="1292">IF(M341="","",M342-M346*$AM346-M347*$AM347-M348*$AM348-M349*$AM349-M350*$AM350-M351*$AM351-M352*$AM352-M353*$AM353)</f>
        <v/>
      </c>
      <c r="N343" s="47" t="str">
        <f t="shared" ref="N343" si="1293">IF(N341="","",N342-N346*$AM346-N347*$AM347-N348*$AM348-N349*$AM349-N350*$AM350-N351*$AM351-N352*$AM352-N353*$AM353)</f>
        <v/>
      </c>
      <c r="O343" s="47" t="str">
        <f t="shared" ref="O343" si="1294">IF(O341="","",O342-O346*$AM346-O347*$AM347-O348*$AM348-O349*$AM349-O350*$AM350-O351*$AM351-O352*$AM352-O353*$AM353)</f>
        <v/>
      </c>
      <c r="P343" s="47" t="str">
        <f t="shared" ref="P343" si="1295">IF(P341="","",P342-P346*$AM346-P347*$AM347-P348*$AM348-P349*$AM349-P350*$AM350-P351*$AM351-P352*$AM352-P353*$AM353)</f>
        <v/>
      </c>
      <c r="Q343" s="47" t="str">
        <f t="shared" ref="Q343" si="1296">IF(Q341="","",Q342-Q346*$AM346-Q347*$AM347-Q348*$AM348-Q349*$AM349-Q350*$AM350-Q351*$AM351-Q352*$AM352-Q353*$AM353)</f>
        <v/>
      </c>
      <c r="R343" s="47" t="str">
        <f t="shared" ref="R343" si="1297">IF(R341="","",R342-R346*$AM346-R347*$AM347-R348*$AM348-R349*$AM349-R350*$AM350-R351*$AM351-R352*$AM352-R353*$AM353)</f>
        <v/>
      </c>
      <c r="S343" s="47" t="str">
        <f t="shared" ref="S343" si="1298">IF(S341="","",S342-S346*$AM346-S347*$AM347-S348*$AM348-S349*$AM349-S350*$AM350-S351*$AM351-S352*$AM352-S353*$AM353)</f>
        <v/>
      </c>
      <c r="T343" s="47" t="str">
        <f t="shared" ref="T343" si="1299">IF(T341="","",T342-T346*$AM346-T347*$AM347-T348*$AM348-T349*$AM349-T350*$AM350-T351*$AM351-T352*$AM352-T353*$AM353)</f>
        <v/>
      </c>
      <c r="U343" s="47" t="str">
        <f t="shared" ref="U343" si="1300">IF(U341="","",U342-U346*$AM346-U347*$AM347-U348*$AM348-U349*$AM349-U350*$AM350-U351*$AM351-U352*$AM352-U353*$AM353)</f>
        <v/>
      </c>
      <c r="V343" s="47" t="str">
        <f t="shared" ref="V343" si="1301">IF(V341="","",V342-V346*$AM346-V347*$AM347-V348*$AM348-V349*$AM349-V350*$AM350-V351*$AM351-V352*$AM352-V353*$AM353)</f>
        <v/>
      </c>
      <c r="W343" s="47" t="str">
        <f t="shared" ref="W343" si="1302">IF(W341="","",W342-W346*$AM346-W347*$AM347-W348*$AM348-W349*$AM349-W350*$AM350-W351*$AM351-W352*$AM352-W353*$AM353)</f>
        <v/>
      </c>
      <c r="X343" s="47" t="str">
        <f t="shared" ref="X343" si="1303">IF(X341="","",X342-X346*$AM346-X347*$AM347-X348*$AM348-X349*$AM349-X350*$AM350-X351*$AM351-X352*$AM352-X353*$AM353)</f>
        <v/>
      </c>
      <c r="Y343" s="47" t="str">
        <f t="shared" ref="Y343" si="1304">IF(Y341="","",Y342-Y346*$AM346-Y347*$AM347-Y348*$AM348-Y349*$AM349-Y350*$AM350-Y351*$AM351-Y352*$AM352-Y353*$AM353)</f>
        <v/>
      </c>
      <c r="Z343" s="47" t="str">
        <f t="shared" ref="Z343" si="1305">IF(Z341="","",Z342-Z346*$AM346-Z347*$AM347-Z348*$AM348-Z349*$AM349-Z350*$AM350-Z351*$AM351-Z352*$AM352-Z353*$AM353)</f>
        <v/>
      </c>
      <c r="AA343" s="47" t="str">
        <f t="shared" ref="AA343" si="1306">IF(AA341="","",AA342-AA346*$AM346-AA347*$AM347-AA348*$AM348-AA349*$AM349-AA350*$AM350-AA351*$AM351-AA352*$AM352-AA353*$AM353)</f>
        <v/>
      </c>
      <c r="AB343" s="47" t="str">
        <f t="shared" ref="AB343" si="1307">IF(AB341="","",AB342-AB346*$AM346-AB347*$AM347-AB348*$AM348-AB349*$AM349-AB350*$AM350-AB351*$AM351-AB352*$AM352-AB353*$AM353)</f>
        <v/>
      </c>
      <c r="AC343" s="47" t="str">
        <f t="shared" ref="AC343" si="1308">IF(AC341="","",AC342-AC346*$AM346-AC347*$AM347-AC348*$AM348-AC349*$AM349-AC350*$AM350-AC351*$AM351-AC352*$AM352-AC353*$AM353)</f>
        <v/>
      </c>
      <c r="AD343" s="47" t="str">
        <f t="shared" ref="AD343" si="1309">IF(AD341="","",AD342-AD346*$AM346-AD347*$AM347-AD348*$AM348-AD349*$AM349-AD350*$AM350-AD351*$AM351-AD352*$AM352-AD353*$AM353)</f>
        <v/>
      </c>
      <c r="AE343" s="47" t="str">
        <f t="shared" ref="AE343" si="1310">IF(AE341="","",AE342-AE346*$AM346-AE347*$AM347-AE348*$AM348-AE349*$AM349-AE350*$AM350-AE351*$AM351-AE352*$AM352-AE353*$AM353)</f>
        <v/>
      </c>
      <c r="AF343" s="47" t="str">
        <f t="shared" ref="AF343" si="1311">IF(AF341="","",AF342-AF346*$AM346-AF347*$AM347-AF348*$AM348-AF349*$AM349-AF350*$AM350-AF351*$AM351-AF352*$AM352-AF353*$AM353)</f>
        <v/>
      </c>
      <c r="AG343" s="47" t="str">
        <f t="shared" ref="AG343" si="1312">IF(AG341="","",AG342-AG346*$AM346-AG347*$AM347-AG348*$AM348-AG349*$AM349-AG350*$AM350-AG351*$AM351-AG352*$AM352-AG353*$AM353)</f>
        <v/>
      </c>
      <c r="AH343" s="47" t="str">
        <f t="shared" ref="AH343" si="1313">IF(AH341="","",AH342-AH346*$AM346-AH347*$AM347-AH348*$AM348-AH349*$AM349-AH350*$AM350-AH351*$AM351-AH352*$AM352-AH353*$AM353)</f>
        <v/>
      </c>
      <c r="AI343" s="47" t="str">
        <f t="shared" ref="AI343" si="1314">IF(AI341="","",AI342-AI346*$AM346-AI347*$AM347-AI348*$AM348-AI349*$AM349-AI350*$AM350-AI351*$AM351-AI352*$AM352-AI353*$AM353)</f>
        <v/>
      </c>
      <c r="AJ343" s="47" t="str">
        <f t="shared" ref="AJ343" si="1315">IF(AJ341="","",AJ342-AJ346*$AM346-AJ347*$AM347-AJ348*$AM348-AJ349*$AM349-AJ350*$AM350-AJ351*$AM351-AJ352*$AM352-AJ353*$AM353)</f>
        <v/>
      </c>
      <c r="AK343" s="47" t="str">
        <f>IF(AK341="","",AK342-AK346*$AM346-AK347*$AM347-AK348*$AM348-AK349*$AM349-AK350*$AM350-AK351*$AM351-AK352*$AM352-AK353*$AM353)</f>
        <v/>
      </c>
      <c r="AL343" s="47" t="str">
        <f t="shared" ref="AL343" si="1316">IF(AL341="","",AL342-AL346*$AM346-AL347*$AM347-AL348*$AM348-AL349*$AM349-AL350*$AM350-AL351*$AM351-AL352*$AM352-AL353*$AM353)</f>
        <v/>
      </c>
      <c r="AM343" s="45">
        <f>SUM(C343:AL343)</f>
        <v>0</v>
      </c>
      <c r="AN343" s="155" t="s">
        <v>33</v>
      </c>
      <c r="AO343" s="156"/>
      <c r="AP343" s="157"/>
      <c r="AQ343" s="158"/>
      <c r="AR343" s="17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</row>
    <row r="344" spans="1:81" ht="17.100000000000001" customHeight="1" outlineLevel="1">
      <c r="A344" s="177" t="s">
        <v>20</v>
      </c>
      <c r="B344" s="178"/>
      <c r="C344" s="181" t="s">
        <v>0</v>
      </c>
      <c r="D344" s="182"/>
      <c r="E344" s="182"/>
      <c r="F344" s="182"/>
      <c r="G344" s="182"/>
      <c r="H344" s="182"/>
      <c r="I344" s="182"/>
      <c r="J344" s="182"/>
      <c r="K344" s="182"/>
      <c r="L344" s="182"/>
      <c r="M344" s="182"/>
      <c r="N344" s="182"/>
      <c r="O344" s="182"/>
      <c r="P344" s="182"/>
      <c r="Q344" s="182"/>
      <c r="R344" s="182"/>
      <c r="S344" s="182"/>
      <c r="T344" s="182"/>
      <c r="U344" s="182"/>
      <c r="V344" s="182"/>
      <c r="W344" s="182"/>
      <c r="X344" s="182"/>
      <c r="Y344" s="182"/>
      <c r="Z344" s="182"/>
      <c r="AA344" s="182"/>
      <c r="AB344" s="182"/>
      <c r="AC344" s="182"/>
      <c r="AD344" s="182"/>
      <c r="AE344" s="182"/>
      <c r="AF344" s="182"/>
      <c r="AG344" s="182"/>
      <c r="AH344" s="182"/>
      <c r="AI344" s="182"/>
      <c r="AJ344" s="182"/>
      <c r="AK344" s="182"/>
      <c r="AL344" s="183"/>
      <c r="AM344" s="187" t="s">
        <v>1</v>
      </c>
      <c r="AN344" s="200" t="s">
        <v>11</v>
      </c>
      <c r="AO344" s="196" t="s">
        <v>12</v>
      </c>
      <c r="AP344" s="197"/>
      <c r="AQ344" s="193" t="s">
        <v>6</v>
      </c>
      <c r="AR344" s="24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</row>
    <row r="345" spans="1:81" ht="17.100000000000001" customHeight="1" outlineLevel="1">
      <c r="A345" s="179"/>
      <c r="B345" s="180"/>
      <c r="C345" s="184"/>
      <c r="D345" s="185"/>
      <c r="E345" s="185"/>
      <c r="F345" s="185"/>
      <c r="G345" s="185"/>
      <c r="H345" s="185"/>
      <c r="I345" s="185"/>
      <c r="J345" s="185"/>
      <c r="K345" s="185"/>
      <c r="L345" s="185"/>
      <c r="M345" s="185"/>
      <c r="N345" s="185"/>
      <c r="O345" s="185"/>
      <c r="P345" s="185"/>
      <c r="Q345" s="185"/>
      <c r="R345" s="185"/>
      <c r="S345" s="185"/>
      <c r="T345" s="185"/>
      <c r="U345" s="185"/>
      <c r="V345" s="185"/>
      <c r="W345" s="185"/>
      <c r="X345" s="185"/>
      <c r="Y345" s="185"/>
      <c r="Z345" s="185"/>
      <c r="AA345" s="185"/>
      <c r="AB345" s="185"/>
      <c r="AC345" s="185"/>
      <c r="AD345" s="185"/>
      <c r="AE345" s="185"/>
      <c r="AF345" s="185"/>
      <c r="AG345" s="185"/>
      <c r="AH345" s="185"/>
      <c r="AI345" s="185"/>
      <c r="AJ345" s="185"/>
      <c r="AK345" s="185"/>
      <c r="AL345" s="186"/>
      <c r="AM345" s="188"/>
      <c r="AN345" s="190"/>
      <c r="AO345" s="18" t="s">
        <v>3</v>
      </c>
      <c r="AP345" s="19" t="s">
        <v>13</v>
      </c>
      <c r="AQ345" s="172"/>
      <c r="AR345" s="27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</row>
    <row r="346" spans="1:81" ht="17.100000000000001" customHeight="1" outlineLevel="1">
      <c r="A346" s="173"/>
      <c r="B346" s="30" t="s">
        <v>21</v>
      </c>
      <c r="C346" s="39"/>
      <c r="D346" s="39"/>
      <c r="E346" s="39"/>
      <c r="F346" s="39"/>
      <c r="G346" s="39"/>
      <c r="H346" s="39"/>
      <c r="I346" s="39"/>
      <c r="J346" s="39"/>
      <c r="K346" s="39"/>
      <c r="L346" s="39"/>
      <c r="M346" s="39"/>
      <c r="N346" s="39"/>
      <c r="O346" s="39"/>
      <c r="P346" s="39"/>
      <c r="Q346" s="39"/>
      <c r="R346" s="39"/>
      <c r="S346" s="39"/>
      <c r="T346" s="39"/>
      <c r="U346" s="39"/>
      <c r="V346" s="39"/>
      <c r="W346" s="39"/>
      <c r="X346" s="39"/>
      <c r="Y346" s="39"/>
      <c r="Z346" s="39"/>
      <c r="AA346" s="39"/>
      <c r="AB346" s="39"/>
      <c r="AC346" s="39"/>
      <c r="AD346" s="39"/>
      <c r="AE346" s="39"/>
      <c r="AF346" s="39"/>
      <c r="AG346" s="39"/>
      <c r="AH346" s="39"/>
      <c r="AI346" s="39"/>
      <c r="AJ346" s="39"/>
      <c r="AK346" s="39"/>
      <c r="AL346" s="39"/>
      <c r="AM346" s="39"/>
      <c r="AN346" s="40" t="str">
        <f>IF(AM346="","",SUM(C346:AL346)*AM346)</f>
        <v/>
      </c>
      <c r="AO346" s="39"/>
      <c r="AP346" s="39"/>
      <c r="AQ346" s="42">
        <f>(AO346+AR346)*AM346</f>
        <v>0</v>
      </c>
      <c r="AR346" s="25">
        <f>AP346/36</f>
        <v>0</v>
      </c>
      <c r="AT346" s="3" t="str">
        <f t="shared" ref="AT346:CA346" si="1317">IF(C346=0,"",ROUNDUP(C343/C346,0))</f>
        <v/>
      </c>
      <c r="AU346" s="3" t="str">
        <f t="shared" si="1317"/>
        <v/>
      </c>
      <c r="AV346" s="3" t="str">
        <f t="shared" si="1317"/>
        <v/>
      </c>
      <c r="AW346" s="3" t="str">
        <f t="shared" si="1317"/>
        <v/>
      </c>
      <c r="AX346" s="3" t="str">
        <f t="shared" si="1317"/>
        <v/>
      </c>
      <c r="AY346" s="3" t="str">
        <f t="shared" si="1317"/>
        <v/>
      </c>
      <c r="AZ346" s="3" t="str">
        <f t="shared" si="1317"/>
        <v/>
      </c>
      <c r="BA346" s="3" t="str">
        <f t="shared" si="1317"/>
        <v/>
      </c>
      <c r="BB346" s="3" t="str">
        <f t="shared" si="1317"/>
        <v/>
      </c>
      <c r="BC346" s="3" t="str">
        <f t="shared" si="1317"/>
        <v/>
      </c>
      <c r="BD346" s="3" t="str">
        <f t="shared" si="1317"/>
        <v/>
      </c>
      <c r="BE346" s="3" t="str">
        <f t="shared" si="1317"/>
        <v/>
      </c>
      <c r="BF346" s="3" t="str">
        <f t="shared" si="1317"/>
        <v/>
      </c>
      <c r="BG346" s="3" t="str">
        <f t="shared" si="1317"/>
        <v/>
      </c>
      <c r="BH346" s="3" t="str">
        <f t="shared" si="1317"/>
        <v/>
      </c>
      <c r="BI346" s="3" t="str">
        <f t="shared" si="1317"/>
        <v/>
      </c>
      <c r="BJ346" s="3" t="str">
        <f t="shared" si="1317"/>
        <v/>
      </c>
      <c r="BK346" s="3" t="str">
        <f t="shared" si="1317"/>
        <v/>
      </c>
      <c r="BL346" s="3" t="str">
        <f t="shared" si="1317"/>
        <v/>
      </c>
      <c r="BM346" s="3" t="str">
        <f t="shared" si="1317"/>
        <v/>
      </c>
      <c r="BN346" s="3" t="str">
        <f t="shared" si="1317"/>
        <v/>
      </c>
      <c r="BO346" s="3" t="str">
        <f t="shared" si="1317"/>
        <v/>
      </c>
      <c r="BP346" s="3" t="str">
        <f t="shared" si="1317"/>
        <v/>
      </c>
      <c r="BQ346" s="3" t="str">
        <f t="shared" si="1317"/>
        <v/>
      </c>
      <c r="BR346" s="3" t="str">
        <f t="shared" si="1317"/>
        <v/>
      </c>
      <c r="BS346" s="3" t="str">
        <f t="shared" si="1317"/>
        <v/>
      </c>
      <c r="BT346" s="3" t="str">
        <f t="shared" si="1317"/>
        <v/>
      </c>
      <c r="BU346" s="3" t="str">
        <f t="shared" si="1317"/>
        <v/>
      </c>
      <c r="BV346" s="3" t="str">
        <f t="shared" si="1317"/>
        <v/>
      </c>
      <c r="BW346" s="3" t="str">
        <f t="shared" si="1317"/>
        <v/>
      </c>
      <c r="BX346" s="3" t="str">
        <f t="shared" si="1317"/>
        <v/>
      </c>
      <c r="BY346" s="3" t="str">
        <f t="shared" si="1317"/>
        <v/>
      </c>
      <c r="BZ346" s="3" t="str">
        <f t="shared" si="1317"/>
        <v/>
      </c>
      <c r="CA346" s="3" t="str">
        <f t="shared" si="1317"/>
        <v/>
      </c>
      <c r="CB346" s="3" t="str">
        <f t="shared" ref="CB346" si="1318">IF(AK346=0,"",ROUNDUP(AK343/AK346,0))</f>
        <v/>
      </c>
      <c r="CC346" s="3" t="str">
        <f t="shared" ref="CC346" si="1319">IF(AL346=0,"",ROUNDUP(AL343/AL346,0))</f>
        <v/>
      </c>
    </row>
    <row r="347" spans="1:81" ht="17.100000000000001" customHeight="1" outlineLevel="1">
      <c r="A347" s="174"/>
      <c r="B347" s="30" t="s">
        <v>22</v>
      </c>
      <c r="C347" s="39"/>
      <c r="D347" s="39"/>
      <c r="E347" s="39"/>
      <c r="F347" s="39"/>
      <c r="G347" s="39"/>
      <c r="H347" s="39"/>
      <c r="I347" s="39"/>
      <c r="J347" s="39"/>
      <c r="K347" s="39"/>
      <c r="L347" s="39"/>
      <c r="M347" s="39"/>
      <c r="N347" s="39"/>
      <c r="O347" s="39"/>
      <c r="P347" s="39"/>
      <c r="Q347" s="39"/>
      <c r="R347" s="39"/>
      <c r="S347" s="39"/>
      <c r="T347" s="39"/>
      <c r="U347" s="39"/>
      <c r="V347" s="39"/>
      <c r="W347" s="39"/>
      <c r="X347" s="39"/>
      <c r="Y347" s="39"/>
      <c r="Z347" s="39"/>
      <c r="AA347" s="39"/>
      <c r="AB347" s="39"/>
      <c r="AC347" s="39"/>
      <c r="AD347" s="39"/>
      <c r="AE347" s="39"/>
      <c r="AF347" s="39"/>
      <c r="AG347" s="39"/>
      <c r="AH347" s="39"/>
      <c r="AI347" s="39"/>
      <c r="AJ347" s="39"/>
      <c r="AK347" s="39"/>
      <c r="AL347" s="39"/>
      <c r="AM347" s="39"/>
      <c r="AN347" s="40" t="str">
        <f t="shared" ref="AN347:AN350" si="1320">IF(AM347="","",SUM(C347:AL347)*AM347)</f>
        <v/>
      </c>
      <c r="AO347" s="39"/>
      <c r="AP347" s="39"/>
      <c r="AQ347" s="42">
        <f t="shared" ref="AQ347:AQ353" si="1321">(AO347+AR347)*AM347</f>
        <v>0</v>
      </c>
      <c r="AR347" s="25">
        <f t="shared" ref="AR347:AR353" si="1322">AP347/36</f>
        <v>0</v>
      </c>
      <c r="AT347" s="3" t="str">
        <f t="shared" ref="AT347:CA347" si="1323">IF(C347=0,"",ROUNDUP(C343/C347,0))</f>
        <v/>
      </c>
      <c r="AU347" s="3" t="str">
        <f t="shared" si="1323"/>
        <v/>
      </c>
      <c r="AV347" s="3" t="str">
        <f t="shared" si="1323"/>
        <v/>
      </c>
      <c r="AW347" s="3" t="str">
        <f t="shared" si="1323"/>
        <v/>
      </c>
      <c r="AX347" s="3" t="str">
        <f t="shared" si="1323"/>
        <v/>
      </c>
      <c r="AY347" s="3" t="str">
        <f t="shared" si="1323"/>
        <v/>
      </c>
      <c r="AZ347" s="3" t="str">
        <f t="shared" si="1323"/>
        <v/>
      </c>
      <c r="BA347" s="3" t="str">
        <f t="shared" si="1323"/>
        <v/>
      </c>
      <c r="BB347" s="3" t="str">
        <f t="shared" si="1323"/>
        <v/>
      </c>
      <c r="BC347" s="3" t="str">
        <f t="shared" si="1323"/>
        <v/>
      </c>
      <c r="BD347" s="3" t="str">
        <f t="shared" si="1323"/>
        <v/>
      </c>
      <c r="BE347" s="3" t="str">
        <f t="shared" si="1323"/>
        <v/>
      </c>
      <c r="BF347" s="3" t="str">
        <f t="shared" si="1323"/>
        <v/>
      </c>
      <c r="BG347" s="3" t="str">
        <f t="shared" si="1323"/>
        <v/>
      </c>
      <c r="BH347" s="3" t="str">
        <f t="shared" si="1323"/>
        <v/>
      </c>
      <c r="BI347" s="3" t="str">
        <f t="shared" si="1323"/>
        <v/>
      </c>
      <c r="BJ347" s="3" t="str">
        <f t="shared" si="1323"/>
        <v/>
      </c>
      <c r="BK347" s="3" t="str">
        <f t="shared" si="1323"/>
        <v/>
      </c>
      <c r="BL347" s="3" t="str">
        <f t="shared" si="1323"/>
        <v/>
      </c>
      <c r="BM347" s="3" t="str">
        <f t="shared" si="1323"/>
        <v/>
      </c>
      <c r="BN347" s="3" t="str">
        <f t="shared" si="1323"/>
        <v/>
      </c>
      <c r="BO347" s="3" t="str">
        <f t="shared" si="1323"/>
        <v/>
      </c>
      <c r="BP347" s="3" t="str">
        <f t="shared" si="1323"/>
        <v/>
      </c>
      <c r="BQ347" s="3" t="str">
        <f t="shared" si="1323"/>
        <v/>
      </c>
      <c r="BR347" s="3" t="str">
        <f t="shared" si="1323"/>
        <v/>
      </c>
      <c r="BS347" s="3" t="str">
        <f t="shared" si="1323"/>
        <v/>
      </c>
      <c r="BT347" s="3" t="str">
        <f t="shared" si="1323"/>
        <v/>
      </c>
      <c r="BU347" s="3" t="str">
        <f t="shared" si="1323"/>
        <v/>
      </c>
      <c r="BV347" s="3" t="str">
        <f t="shared" si="1323"/>
        <v/>
      </c>
      <c r="BW347" s="3" t="str">
        <f t="shared" si="1323"/>
        <v/>
      </c>
      <c r="BX347" s="3" t="str">
        <f t="shared" si="1323"/>
        <v/>
      </c>
      <c r="BY347" s="3" t="str">
        <f t="shared" si="1323"/>
        <v/>
      </c>
      <c r="BZ347" s="3" t="str">
        <f t="shared" si="1323"/>
        <v/>
      </c>
      <c r="CA347" s="3" t="str">
        <f t="shared" si="1323"/>
        <v/>
      </c>
      <c r="CB347" s="3" t="str">
        <f t="shared" ref="CB347" si="1324">IF(AK347=0,"",ROUNDUP(AK343/AK347,0))</f>
        <v/>
      </c>
      <c r="CC347" s="3" t="str">
        <f t="shared" ref="CC347" si="1325">IF(AL347=0,"",ROUNDUP(AL343/AL347,0))</f>
        <v/>
      </c>
    </row>
    <row r="348" spans="1:81" ht="17.100000000000001" customHeight="1" outlineLevel="1">
      <c r="A348" s="174"/>
      <c r="B348" s="30" t="s">
        <v>23</v>
      </c>
      <c r="C348" s="39"/>
      <c r="D348" s="39"/>
      <c r="E348" s="39"/>
      <c r="F348" s="39"/>
      <c r="G348" s="39"/>
      <c r="H348" s="39"/>
      <c r="I348" s="39"/>
      <c r="J348" s="39"/>
      <c r="K348" s="39"/>
      <c r="L348" s="39"/>
      <c r="M348" s="39"/>
      <c r="N348" s="39"/>
      <c r="O348" s="39"/>
      <c r="P348" s="39"/>
      <c r="Q348" s="39"/>
      <c r="R348" s="39"/>
      <c r="S348" s="39"/>
      <c r="T348" s="39"/>
      <c r="U348" s="39"/>
      <c r="V348" s="39"/>
      <c r="W348" s="39"/>
      <c r="X348" s="39"/>
      <c r="Y348" s="39"/>
      <c r="Z348" s="39"/>
      <c r="AA348" s="39"/>
      <c r="AB348" s="39"/>
      <c r="AC348" s="39"/>
      <c r="AD348" s="39"/>
      <c r="AE348" s="39"/>
      <c r="AF348" s="39"/>
      <c r="AG348" s="39"/>
      <c r="AH348" s="39"/>
      <c r="AI348" s="39"/>
      <c r="AJ348" s="39"/>
      <c r="AK348" s="39"/>
      <c r="AL348" s="39"/>
      <c r="AM348" s="39"/>
      <c r="AN348" s="40" t="str">
        <f t="shared" si="1320"/>
        <v/>
      </c>
      <c r="AO348" s="39"/>
      <c r="AP348" s="39"/>
      <c r="AQ348" s="42">
        <f t="shared" si="1321"/>
        <v>0</v>
      </c>
      <c r="AR348" s="25">
        <f t="shared" si="1322"/>
        <v>0</v>
      </c>
      <c r="AT348" s="3" t="str">
        <f t="shared" ref="AT348:CA348" si="1326">IF(C348=0,"",ROUNDUP(C343/C348,0))</f>
        <v/>
      </c>
      <c r="AU348" s="3" t="str">
        <f t="shared" si="1326"/>
        <v/>
      </c>
      <c r="AV348" s="3" t="str">
        <f t="shared" si="1326"/>
        <v/>
      </c>
      <c r="AW348" s="3" t="str">
        <f t="shared" si="1326"/>
        <v/>
      </c>
      <c r="AX348" s="3" t="str">
        <f t="shared" si="1326"/>
        <v/>
      </c>
      <c r="AY348" s="3" t="str">
        <f t="shared" si="1326"/>
        <v/>
      </c>
      <c r="AZ348" s="3" t="str">
        <f t="shared" si="1326"/>
        <v/>
      </c>
      <c r="BA348" s="3" t="str">
        <f t="shared" si="1326"/>
        <v/>
      </c>
      <c r="BB348" s="3" t="str">
        <f t="shared" si="1326"/>
        <v/>
      </c>
      <c r="BC348" s="3" t="str">
        <f t="shared" si="1326"/>
        <v/>
      </c>
      <c r="BD348" s="3" t="str">
        <f t="shared" si="1326"/>
        <v/>
      </c>
      <c r="BE348" s="3" t="str">
        <f t="shared" si="1326"/>
        <v/>
      </c>
      <c r="BF348" s="3" t="str">
        <f t="shared" si="1326"/>
        <v/>
      </c>
      <c r="BG348" s="3" t="str">
        <f t="shared" si="1326"/>
        <v/>
      </c>
      <c r="BH348" s="3" t="str">
        <f t="shared" si="1326"/>
        <v/>
      </c>
      <c r="BI348" s="3" t="str">
        <f t="shared" si="1326"/>
        <v/>
      </c>
      <c r="BJ348" s="3" t="str">
        <f t="shared" si="1326"/>
        <v/>
      </c>
      <c r="BK348" s="3" t="str">
        <f t="shared" si="1326"/>
        <v/>
      </c>
      <c r="BL348" s="3" t="str">
        <f t="shared" si="1326"/>
        <v/>
      </c>
      <c r="BM348" s="3" t="str">
        <f t="shared" si="1326"/>
        <v/>
      </c>
      <c r="BN348" s="3" t="str">
        <f t="shared" si="1326"/>
        <v/>
      </c>
      <c r="BO348" s="3" t="str">
        <f t="shared" si="1326"/>
        <v/>
      </c>
      <c r="BP348" s="3" t="str">
        <f t="shared" si="1326"/>
        <v/>
      </c>
      <c r="BQ348" s="3" t="str">
        <f t="shared" si="1326"/>
        <v/>
      </c>
      <c r="BR348" s="3" t="str">
        <f t="shared" si="1326"/>
        <v/>
      </c>
      <c r="BS348" s="3" t="str">
        <f t="shared" si="1326"/>
        <v/>
      </c>
      <c r="BT348" s="3" t="str">
        <f t="shared" si="1326"/>
        <v/>
      </c>
      <c r="BU348" s="3" t="str">
        <f t="shared" si="1326"/>
        <v/>
      </c>
      <c r="BV348" s="3" t="str">
        <f t="shared" si="1326"/>
        <v/>
      </c>
      <c r="BW348" s="3" t="str">
        <f t="shared" si="1326"/>
        <v/>
      </c>
      <c r="BX348" s="3" t="str">
        <f t="shared" si="1326"/>
        <v/>
      </c>
      <c r="BY348" s="3" t="str">
        <f t="shared" si="1326"/>
        <v/>
      </c>
      <c r="BZ348" s="3" t="str">
        <f t="shared" si="1326"/>
        <v/>
      </c>
      <c r="CA348" s="3" t="str">
        <f t="shared" si="1326"/>
        <v/>
      </c>
      <c r="CB348" s="3" t="str">
        <f t="shared" ref="CB348" si="1327">IF(AK348=0,"",ROUNDUP(AK343/AK348,0))</f>
        <v/>
      </c>
      <c r="CC348" s="3" t="str">
        <f t="shared" ref="CC348" si="1328">IF(AL348=0,"",ROUNDUP(AL343/AL348,0))</f>
        <v/>
      </c>
    </row>
    <row r="349" spans="1:81" ht="17.100000000000001" customHeight="1" outlineLevel="1">
      <c r="A349" s="174"/>
      <c r="B349" s="30" t="s">
        <v>24</v>
      </c>
      <c r="C349" s="39"/>
      <c r="D349" s="39"/>
      <c r="E349" s="39"/>
      <c r="F349" s="39"/>
      <c r="G349" s="39"/>
      <c r="H349" s="39"/>
      <c r="I349" s="39"/>
      <c r="J349" s="39"/>
      <c r="K349" s="39"/>
      <c r="L349" s="39"/>
      <c r="M349" s="39"/>
      <c r="N349" s="39"/>
      <c r="O349" s="39"/>
      <c r="P349" s="39"/>
      <c r="Q349" s="39"/>
      <c r="R349" s="39"/>
      <c r="S349" s="39"/>
      <c r="T349" s="39"/>
      <c r="U349" s="39"/>
      <c r="V349" s="39"/>
      <c r="W349" s="39"/>
      <c r="X349" s="39"/>
      <c r="Y349" s="39"/>
      <c r="Z349" s="39"/>
      <c r="AA349" s="39"/>
      <c r="AB349" s="39"/>
      <c r="AC349" s="39"/>
      <c r="AD349" s="39"/>
      <c r="AE349" s="39"/>
      <c r="AF349" s="39"/>
      <c r="AG349" s="39"/>
      <c r="AH349" s="39"/>
      <c r="AI349" s="39"/>
      <c r="AJ349" s="39"/>
      <c r="AK349" s="39"/>
      <c r="AL349" s="39"/>
      <c r="AM349" s="39"/>
      <c r="AN349" s="40" t="str">
        <f t="shared" si="1320"/>
        <v/>
      </c>
      <c r="AO349" s="39"/>
      <c r="AP349" s="39"/>
      <c r="AQ349" s="42">
        <f t="shared" si="1321"/>
        <v>0</v>
      </c>
      <c r="AR349" s="25">
        <f t="shared" si="1322"/>
        <v>0</v>
      </c>
      <c r="AT349" s="3" t="str">
        <f t="shared" ref="AT349:CA349" si="1329">IF(C349=0,"",ROUNDUP(C343/C349,0))</f>
        <v/>
      </c>
      <c r="AU349" s="3" t="str">
        <f t="shared" si="1329"/>
        <v/>
      </c>
      <c r="AV349" s="3" t="str">
        <f t="shared" si="1329"/>
        <v/>
      </c>
      <c r="AW349" s="3" t="str">
        <f t="shared" si="1329"/>
        <v/>
      </c>
      <c r="AX349" s="3" t="str">
        <f t="shared" si="1329"/>
        <v/>
      </c>
      <c r="AY349" s="3" t="str">
        <f t="shared" si="1329"/>
        <v/>
      </c>
      <c r="AZ349" s="3" t="str">
        <f t="shared" si="1329"/>
        <v/>
      </c>
      <c r="BA349" s="3" t="str">
        <f t="shared" si="1329"/>
        <v/>
      </c>
      <c r="BB349" s="3" t="str">
        <f t="shared" si="1329"/>
        <v/>
      </c>
      <c r="BC349" s="3" t="str">
        <f t="shared" si="1329"/>
        <v/>
      </c>
      <c r="BD349" s="3" t="str">
        <f t="shared" si="1329"/>
        <v/>
      </c>
      <c r="BE349" s="3" t="str">
        <f t="shared" si="1329"/>
        <v/>
      </c>
      <c r="BF349" s="3" t="str">
        <f t="shared" si="1329"/>
        <v/>
      </c>
      <c r="BG349" s="3" t="str">
        <f t="shared" si="1329"/>
        <v/>
      </c>
      <c r="BH349" s="3" t="str">
        <f t="shared" si="1329"/>
        <v/>
      </c>
      <c r="BI349" s="3" t="str">
        <f t="shared" si="1329"/>
        <v/>
      </c>
      <c r="BJ349" s="3" t="str">
        <f t="shared" si="1329"/>
        <v/>
      </c>
      <c r="BK349" s="3" t="str">
        <f t="shared" si="1329"/>
        <v/>
      </c>
      <c r="BL349" s="3" t="str">
        <f t="shared" si="1329"/>
        <v/>
      </c>
      <c r="BM349" s="3" t="str">
        <f t="shared" si="1329"/>
        <v/>
      </c>
      <c r="BN349" s="3" t="str">
        <f t="shared" si="1329"/>
        <v/>
      </c>
      <c r="BO349" s="3" t="str">
        <f t="shared" si="1329"/>
        <v/>
      </c>
      <c r="BP349" s="3" t="str">
        <f t="shared" si="1329"/>
        <v/>
      </c>
      <c r="BQ349" s="3" t="str">
        <f t="shared" si="1329"/>
        <v/>
      </c>
      <c r="BR349" s="3" t="str">
        <f t="shared" si="1329"/>
        <v/>
      </c>
      <c r="BS349" s="3" t="str">
        <f t="shared" si="1329"/>
        <v/>
      </c>
      <c r="BT349" s="3" t="str">
        <f t="shared" si="1329"/>
        <v/>
      </c>
      <c r="BU349" s="3" t="str">
        <f t="shared" si="1329"/>
        <v/>
      </c>
      <c r="BV349" s="3" t="str">
        <f t="shared" si="1329"/>
        <v/>
      </c>
      <c r="BW349" s="3" t="str">
        <f t="shared" si="1329"/>
        <v/>
      </c>
      <c r="BX349" s="3" t="str">
        <f t="shared" si="1329"/>
        <v/>
      </c>
      <c r="BY349" s="3" t="str">
        <f t="shared" si="1329"/>
        <v/>
      </c>
      <c r="BZ349" s="3" t="str">
        <f t="shared" si="1329"/>
        <v/>
      </c>
      <c r="CA349" s="3" t="str">
        <f t="shared" si="1329"/>
        <v/>
      </c>
      <c r="CB349" s="3" t="str">
        <f t="shared" ref="CB349" si="1330">IF(AK349=0,"",ROUNDUP(AK343/AK349,0))</f>
        <v/>
      </c>
      <c r="CC349" s="3" t="str">
        <f t="shared" ref="CC349" si="1331">IF(AL349=0,"",ROUNDUP(AL343/AL349,0))</f>
        <v/>
      </c>
    </row>
    <row r="350" spans="1:81" ht="17.100000000000001" customHeight="1" outlineLevel="1">
      <c r="A350" s="174"/>
      <c r="B350" s="30" t="s">
        <v>25</v>
      </c>
      <c r="C350" s="39"/>
      <c r="D350" s="39"/>
      <c r="E350" s="39"/>
      <c r="F350" s="39"/>
      <c r="G350" s="39"/>
      <c r="H350" s="39"/>
      <c r="I350" s="39"/>
      <c r="J350" s="39"/>
      <c r="K350" s="39"/>
      <c r="L350" s="39"/>
      <c r="M350" s="39"/>
      <c r="N350" s="39"/>
      <c r="O350" s="39"/>
      <c r="P350" s="39"/>
      <c r="Q350" s="39"/>
      <c r="R350" s="39"/>
      <c r="S350" s="39"/>
      <c r="T350" s="39"/>
      <c r="U350" s="39"/>
      <c r="V350" s="39"/>
      <c r="W350" s="39"/>
      <c r="X350" s="39"/>
      <c r="Y350" s="39"/>
      <c r="Z350" s="39"/>
      <c r="AA350" s="39"/>
      <c r="AB350" s="39"/>
      <c r="AC350" s="39"/>
      <c r="AD350" s="39"/>
      <c r="AE350" s="39"/>
      <c r="AF350" s="39"/>
      <c r="AG350" s="39"/>
      <c r="AH350" s="39"/>
      <c r="AI350" s="39"/>
      <c r="AJ350" s="39"/>
      <c r="AK350" s="39"/>
      <c r="AL350" s="39"/>
      <c r="AM350" s="39"/>
      <c r="AN350" s="40" t="str">
        <f t="shared" si="1320"/>
        <v/>
      </c>
      <c r="AO350" s="39"/>
      <c r="AP350" s="39"/>
      <c r="AQ350" s="42">
        <f t="shared" si="1321"/>
        <v>0</v>
      </c>
      <c r="AR350" s="25">
        <f t="shared" si="1322"/>
        <v>0</v>
      </c>
      <c r="AT350" s="3" t="str">
        <f t="shared" ref="AT350:CA350" si="1332">IF(C350=0,"",ROUNDUP(C343/C350,0))</f>
        <v/>
      </c>
      <c r="AU350" s="3" t="str">
        <f t="shared" si="1332"/>
        <v/>
      </c>
      <c r="AV350" s="3" t="str">
        <f t="shared" si="1332"/>
        <v/>
      </c>
      <c r="AW350" s="3" t="str">
        <f t="shared" si="1332"/>
        <v/>
      </c>
      <c r="AX350" s="3" t="str">
        <f t="shared" si="1332"/>
        <v/>
      </c>
      <c r="AY350" s="3" t="str">
        <f t="shared" si="1332"/>
        <v/>
      </c>
      <c r="AZ350" s="3" t="str">
        <f t="shared" si="1332"/>
        <v/>
      </c>
      <c r="BA350" s="3" t="str">
        <f t="shared" si="1332"/>
        <v/>
      </c>
      <c r="BB350" s="3" t="str">
        <f t="shared" si="1332"/>
        <v/>
      </c>
      <c r="BC350" s="3" t="str">
        <f t="shared" si="1332"/>
        <v/>
      </c>
      <c r="BD350" s="3" t="str">
        <f t="shared" si="1332"/>
        <v/>
      </c>
      <c r="BE350" s="3" t="str">
        <f t="shared" si="1332"/>
        <v/>
      </c>
      <c r="BF350" s="3" t="str">
        <f t="shared" si="1332"/>
        <v/>
      </c>
      <c r="BG350" s="3" t="str">
        <f t="shared" si="1332"/>
        <v/>
      </c>
      <c r="BH350" s="3" t="str">
        <f t="shared" si="1332"/>
        <v/>
      </c>
      <c r="BI350" s="3" t="str">
        <f t="shared" si="1332"/>
        <v/>
      </c>
      <c r="BJ350" s="3" t="str">
        <f t="shared" si="1332"/>
        <v/>
      </c>
      <c r="BK350" s="3" t="str">
        <f t="shared" si="1332"/>
        <v/>
      </c>
      <c r="BL350" s="3" t="str">
        <f t="shared" si="1332"/>
        <v/>
      </c>
      <c r="BM350" s="3" t="str">
        <f t="shared" si="1332"/>
        <v/>
      </c>
      <c r="BN350" s="3" t="str">
        <f t="shared" si="1332"/>
        <v/>
      </c>
      <c r="BO350" s="3" t="str">
        <f t="shared" si="1332"/>
        <v/>
      </c>
      <c r="BP350" s="3" t="str">
        <f t="shared" si="1332"/>
        <v/>
      </c>
      <c r="BQ350" s="3" t="str">
        <f t="shared" si="1332"/>
        <v/>
      </c>
      <c r="BR350" s="3" t="str">
        <f t="shared" si="1332"/>
        <v/>
      </c>
      <c r="BS350" s="3" t="str">
        <f t="shared" si="1332"/>
        <v/>
      </c>
      <c r="BT350" s="3" t="str">
        <f t="shared" si="1332"/>
        <v/>
      </c>
      <c r="BU350" s="3" t="str">
        <f t="shared" si="1332"/>
        <v/>
      </c>
      <c r="BV350" s="3" t="str">
        <f t="shared" si="1332"/>
        <v/>
      </c>
      <c r="BW350" s="3" t="str">
        <f t="shared" si="1332"/>
        <v/>
      </c>
      <c r="BX350" s="3" t="str">
        <f t="shared" si="1332"/>
        <v/>
      </c>
      <c r="BY350" s="3" t="str">
        <f t="shared" si="1332"/>
        <v/>
      </c>
      <c r="BZ350" s="3" t="str">
        <f t="shared" si="1332"/>
        <v/>
      </c>
      <c r="CA350" s="3" t="str">
        <f t="shared" si="1332"/>
        <v/>
      </c>
      <c r="CB350" s="3" t="str">
        <f t="shared" ref="CB350" si="1333">IF(AK350=0,"",ROUNDUP(AK343/AK350,0))</f>
        <v/>
      </c>
      <c r="CC350" s="3" t="str">
        <f t="shared" ref="CC350" si="1334">IF(AL350=0,"",ROUNDUP(AL343/AL350,0))</f>
        <v/>
      </c>
    </row>
    <row r="351" spans="1:81" ht="17.100000000000001" customHeight="1" outlineLevel="1">
      <c r="A351" s="174"/>
      <c r="B351" s="30" t="s">
        <v>26</v>
      </c>
      <c r="C351" s="39"/>
      <c r="D351" s="39"/>
      <c r="E351" s="39"/>
      <c r="F351" s="39"/>
      <c r="G351" s="39"/>
      <c r="H351" s="39"/>
      <c r="I351" s="39"/>
      <c r="J351" s="39"/>
      <c r="K351" s="39"/>
      <c r="L351" s="39"/>
      <c r="M351" s="39"/>
      <c r="N351" s="39"/>
      <c r="O351" s="39"/>
      <c r="P351" s="39"/>
      <c r="Q351" s="39"/>
      <c r="R351" s="39"/>
      <c r="S351" s="39"/>
      <c r="T351" s="39"/>
      <c r="U351" s="39"/>
      <c r="V351" s="39"/>
      <c r="W351" s="39"/>
      <c r="X351" s="39"/>
      <c r="Y351" s="39"/>
      <c r="Z351" s="39"/>
      <c r="AA351" s="39"/>
      <c r="AB351" s="39"/>
      <c r="AC351" s="39"/>
      <c r="AD351" s="39"/>
      <c r="AE351" s="39"/>
      <c r="AF351" s="39"/>
      <c r="AG351" s="39"/>
      <c r="AH351" s="39"/>
      <c r="AI351" s="39"/>
      <c r="AJ351" s="39"/>
      <c r="AK351" s="39"/>
      <c r="AL351" s="39"/>
      <c r="AM351" s="39"/>
      <c r="AN351" s="40" t="str">
        <f>IF(AM351="","",SUM(C351:AL351)*AM351)</f>
        <v/>
      </c>
      <c r="AO351" s="39"/>
      <c r="AP351" s="39"/>
      <c r="AQ351" s="42">
        <f t="shared" si="1321"/>
        <v>0</v>
      </c>
      <c r="AR351" s="25">
        <f t="shared" si="1322"/>
        <v>0</v>
      </c>
      <c r="AT351" s="3" t="str">
        <f t="shared" ref="AT351:CA351" si="1335">IF(C351=0,"",ROUNDUP(C343/C351,0))</f>
        <v/>
      </c>
      <c r="AU351" s="3" t="str">
        <f t="shared" si="1335"/>
        <v/>
      </c>
      <c r="AV351" s="3" t="str">
        <f t="shared" si="1335"/>
        <v/>
      </c>
      <c r="AW351" s="3" t="str">
        <f t="shared" si="1335"/>
        <v/>
      </c>
      <c r="AX351" s="3" t="str">
        <f t="shared" si="1335"/>
        <v/>
      </c>
      <c r="AY351" s="3" t="str">
        <f t="shared" si="1335"/>
        <v/>
      </c>
      <c r="AZ351" s="3" t="str">
        <f t="shared" si="1335"/>
        <v/>
      </c>
      <c r="BA351" s="3" t="str">
        <f t="shared" si="1335"/>
        <v/>
      </c>
      <c r="BB351" s="3" t="str">
        <f t="shared" si="1335"/>
        <v/>
      </c>
      <c r="BC351" s="3" t="str">
        <f t="shared" si="1335"/>
        <v/>
      </c>
      <c r="BD351" s="3" t="str">
        <f t="shared" si="1335"/>
        <v/>
      </c>
      <c r="BE351" s="3" t="str">
        <f t="shared" si="1335"/>
        <v/>
      </c>
      <c r="BF351" s="3" t="str">
        <f t="shared" si="1335"/>
        <v/>
      </c>
      <c r="BG351" s="3" t="str">
        <f t="shared" si="1335"/>
        <v/>
      </c>
      <c r="BH351" s="3" t="str">
        <f t="shared" si="1335"/>
        <v/>
      </c>
      <c r="BI351" s="3" t="str">
        <f t="shared" si="1335"/>
        <v/>
      </c>
      <c r="BJ351" s="3" t="str">
        <f t="shared" si="1335"/>
        <v/>
      </c>
      <c r="BK351" s="3" t="str">
        <f t="shared" si="1335"/>
        <v/>
      </c>
      <c r="BL351" s="3" t="str">
        <f t="shared" si="1335"/>
        <v/>
      </c>
      <c r="BM351" s="3" t="str">
        <f t="shared" si="1335"/>
        <v/>
      </c>
      <c r="BN351" s="3" t="str">
        <f t="shared" si="1335"/>
        <v/>
      </c>
      <c r="BO351" s="3" t="str">
        <f t="shared" si="1335"/>
        <v/>
      </c>
      <c r="BP351" s="3" t="str">
        <f t="shared" si="1335"/>
        <v/>
      </c>
      <c r="BQ351" s="3" t="str">
        <f t="shared" si="1335"/>
        <v/>
      </c>
      <c r="BR351" s="3" t="str">
        <f t="shared" si="1335"/>
        <v/>
      </c>
      <c r="BS351" s="3" t="str">
        <f t="shared" si="1335"/>
        <v/>
      </c>
      <c r="BT351" s="3" t="str">
        <f t="shared" si="1335"/>
        <v/>
      </c>
      <c r="BU351" s="3" t="str">
        <f t="shared" si="1335"/>
        <v/>
      </c>
      <c r="BV351" s="3" t="str">
        <f t="shared" si="1335"/>
        <v/>
      </c>
      <c r="BW351" s="3" t="str">
        <f t="shared" si="1335"/>
        <v/>
      </c>
      <c r="BX351" s="3" t="str">
        <f t="shared" si="1335"/>
        <v/>
      </c>
      <c r="BY351" s="3" t="str">
        <f t="shared" si="1335"/>
        <v/>
      </c>
      <c r="BZ351" s="3" t="str">
        <f t="shared" si="1335"/>
        <v/>
      </c>
      <c r="CA351" s="3" t="str">
        <f t="shared" si="1335"/>
        <v/>
      </c>
      <c r="CB351" s="3" t="str">
        <f t="shared" ref="CB351" si="1336">IF(AK351=0,"",ROUNDUP(AK343/AK351,0))</f>
        <v/>
      </c>
      <c r="CC351" s="3" t="str">
        <f t="shared" ref="CC351" si="1337">IF(AL351=0,"",ROUNDUP(AL343/AL351,0))</f>
        <v/>
      </c>
    </row>
    <row r="352" spans="1:81" ht="17.100000000000001" customHeight="1" outlineLevel="1">
      <c r="A352" s="174"/>
      <c r="B352" s="30" t="s">
        <v>27</v>
      </c>
      <c r="C352" s="39"/>
      <c r="D352" s="39"/>
      <c r="E352" s="39"/>
      <c r="F352" s="39"/>
      <c r="G352" s="39"/>
      <c r="H352" s="39"/>
      <c r="I352" s="39"/>
      <c r="J352" s="39"/>
      <c r="K352" s="39"/>
      <c r="L352" s="39"/>
      <c r="M352" s="39"/>
      <c r="N352" s="39"/>
      <c r="O352" s="39"/>
      <c r="P352" s="39"/>
      <c r="Q352" s="39"/>
      <c r="R352" s="39"/>
      <c r="S352" s="39"/>
      <c r="T352" s="39"/>
      <c r="U352" s="39"/>
      <c r="V352" s="39"/>
      <c r="W352" s="39"/>
      <c r="X352" s="39"/>
      <c r="Y352" s="39"/>
      <c r="Z352" s="39"/>
      <c r="AA352" s="39"/>
      <c r="AB352" s="39"/>
      <c r="AC352" s="39"/>
      <c r="AD352" s="39"/>
      <c r="AE352" s="39"/>
      <c r="AF352" s="39"/>
      <c r="AG352" s="39"/>
      <c r="AH352" s="39"/>
      <c r="AI352" s="39"/>
      <c r="AJ352" s="39"/>
      <c r="AK352" s="39"/>
      <c r="AL352" s="39"/>
      <c r="AM352" s="39"/>
      <c r="AN352" s="40" t="str">
        <f t="shared" ref="AN352:AN353" si="1338">IF(AM352="","",SUM(C352:AL352)*AM352)</f>
        <v/>
      </c>
      <c r="AO352" s="39"/>
      <c r="AP352" s="39"/>
      <c r="AQ352" s="42">
        <f t="shared" si="1321"/>
        <v>0</v>
      </c>
      <c r="AR352" s="25">
        <f t="shared" si="1322"/>
        <v>0</v>
      </c>
      <c r="AT352" s="3" t="str">
        <f t="shared" ref="AT352:CA352" si="1339">IF(C352=0,"",ROUNDUP(C343/C352,0))</f>
        <v/>
      </c>
      <c r="AU352" s="3" t="str">
        <f t="shared" si="1339"/>
        <v/>
      </c>
      <c r="AV352" s="3" t="str">
        <f t="shared" si="1339"/>
        <v/>
      </c>
      <c r="AW352" s="3" t="str">
        <f t="shared" si="1339"/>
        <v/>
      </c>
      <c r="AX352" s="3" t="str">
        <f t="shared" si="1339"/>
        <v/>
      </c>
      <c r="AY352" s="3" t="str">
        <f t="shared" si="1339"/>
        <v/>
      </c>
      <c r="AZ352" s="3" t="str">
        <f t="shared" si="1339"/>
        <v/>
      </c>
      <c r="BA352" s="3" t="str">
        <f t="shared" si="1339"/>
        <v/>
      </c>
      <c r="BB352" s="3" t="str">
        <f t="shared" si="1339"/>
        <v/>
      </c>
      <c r="BC352" s="3" t="str">
        <f t="shared" si="1339"/>
        <v/>
      </c>
      <c r="BD352" s="3" t="str">
        <f t="shared" si="1339"/>
        <v/>
      </c>
      <c r="BE352" s="3" t="str">
        <f t="shared" si="1339"/>
        <v/>
      </c>
      <c r="BF352" s="3" t="str">
        <f t="shared" si="1339"/>
        <v/>
      </c>
      <c r="BG352" s="3" t="str">
        <f t="shared" si="1339"/>
        <v/>
      </c>
      <c r="BH352" s="3" t="str">
        <f t="shared" si="1339"/>
        <v/>
      </c>
      <c r="BI352" s="3" t="str">
        <f t="shared" si="1339"/>
        <v/>
      </c>
      <c r="BJ352" s="3" t="str">
        <f t="shared" si="1339"/>
        <v/>
      </c>
      <c r="BK352" s="3" t="str">
        <f t="shared" si="1339"/>
        <v/>
      </c>
      <c r="BL352" s="3" t="str">
        <f t="shared" si="1339"/>
        <v/>
      </c>
      <c r="BM352" s="3" t="str">
        <f t="shared" si="1339"/>
        <v/>
      </c>
      <c r="BN352" s="3" t="str">
        <f t="shared" si="1339"/>
        <v/>
      </c>
      <c r="BO352" s="3" t="str">
        <f t="shared" si="1339"/>
        <v/>
      </c>
      <c r="BP352" s="3" t="str">
        <f t="shared" si="1339"/>
        <v/>
      </c>
      <c r="BQ352" s="3" t="str">
        <f t="shared" si="1339"/>
        <v/>
      </c>
      <c r="BR352" s="3" t="str">
        <f t="shared" si="1339"/>
        <v/>
      </c>
      <c r="BS352" s="3" t="str">
        <f t="shared" si="1339"/>
        <v/>
      </c>
      <c r="BT352" s="3" t="str">
        <f t="shared" si="1339"/>
        <v/>
      </c>
      <c r="BU352" s="3" t="str">
        <f t="shared" si="1339"/>
        <v/>
      </c>
      <c r="BV352" s="3" t="str">
        <f t="shared" si="1339"/>
        <v/>
      </c>
      <c r="BW352" s="3" t="str">
        <f t="shared" si="1339"/>
        <v/>
      </c>
      <c r="BX352" s="3" t="str">
        <f t="shared" si="1339"/>
        <v/>
      </c>
      <c r="BY352" s="3" t="str">
        <f t="shared" si="1339"/>
        <v/>
      </c>
      <c r="BZ352" s="3" t="str">
        <f t="shared" si="1339"/>
        <v/>
      </c>
      <c r="CA352" s="3" t="str">
        <f t="shared" si="1339"/>
        <v/>
      </c>
      <c r="CB352" s="3" t="str">
        <f t="shared" ref="CB352" si="1340">IF(AK352=0,"",ROUNDUP(AK343/AK352,0))</f>
        <v/>
      </c>
      <c r="CC352" s="3" t="str">
        <f t="shared" ref="CC352" si="1341">IF(AL352=0,"",ROUNDUP(AL343/AL352,0))</f>
        <v/>
      </c>
    </row>
    <row r="353" spans="1:81" ht="17.100000000000001" customHeight="1" outlineLevel="1">
      <c r="A353" s="175"/>
      <c r="B353" s="30" t="s">
        <v>28</v>
      </c>
      <c r="C353" s="39"/>
      <c r="D353" s="39"/>
      <c r="E353" s="39"/>
      <c r="F353" s="39"/>
      <c r="G353" s="39"/>
      <c r="H353" s="39"/>
      <c r="I353" s="39"/>
      <c r="J353" s="39"/>
      <c r="K353" s="39"/>
      <c r="L353" s="39"/>
      <c r="M353" s="39"/>
      <c r="N353" s="39"/>
      <c r="O353" s="39"/>
      <c r="P353" s="39"/>
      <c r="Q353" s="39"/>
      <c r="R353" s="39"/>
      <c r="S353" s="39"/>
      <c r="T353" s="39"/>
      <c r="U353" s="39"/>
      <c r="V353" s="39"/>
      <c r="W353" s="39"/>
      <c r="X353" s="39"/>
      <c r="Y353" s="39"/>
      <c r="Z353" s="39"/>
      <c r="AA353" s="39"/>
      <c r="AB353" s="39"/>
      <c r="AC353" s="39"/>
      <c r="AD353" s="39"/>
      <c r="AE353" s="39"/>
      <c r="AF353" s="39"/>
      <c r="AG353" s="39"/>
      <c r="AH353" s="39"/>
      <c r="AI353" s="39"/>
      <c r="AJ353" s="39"/>
      <c r="AK353" s="39"/>
      <c r="AL353" s="39"/>
      <c r="AM353" s="39"/>
      <c r="AN353" s="41" t="str">
        <f t="shared" si="1338"/>
        <v/>
      </c>
      <c r="AO353" s="39"/>
      <c r="AP353" s="39"/>
      <c r="AQ353" s="42">
        <f t="shared" si="1321"/>
        <v>0</v>
      </c>
      <c r="AR353" s="25">
        <f t="shared" si="1322"/>
        <v>0</v>
      </c>
      <c r="AT353" s="3" t="str">
        <f t="shared" ref="AT353:CA353" si="1342">IF(C353=0,"",ROUNDUP(C343/C353,0))</f>
        <v/>
      </c>
      <c r="AU353" s="3" t="str">
        <f t="shared" si="1342"/>
        <v/>
      </c>
      <c r="AV353" s="3" t="str">
        <f t="shared" si="1342"/>
        <v/>
      </c>
      <c r="AW353" s="3" t="str">
        <f t="shared" si="1342"/>
        <v/>
      </c>
      <c r="AX353" s="3" t="str">
        <f t="shared" si="1342"/>
        <v/>
      </c>
      <c r="AY353" s="3" t="str">
        <f t="shared" si="1342"/>
        <v/>
      </c>
      <c r="AZ353" s="3" t="str">
        <f t="shared" si="1342"/>
        <v/>
      </c>
      <c r="BA353" s="3" t="str">
        <f t="shared" si="1342"/>
        <v/>
      </c>
      <c r="BB353" s="3" t="str">
        <f t="shared" si="1342"/>
        <v/>
      </c>
      <c r="BC353" s="3" t="str">
        <f t="shared" si="1342"/>
        <v/>
      </c>
      <c r="BD353" s="3" t="str">
        <f t="shared" si="1342"/>
        <v/>
      </c>
      <c r="BE353" s="3" t="str">
        <f t="shared" si="1342"/>
        <v/>
      </c>
      <c r="BF353" s="3" t="str">
        <f t="shared" si="1342"/>
        <v/>
      </c>
      <c r="BG353" s="3" t="str">
        <f t="shared" si="1342"/>
        <v/>
      </c>
      <c r="BH353" s="3" t="str">
        <f t="shared" si="1342"/>
        <v/>
      </c>
      <c r="BI353" s="3" t="str">
        <f t="shared" si="1342"/>
        <v/>
      </c>
      <c r="BJ353" s="3" t="str">
        <f t="shared" si="1342"/>
        <v/>
      </c>
      <c r="BK353" s="3" t="str">
        <f t="shared" si="1342"/>
        <v/>
      </c>
      <c r="BL353" s="3" t="str">
        <f t="shared" si="1342"/>
        <v/>
      </c>
      <c r="BM353" s="3" t="str">
        <f t="shared" si="1342"/>
        <v/>
      </c>
      <c r="BN353" s="3" t="str">
        <f t="shared" si="1342"/>
        <v/>
      </c>
      <c r="BO353" s="3" t="str">
        <f t="shared" si="1342"/>
        <v/>
      </c>
      <c r="BP353" s="3" t="str">
        <f t="shared" si="1342"/>
        <v/>
      </c>
      <c r="BQ353" s="3" t="str">
        <f t="shared" si="1342"/>
        <v/>
      </c>
      <c r="BR353" s="3" t="str">
        <f t="shared" si="1342"/>
        <v/>
      </c>
      <c r="BS353" s="3" t="str">
        <f t="shared" si="1342"/>
        <v/>
      </c>
      <c r="BT353" s="3" t="str">
        <f t="shared" si="1342"/>
        <v/>
      </c>
      <c r="BU353" s="3" t="str">
        <f t="shared" si="1342"/>
        <v/>
      </c>
      <c r="BV353" s="3" t="str">
        <f t="shared" si="1342"/>
        <v/>
      </c>
      <c r="BW353" s="3" t="str">
        <f t="shared" si="1342"/>
        <v/>
      </c>
      <c r="BX353" s="3" t="str">
        <f t="shared" si="1342"/>
        <v/>
      </c>
      <c r="BY353" s="3" t="str">
        <f t="shared" si="1342"/>
        <v/>
      </c>
      <c r="BZ353" s="3" t="str">
        <f t="shared" si="1342"/>
        <v/>
      </c>
      <c r="CA353" s="3" t="str">
        <f t="shared" si="1342"/>
        <v/>
      </c>
      <c r="CB353" s="3" t="str">
        <f t="shared" ref="CB353" si="1343">IF(AK353=0,"",ROUNDUP(AK343/AK353,0))</f>
        <v/>
      </c>
      <c r="CC353" s="3" t="str">
        <f t="shared" ref="CC353" si="1344">IF(AL353=0,"",ROUNDUP(AL343/AL353,0))</f>
        <v/>
      </c>
    </row>
    <row r="354" spans="1:81" ht="12.75" thickBot="1"/>
    <row r="355" spans="1:81" ht="21.95" customHeight="1" outlineLevel="1" thickBot="1">
      <c r="A355" s="201">
        <v>23</v>
      </c>
      <c r="B355" s="202"/>
      <c r="C355" s="203"/>
      <c r="AQ355" s="12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</row>
    <row r="356" spans="1:81" ht="17.100000000000001" customHeight="1" outlineLevel="1">
      <c r="A356" s="51" t="s">
        <v>29</v>
      </c>
      <c r="B356" s="50"/>
      <c r="C356" s="147" t="s">
        <v>10</v>
      </c>
      <c r="D356" s="148"/>
      <c r="E356" s="148"/>
      <c r="F356" s="148"/>
      <c r="G356" s="148"/>
      <c r="H356" s="148"/>
      <c r="I356" s="148"/>
      <c r="J356" s="148"/>
      <c r="K356" s="148"/>
      <c r="L356" s="148"/>
      <c r="M356" s="148"/>
      <c r="N356" s="148"/>
      <c r="O356" s="148"/>
      <c r="P356" s="148"/>
      <c r="Q356" s="148"/>
      <c r="R356" s="148"/>
      <c r="S356" s="148"/>
      <c r="T356" s="148"/>
      <c r="U356" s="148"/>
      <c r="V356" s="148"/>
      <c r="W356" s="148"/>
      <c r="X356" s="148"/>
      <c r="Y356" s="148"/>
      <c r="Z356" s="148"/>
      <c r="AA356" s="148"/>
      <c r="AB356" s="148"/>
      <c r="AC356" s="148"/>
      <c r="AD356" s="148"/>
      <c r="AE356" s="148"/>
      <c r="AF356" s="148"/>
      <c r="AG356" s="148"/>
      <c r="AH356" s="148"/>
      <c r="AI356" s="148"/>
      <c r="AJ356" s="148"/>
      <c r="AK356" s="148"/>
      <c r="AL356" s="148"/>
      <c r="AM356" s="10"/>
      <c r="AN356" s="31"/>
      <c r="AO356" s="35" t="s">
        <v>4</v>
      </c>
      <c r="AP356" s="149"/>
      <c r="AQ356" s="150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</row>
    <row r="357" spans="1:81" ht="27" outlineLevel="1">
      <c r="A357" s="52" t="s">
        <v>36</v>
      </c>
      <c r="B357" s="50"/>
      <c r="C357" s="26" t="str">
        <f>IF(C341=0,"",IF(C341&gt;0,C341))</f>
        <v/>
      </c>
      <c r="D357" s="26" t="str">
        <f t="shared" ref="D357:AL357" si="1345">IF(D341=0,"",IF(D341&gt;0,D341))</f>
        <v/>
      </c>
      <c r="E357" s="26" t="str">
        <f t="shared" si="1345"/>
        <v/>
      </c>
      <c r="F357" s="26" t="str">
        <f t="shared" si="1345"/>
        <v/>
      </c>
      <c r="G357" s="26" t="str">
        <f t="shared" si="1345"/>
        <v/>
      </c>
      <c r="H357" s="26" t="str">
        <f t="shared" si="1345"/>
        <v/>
      </c>
      <c r="I357" s="26" t="str">
        <f t="shared" si="1345"/>
        <v/>
      </c>
      <c r="J357" s="26" t="str">
        <f t="shared" si="1345"/>
        <v/>
      </c>
      <c r="K357" s="26" t="str">
        <f t="shared" si="1345"/>
        <v/>
      </c>
      <c r="L357" s="26" t="str">
        <f t="shared" si="1345"/>
        <v/>
      </c>
      <c r="M357" s="26" t="str">
        <f t="shared" si="1345"/>
        <v/>
      </c>
      <c r="N357" s="26" t="str">
        <f t="shared" si="1345"/>
        <v/>
      </c>
      <c r="O357" s="26" t="str">
        <f t="shared" si="1345"/>
        <v/>
      </c>
      <c r="P357" s="26" t="str">
        <f t="shared" si="1345"/>
        <v/>
      </c>
      <c r="Q357" s="26" t="str">
        <f t="shared" si="1345"/>
        <v/>
      </c>
      <c r="R357" s="26" t="str">
        <f t="shared" si="1345"/>
        <v/>
      </c>
      <c r="S357" s="26" t="str">
        <f t="shared" si="1345"/>
        <v/>
      </c>
      <c r="T357" s="26" t="str">
        <f t="shared" si="1345"/>
        <v/>
      </c>
      <c r="U357" s="26" t="str">
        <f t="shared" si="1345"/>
        <v/>
      </c>
      <c r="V357" s="26" t="str">
        <f t="shared" si="1345"/>
        <v/>
      </c>
      <c r="W357" s="26" t="str">
        <f t="shared" si="1345"/>
        <v/>
      </c>
      <c r="X357" s="26" t="str">
        <f t="shared" si="1345"/>
        <v/>
      </c>
      <c r="Y357" s="26" t="str">
        <f t="shared" si="1345"/>
        <v/>
      </c>
      <c r="Z357" s="26" t="str">
        <f t="shared" si="1345"/>
        <v/>
      </c>
      <c r="AA357" s="26" t="str">
        <f t="shared" si="1345"/>
        <v/>
      </c>
      <c r="AB357" s="26" t="str">
        <f t="shared" si="1345"/>
        <v/>
      </c>
      <c r="AC357" s="26" t="str">
        <f t="shared" si="1345"/>
        <v/>
      </c>
      <c r="AD357" s="26" t="str">
        <f t="shared" si="1345"/>
        <v/>
      </c>
      <c r="AE357" s="26" t="str">
        <f t="shared" si="1345"/>
        <v/>
      </c>
      <c r="AF357" s="26" t="str">
        <f t="shared" si="1345"/>
        <v/>
      </c>
      <c r="AG357" s="26" t="str">
        <f t="shared" si="1345"/>
        <v/>
      </c>
      <c r="AH357" s="26" t="str">
        <f t="shared" si="1345"/>
        <v/>
      </c>
      <c r="AI357" s="26" t="str">
        <f t="shared" si="1345"/>
        <v/>
      </c>
      <c r="AJ357" s="26" t="str">
        <f t="shared" si="1345"/>
        <v/>
      </c>
      <c r="AK357" s="26" t="str">
        <f t="shared" si="1345"/>
        <v/>
      </c>
      <c r="AL357" s="26" t="str">
        <f t="shared" si="1345"/>
        <v/>
      </c>
      <c r="AM357" s="5" t="s">
        <v>2</v>
      </c>
      <c r="AN357" s="31"/>
      <c r="AO357" s="32" t="s">
        <v>5</v>
      </c>
      <c r="AP357" s="151">
        <f>SUM(AQ362:AQ369)</f>
        <v>0</v>
      </c>
      <c r="AQ357" s="151"/>
      <c r="AT357" s="2" t="str">
        <f t="shared" ref="AT357:BY357" si="1346">IF(C357=0,"",IF(C357&gt;0,C357))</f>
        <v/>
      </c>
      <c r="AU357" s="2" t="str">
        <f t="shared" si="1346"/>
        <v/>
      </c>
      <c r="AV357" s="2" t="str">
        <f t="shared" si="1346"/>
        <v/>
      </c>
      <c r="AW357" s="2" t="str">
        <f t="shared" si="1346"/>
        <v/>
      </c>
      <c r="AX357" s="2" t="str">
        <f t="shared" si="1346"/>
        <v/>
      </c>
      <c r="AY357" s="2" t="str">
        <f t="shared" si="1346"/>
        <v/>
      </c>
      <c r="AZ357" s="2" t="str">
        <f t="shared" si="1346"/>
        <v/>
      </c>
      <c r="BA357" s="2" t="str">
        <f t="shared" si="1346"/>
        <v/>
      </c>
      <c r="BB357" s="2" t="str">
        <f t="shared" si="1346"/>
        <v/>
      </c>
      <c r="BC357" s="2" t="str">
        <f t="shared" si="1346"/>
        <v/>
      </c>
      <c r="BD357" s="2" t="str">
        <f t="shared" si="1346"/>
        <v/>
      </c>
      <c r="BE357" s="2" t="str">
        <f t="shared" si="1346"/>
        <v/>
      </c>
      <c r="BF357" s="2" t="str">
        <f t="shared" si="1346"/>
        <v/>
      </c>
      <c r="BG357" s="2" t="str">
        <f t="shared" si="1346"/>
        <v/>
      </c>
      <c r="BH357" s="2" t="str">
        <f t="shared" si="1346"/>
        <v/>
      </c>
      <c r="BI357" s="2" t="str">
        <f t="shared" si="1346"/>
        <v/>
      </c>
      <c r="BJ357" s="2" t="str">
        <f t="shared" si="1346"/>
        <v/>
      </c>
      <c r="BK357" s="2" t="str">
        <f t="shared" si="1346"/>
        <v/>
      </c>
      <c r="BL357" s="2" t="str">
        <f t="shared" si="1346"/>
        <v/>
      </c>
      <c r="BM357" s="2" t="str">
        <f t="shared" si="1346"/>
        <v/>
      </c>
      <c r="BN357" s="2" t="str">
        <f t="shared" si="1346"/>
        <v/>
      </c>
      <c r="BO357" s="2" t="str">
        <f t="shared" si="1346"/>
        <v/>
      </c>
      <c r="BP357" s="2" t="str">
        <f t="shared" si="1346"/>
        <v/>
      </c>
      <c r="BQ357" s="2" t="str">
        <f t="shared" si="1346"/>
        <v/>
      </c>
      <c r="BR357" s="2" t="str">
        <f t="shared" si="1346"/>
        <v/>
      </c>
      <c r="BS357" s="2" t="str">
        <f t="shared" si="1346"/>
        <v/>
      </c>
      <c r="BT357" s="2" t="str">
        <f t="shared" si="1346"/>
        <v/>
      </c>
      <c r="BU357" s="2" t="str">
        <f t="shared" si="1346"/>
        <v/>
      </c>
      <c r="BV357" s="2" t="str">
        <f t="shared" si="1346"/>
        <v/>
      </c>
      <c r="BW357" s="2" t="str">
        <f t="shared" si="1346"/>
        <v/>
      </c>
      <c r="BX357" s="2" t="str">
        <f t="shared" si="1346"/>
        <v/>
      </c>
      <c r="BY357" s="2" t="str">
        <f t="shared" si="1346"/>
        <v/>
      </c>
      <c r="BZ357" s="2" t="str">
        <f t="shared" ref="BZ357" si="1347">IF(AI357=0,"",IF(AI357&gt;0,AI357))</f>
        <v/>
      </c>
      <c r="CA357" s="2" t="str">
        <f t="shared" ref="CA357" si="1348">IF(AJ357=0,"",IF(AJ357&gt;0,AJ357))</f>
        <v/>
      </c>
      <c r="CB357" s="2" t="str">
        <f t="shared" ref="CB357" si="1349">IF(AK357=0,"",IF(AK357&gt;0,AK357))</f>
        <v/>
      </c>
      <c r="CC357" s="2" t="str">
        <f t="shared" ref="CC357" si="1350">IF(AL357=0,"",IF(AL357&gt;0,AL357))</f>
        <v/>
      </c>
    </row>
    <row r="358" spans="1:81" ht="17.100000000000001" customHeight="1" outlineLevel="1">
      <c r="A358" s="152" t="s">
        <v>30</v>
      </c>
      <c r="B358" s="153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6"/>
      <c r="O358" s="46"/>
      <c r="P358" s="46"/>
      <c r="Q358" s="46"/>
      <c r="R358" s="46"/>
      <c r="S358" s="46"/>
      <c r="T358" s="46"/>
      <c r="U358" s="46"/>
      <c r="V358" s="46"/>
      <c r="W358" s="46"/>
      <c r="X358" s="46"/>
      <c r="Y358" s="46"/>
      <c r="Z358" s="46"/>
      <c r="AA358" s="46"/>
      <c r="AB358" s="46"/>
      <c r="AC358" s="46"/>
      <c r="AD358" s="46"/>
      <c r="AE358" s="46"/>
      <c r="AF358" s="46"/>
      <c r="AG358" s="46"/>
      <c r="AH358" s="46"/>
      <c r="AI358" s="46"/>
      <c r="AJ358" s="46"/>
      <c r="AK358" s="46"/>
      <c r="AL358" s="46"/>
      <c r="AM358" s="45">
        <f>SUM(C358:AL358)</f>
        <v>0</v>
      </c>
      <c r="AN358" s="33"/>
      <c r="AO358" s="34" t="str">
        <f>IF(AP358&lt;5,"NO ",IF(AP358=5,"ok",IF(AP358&gt;5,"ok")))</f>
        <v xml:space="preserve">NO </v>
      </c>
      <c r="AP358" s="154">
        <f>AP356-AP357-AP359</f>
        <v>0</v>
      </c>
      <c r="AQ358" s="154"/>
      <c r="AR358" s="16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</row>
    <row r="359" spans="1:81" ht="17.100000000000001" customHeight="1" outlineLevel="1">
      <c r="A359" s="152"/>
      <c r="B359" s="153"/>
      <c r="C359" s="47" t="str">
        <f>IF(C357="","",C358-C362*$AM362-C363*$AM363-C364*$AM364-C365*$AM365-C366*$AM366-C367*$AM367-C368*$AM368-C369*$AM369)</f>
        <v/>
      </c>
      <c r="D359" s="47" t="str">
        <f t="shared" ref="D359" si="1351">IF(D357="","",D358-D362*$AM362-D363*$AM363-D364*$AM364-D365*$AM365-D366*$AM366-D367*$AM367-D368*$AM368-D369*$AM369)</f>
        <v/>
      </c>
      <c r="E359" s="47" t="str">
        <f t="shared" ref="E359" si="1352">IF(E357="","",E358-E362*$AM362-E363*$AM363-E364*$AM364-E365*$AM365-E366*$AM366-E367*$AM367-E368*$AM368-E369*$AM369)</f>
        <v/>
      </c>
      <c r="F359" s="47" t="str">
        <f t="shared" ref="F359" si="1353">IF(F357="","",F358-F362*$AM362-F363*$AM363-F364*$AM364-F365*$AM365-F366*$AM366-F367*$AM367-F368*$AM368-F369*$AM369)</f>
        <v/>
      </c>
      <c r="G359" s="47" t="str">
        <f t="shared" ref="G359" si="1354">IF(G357="","",G358-G362*$AM362-G363*$AM363-G364*$AM364-G365*$AM365-G366*$AM366-G367*$AM367-G368*$AM368-G369*$AM369)</f>
        <v/>
      </c>
      <c r="H359" s="47" t="str">
        <f t="shared" ref="H359" si="1355">IF(H357="","",H358-H362*$AM362-H363*$AM363-H364*$AM364-H365*$AM365-H366*$AM366-H367*$AM367-H368*$AM368-H369*$AM369)</f>
        <v/>
      </c>
      <c r="I359" s="47" t="str">
        <f t="shared" ref="I359" si="1356">IF(I357="","",I358-I362*$AM362-I363*$AM363-I364*$AM364-I365*$AM365-I366*$AM366-I367*$AM367-I368*$AM368-I369*$AM369)</f>
        <v/>
      </c>
      <c r="J359" s="47" t="str">
        <f t="shared" ref="J359" si="1357">IF(J357="","",J358-J362*$AM362-J363*$AM363-J364*$AM364-J365*$AM365-J366*$AM366-J367*$AM367-J368*$AM368-J369*$AM369)</f>
        <v/>
      </c>
      <c r="K359" s="47" t="str">
        <f t="shared" ref="K359" si="1358">IF(K357="","",K358-K362*$AM362-K363*$AM363-K364*$AM364-K365*$AM365-K366*$AM366-K367*$AM367-K368*$AM368-K369*$AM369)</f>
        <v/>
      </c>
      <c r="L359" s="47" t="str">
        <f t="shared" ref="L359" si="1359">IF(L357="","",L358-L362*$AM362-L363*$AM363-L364*$AM364-L365*$AM365-L366*$AM366-L367*$AM367-L368*$AM368-L369*$AM369)</f>
        <v/>
      </c>
      <c r="M359" s="47" t="str">
        <f t="shared" ref="M359" si="1360">IF(M357="","",M358-M362*$AM362-M363*$AM363-M364*$AM364-M365*$AM365-M366*$AM366-M367*$AM367-M368*$AM368-M369*$AM369)</f>
        <v/>
      </c>
      <c r="N359" s="47" t="str">
        <f t="shared" ref="N359" si="1361">IF(N357="","",N358-N362*$AM362-N363*$AM363-N364*$AM364-N365*$AM365-N366*$AM366-N367*$AM367-N368*$AM368-N369*$AM369)</f>
        <v/>
      </c>
      <c r="O359" s="47" t="str">
        <f t="shared" ref="O359" si="1362">IF(O357="","",O358-O362*$AM362-O363*$AM363-O364*$AM364-O365*$AM365-O366*$AM366-O367*$AM367-O368*$AM368-O369*$AM369)</f>
        <v/>
      </c>
      <c r="P359" s="47" t="str">
        <f t="shared" ref="P359" si="1363">IF(P357="","",P358-P362*$AM362-P363*$AM363-P364*$AM364-P365*$AM365-P366*$AM366-P367*$AM367-P368*$AM368-P369*$AM369)</f>
        <v/>
      </c>
      <c r="Q359" s="47" t="str">
        <f t="shared" ref="Q359" si="1364">IF(Q357="","",Q358-Q362*$AM362-Q363*$AM363-Q364*$AM364-Q365*$AM365-Q366*$AM366-Q367*$AM367-Q368*$AM368-Q369*$AM369)</f>
        <v/>
      </c>
      <c r="R359" s="47" t="str">
        <f t="shared" ref="R359" si="1365">IF(R357="","",R358-R362*$AM362-R363*$AM363-R364*$AM364-R365*$AM365-R366*$AM366-R367*$AM367-R368*$AM368-R369*$AM369)</f>
        <v/>
      </c>
      <c r="S359" s="47" t="str">
        <f t="shared" ref="S359" si="1366">IF(S357="","",S358-S362*$AM362-S363*$AM363-S364*$AM364-S365*$AM365-S366*$AM366-S367*$AM367-S368*$AM368-S369*$AM369)</f>
        <v/>
      </c>
      <c r="T359" s="47" t="str">
        <f t="shared" ref="T359" si="1367">IF(T357="","",T358-T362*$AM362-T363*$AM363-T364*$AM364-T365*$AM365-T366*$AM366-T367*$AM367-T368*$AM368-T369*$AM369)</f>
        <v/>
      </c>
      <c r="U359" s="47" t="str">
        <f t="shared" ref="U359" si="1368">IF(U357="","",U358-U362*$AM362-U363*$AM363-U364*$AM364-U365*$AM365-U366*$AM366-U367*$AM367-U368*$AM368-U369*$AM369)</f>
        <v/>
      </c>
      <c r="V359" s="47" t="str">
        <f t="shared" ref="V359" si="1369">IF(V357="","",V358-V362*$AM362-V363*$AM363-V364*$AM364-V365*$AM365-V366*$AM366-V367*$AM367-V368*$AM368-V369*$AM369)</f>
        <v/>
      </c>
      <c r="W359" s="47" t="str">
        <f t="shared" ref="W359" si="1370">IF(W357="","",W358-W362*$AM362-W363*$AM363-W364*$AM364-W365*$AM365-W366*$AM366-W367*$AM367-W368*$AM368-W369*$AM369)</f>
        <v/>
      </c>
      <c r="X359" s="47" t="str">
        <f t="shared" ref="X359" si="1371">IF(X357="","",X358-X362*$AM362-X363*$AM363-X364*$AM364-X365*$AM365-X366*$AM366-X367*$AM367-X368*$AM368-X369*$AM369)</f>
        <v/>
      </c>
      <c r="Y359" s="47" t="str">
        <f t="shared" ref="Y359" si="1372">IF(Y357="","",Y358-Y362*$AM362-Y363*$AM363-Y364*$AM364-Y365*$AM365-Y366*$AM366-Y367*$AM367-Y368*$AM368-Y369*$AM369)</f>
        <v/>
      </c>
      <c r="Z359" s="47" t="str">
        <f t="shared" ref="Z359" si="1373">IF(Z357="","",Z358-Z362*$AM362-Z363*$AM363-Z364*$AM364-Z365*$AM365-Z366*$AM366-Z367*$AM367-Z368*$AM368-Z369*$AM369)</f>
        <v/>
      </c>
      <c r="AA359" s="47" t="str">
        <f t="shared" ref="AA359" si="1374">IF(AA357="","",AA358-AA362*$AM362-AA363*$AM363-AA364*$AM364-AA365*$AM365-AA366*$AM366-AA367*$AM367-AA368*$AM368-AA369*$AM369)</f>
        <v/>
      </c>
      <c r="AB359" s="47" t="str">
        <f t="shared" ref="AB359" si="1375">IF(AB357="","",AB358-AB362*$AM362-AB363*$AM363-AB364*$AM364-AB365*$AM365-AB366*$AM366-AB367*$AM367-AB368*$AM368-AB369*$AM369)</f>
        <v/>
      </c>
      <c r="AC359" s="47" t="str">
        <f t="shared" ref="AC359" si="1376">IF(AC357="","",AC358-AC362*$AM362-AC363*$AM363-AC364*$AM364-AC365*$AM365-AC366*$AM366-AC367*$AM367-AC368*$AM368-AC369*$AM369)</f>
        <v/>
      </c>
      <c r="AD359" s="47" t="str">
        <f t="shared" ref="AD359" si="1377">IF(AD357="","",AD358-AD362*$AM362-AD363*$AM363-AD364*$AM364-AD365*$AM365-AD366*$AM366-AD367*$AM367-AD368*$AM368-AD369*$AM369)</f>
        <v/>
      </c>
      <c r="AE359" s="47" t="str">
        <f t="shared" ref="AE359" si="1378">IF(AE357="","",AE358-AE362*$AM362-AE363*$AM363-AE364*$AM364-AE365*$AM365-AE366*$AM366-AE367*$AM367-AE368*$AM368-AE369*$AM369)</f>
        <v/>
      </c>
      <c r="AF359" s="47" t="str">
        <f t="shared" ref="AF359" si="1379">IF(AF357="","",AF358-AF362*$AM362-AF363*$AM363-AF364*$AM364-AF365*$AM365-AF366*$AM366-AF367*$AM367-AF368*$AM368-AF369*$AM369)</f>
        <v/>
      </c>
      <c r="AG359" s="47" t="str">
        <f t="shared" ref="AG359" si="1380">IF(AG357="","",AG358-AG362*$AM362-AG363*$AM363-AG364*$AM364-AG365*$AM365-AG366*$AM366-AG367*$AM367-AG368*$AM368-AG369*$AM369)</f>
        <v/>
      </c>
      <c r="AH359" s="47" t="str">
        <f t="shared" ref="AH359" si="1381">IF(AH357="","",AH358-AH362*$AM362-AH363*$AM363-AH364*$AM364-AH365*$AM365-AH366*$AM366-AH367*$AM367-AH368*$AM368-AH369*$AM369)</f>
        <v/>
      </c>
      <c r="AI359" s="47" t="str">
        <f t="shared" ref="AI359" si="1382">IF(AI357="","",AI358-AI362*$AM362-AI363*$AM363-AI364*$AM364-AI365*$AM365-AI366*$AM366-AI367*$AM367-AI368*$AM368-AI369*$AM369)</f>
        <v/>
      </c>
      <c r="AJ359" s="47" t="str">
        <f t="shared" ref="AJ359" si="1383">IF(AJ357="","",AJ358-AJ362*$AM362-AJ363*$AM363-AJ364*$AM364-AJ365*$AM365-AJ366*$AM366-AJ367*$AM367-AJ368*$AM368-AJ369*$AM369)</f>
        <v/>
      </c>
      <c r="AK359" s="47" t="str">
        <f>IF(AK357="","",AK358-AK362*$AM362-AK363*$AM363-AK364*$AM364-AK365*$AM365-AK366*$AM366-AK367*$AM367-AK368*$AM368-AK369*$AM369)</f>
        <v/>
      </c>
      <c r="AL359" s="47" t="str">
        <f t="shared" ref="AL359" si="1384">IF(AL357="","",AL358-AL362*$AM362-AL363*$AM363-AL364*$AM364-AL365*$AM365-AL366*$AM366-AL367*$AM367-AL368*$AM368-AL369*$AM369)</f>
        <v/>
      </c>
      <c r="AM359" s="45">
        <f>SUM(C359:AL359)</f>
        <v>0</v>
      </c>
      <c r="AN359" s="155" t="s">
        <v>33</v>
      </c>
      <c r="AO359" s="156"/>
      <c r="AP359" s="157"/>
      <c r="AQ359" s="158"/>
      <c r="AR359" s="17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</row>
    <row r="360" spans="1:81" ht="17.100000000000001" customHeight="1" outlineLevel="1">
      <c r="A360" s="177" t="s">
        <v>20</v>
      </c>
      <c r="B360" s="178"/>
      <c r="C360" s="181" t="s">
        <v>0</v>
      </c>
      <c r="D360" s="182"/>
      <c r="E360" s="182"/>
      <c r="F360" s="182"/>
      <c r="G360" s="182"/>
      <c r="H360" s="182"/>
      <c r="I360" s="182"/>
      <c r="J360" s="182"/>
      <c r="K360" s="182"/>
      <c r="L360" s="182"/>
      <c r="M360" s="182"/>
      <c r="N360" s="182"/>
      <c r="O360" s="182"/>
      <c r="P360" s="182"/>
      <c r="Q360" s="182"/>
      <c r="R360" s="182"/>
      <c r="S360" s="182"/>
      <c r="T360" s="182"/>
      <c r="U360" s="182"/>
      <c r="V360" s="182"/>
      <c r="W360" s="182"/>
      <c r="X360" s="182"/>
      <c r="Y360" s="182"/>
      <c r="Z360" s="182"/>
      <c r="AA360" s="182"/>
      <c r="AB360" s="182"/>
      <c r="AC360" s="182"/>
      <c r="AD360" s="182"/>
      <c r="AE360" s="182"/>
      <c r="AF360" s="182"/>
      <c r="AG360" s="182"/>
      <c r="AH360" s="182"/>
      <c r="AI360" s="182"/>
      <c r="AJ360" s="182"/>
      <c r="AK360" s="182"/>
      <c r="AL360" s="183"/>
      <c r="AM360" s="187" t="s">
        <v>1</v>
      </c>
      <c r="AN360" s="200" t="s">
        <v>11</v>
      </c>
      <c r="AO360" s="196" t="s">
        <v>12</v>
      </c>
      <c r="AP360" s="197"/>
      <c r="AQ360" s="193" t="s">
        <v>6</v>
      </c>
      <c r="AR360" s="24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</row>
    <row r="361" spans="1:81" ht="17.100000000000001" customHeight="1" outlineLevel="1">
      <c r="A361" s="179"/>
      <c r="B361" s="180"/>
      <c r="C361" s="184"/>
      <c r="D361" s="185"/>
      <c r="E361" s="185"/>
      <c r="F361" s="185"/>
      <c r="G361" s="185"/>
      <c r="H361" s="185"/>
      <c r="I361" s="185"/>
      <c r="J361" s="185"/>
      <c r="K361" s="185"/>
      <c r="L361" s="185"/>
      <c r="M361" s="185"/>
      <c r="N361" s="185"/>
      <c r="O361" s="185"/>
      <c r="P361" s="185"/>
      <c r="Q361" s="185"/>
      <c r="R361" s="185"/>
      <c r="S361" s="185"/>
      <c r="T361" s="185"/>
      <c r="U361" s="185"/>
      <c r="V361" s="185"/>
      <c r="W361" s="185"/>
      <c r="X361" s="185"/>
      <c r="Y361" s="185"/>
      <c r="Z361" s="185"/>
      <c r="AA361" s="185"/>
      <c r="AB361" s="185"/>
      <c r="AC361" s="185"/>
      <c r="AD361" s="185"/>
      <c r="AE361" s="185"/>
      <c r="AF361" s="185"/>
      <c r="AG361" s="185"/>
      <c r="AH361" s="185"/>
      <c r="AI361" s="185"/>
      <c r="AJ361" s="185"/>
      <c r="AK361" s="185"/>
      <c r="AL361" s="186"/>
      <c r="AM361" s="188"/>
      <c r="AN361" s="190"/>
      <c r="AO361" s="18" t="s">
        <v>3</v>
      </c>
      <c r="AP361" s="19" t="s">
        <v>13</v>
      </c>
      <c r="AQ361" s="172"/>
      <c r="AR361" s="27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</row>
    <row r="362" spans="1:81" ht="17.100000000000001" customHeight="1" outlineLevel="1">
      <c r="A362" s="173"/>
      <c r="B362" s="30" t="s">
        <v>21</v>
      </c>
      <c r="C362" s="39"/>
      <c r="D362" s="39"/>
      <c r="E362" s="39"/>
      <c r="F362" s="39"/>
      <c r="G362" s="39"/>
      <c r="H362" s="39"/>
      <c r="I362" s="39"/>
      <c r="J362" s="39"/>
      <c r="K362" s="39"/>
      <c r="L362" s="39"/>
      <c r="M362" s="39"/>
      <c r="N362" s="39"/>
      <c r="O362" s="39"/>
      <c r="P362" s="39"/>
      <c r="Q362" s="39"/>
      <c r="R362" s="39"/>
      <c r="S362" s="39"/>
      <c r="T362" s="39"/>
      <c r="U362" s="39"/>
      <c r="V362" s="39"/>
      <c r="W362" s="39"/>
      <c r="X362" s="39"/>
      <c r="Y362" s="39"/>
      <c r="Z362" s="39"/>
      <c r="AA362" s="39"/>
      <c r="AB362" s="39"/>
      <c r="AC362" s="39"/>
      <c r="AD362" s="39"/>
      <c r="AE362" s="39"/>
      <c r="AF362" s="39"/>
      <c r="AG362" s="39"/>
      <c r="AH362" s="39"/>
      <c r="AI362" s="39"/>
      <c r="AJ362" s="39"/>
      <c r="AK362" s="39"/>
      <c r="AL362" s="39"/>
      <c r="AM362" s="39"/>
      <c r="AN362" s="40" t="str">
        <f>IF(AM362="","",SUM(C362:AL362)*AM362)</f>
        <v/>
      </c>
      <c r="AO362" s="39"/>
      <c r="AP362" s="39"/>
      <c r="AQ362" s="42">
        <f>(AO362+AR362)*AM362</f>
        <v>0</v>
      </c>
      <c r="AR362" s="25">
        <f>AP362/36</f>
        <v>0</v>
      </c>
      <c r="AT362" s="3" t="str">
        <f t="shared" ref="AT362:CA362" si="1385">IF(C362=0,"",ROUNDUP(C359/C362,0))</f>
        <v/>
      </c>
      <c r="AU362" s="3" t="str">
        <f t="shared" si="1385"/>
        <v/>
      </c>
      <c r="AV362" s="3" t="str">
        <f t="shared" si="1385"/>
        <v/>
      </c>
      <c r="AW362" s="3" t="str">
        <f t="shared" si="1385"/>
        <v/>
      </c>
      <c r="AX362" s="3" t="str">
        <f t="shared" si="1385"/>
        <v/>
      </c>
      <c r="AY362" s="3" t="str">
        <f t="shared" si="1385"/>
        <v/>
      </c>
      <c r="AZ362" s="3" t="str">
        <f t="shared" si="1385"/>
        <v/>
      </c>
      <c r="BA362" s="3" t="str">
        <f t="shared" si="1385"/>
        <v/>
      </c>
      <c r="BB362" s="3" t="str">
        <f t="shared" si="1385"/>
        <v/>
      </c>
      <c r="BC362" s="3" t="str">
        <f t="shared" si="1385"/>
        <v/>
      </c>
      <c r="BD362" s="3" t="str">
        <f t="shared" si="1385"/>
        <v/>
      </c>
      <c r="BE362" s="3" t="str">
        <f t="shared" si="1385"/>
        <v/>
      </c>
      <c r="BF362" s="3" t="str">
        <f t="shared" si="1385"/>
        <v/>
      </c>
      <c r="BG362" s="3" t="str">
        <f t="shared" si="1385"/>
        <v/>
      </c>
      <c r="BH362" s="3" t="str">
        <f t="shared" si="1385"/>
        <v/>
      </c>
      <c r="BI362" s="3" t="str">
        <f t="shared" si="1385"/>
        <v/>
      </c>
      <c r="BJ362" s="3" t="str">
        <f t="shared" si="1385"/>
        <v/>
      </c>
      <c r="BK362" s="3" t="str">
        <f t="shared" si="1385"/>
        <v/>
      </c>
      <c r="BL362" s="3" t="str">
        <f t="shared" si="1385"/>
        <v/>
      </c>
      <c r="BM362" s="3" t="str">
        <f t="shared" si="1385"/>
        <v/>
      </c>
      <c r="BN362" s="3" t="str">
        <f t="shared" si="1385"/>
        <v/>
      </c>
      <c r="BO362" s="3" t="str">
        <f t="shared" si="1385"/>
        <v/>
      </c>
      <c r="BP362" s="3" t="str">
        <f t="shared" si="1385"/>
        <v/>
      </c>
      <c r="BQ362" s="3" t="str">
        <f t="shared" si="1385"/>
        <v/>
      </c>
      <c r="BR362" s="3" t="str">
        <f t="shared" si="1385"/>
        <v/>
      </c>
      <c r="BS362" s="3" t="str">
        <f t="shared" si="1385"/>
        <v/>
      </c>
      <c r="BT362" s="3" t="str">
        <f t="shared" si="1385"/>
        <v/>
      </c>
      <c r="BU362" s="3" t="str">
        <f t="shared" si="1385"/>
        <v/>
      </c>
      <c r="BV362" s="3" t="str">
        <f t="shared" si="1385"/>
        <v/>
      </c>
      <c r="BW362" s="3" t="str">
        <f t="shared" si="1385"/>
        <v/>
      </c>
      <c r="BX362" s="3" t="str">
        <f t="shared" si="1385"/>
        <v/>
      </c>
      <c r="BY362" s="3" t="str">
        <f t="shared" si="1385"/>
        <v/>
      </c>
      <c r="BZ362" s="3" t="str">
        <f t="shared" si="1385"/>
        <v/>
      </c>
      <c r="CA362" s="3" t="str">
        <f t="shared" si="1385"/>
        <v/>
      </c>
      <c r="CB362" s="3" t="str">
        <f t="shared" ref="CB362" si="1386">IF(AK362=0,"",ROUNDUP(AK359/AK362,0))</f>
        <v/>
      </c>
      <c r="CC362" s="3" t="str">
        <f t="shared" ref="CC362" si="1387">IF(AL362=0,"",ROUNDUP(AL359/AL362,0))</f>
        <v/>
      </c>
    </row>
    <row r="363" spans="1:81" ht="17.100000000000001" customHeight="1" outlineLevel="1">
      <c r="A363" s="174"/>
      <c r="B363" s="30" t="s">
        <v>22</v>
      </c>
      <c r="C363" s="39"/>
      <c r="D363" s="39"/>
      <c r="E363" s="39"/>
      <c r="F363" s="39"/>
      <c r="G363" s="39"/>
      <c r="H363" s="39"/>
      <c r="I363" s="39"/>
      <c r="J363" s="39"/>
      <c r="K363" s="39"/>
      <c r="L363" s="39"/>
      <c r="M363" s="39"/>
      <c r="N363" s="39"/>
      <c r="O363" s="39"/>
      <c r="P363" s="39"/>
      <c r="Q363" s="39"/>
      <c r="R363" s="39"/>
      <c r="S363" s="39"/>
      <c r="T363" s="39"/>
      <c r="U363" s="39"/>
      <c r="V363" s="39"/>
      <c r="W363" s="39"/>
      <c r="X363" s="39"/>
      <c r="Y363" s="39"/>
      <c r="Z363" s="39"/>
      <c r="AA363" s="39"/>
      <c r="AB363" s="39"/>
      <c r="AC363" s="39"/>
      <c r="AD363" s="39"/>
      <c r="AE363" s="39"/>
      <c r="AF363" s="39"/>
      <c r="AG363" s="39"/>
      <c r="AH363" s="39"/>
      <c r="AI363" s="39"/>
      <c r="AJ363" s="39"/>
      <c r="AK363" s="39"/>
      <c r="AL363" s="39"/>
      <c r="AM363" s="39"/>
      <c r="AN363" s="40" t="str">
        <f t="shared" ref="AN363:AN366" si="1388">IF(AM363="","",SUM(C363:AL363)*AM363)</f>
        <v/>
      </c>
      <c r="AO363" s="39"/>
      <c r="AP363" s="39"/>
      <c r="AQ363" s="42">
        <f t="shared" ref="AQ363:AQ369" si="1389">(AO363+AR363)*AM363</f>
        <v>0</v>
      </c>
      <c r="AR363" s="25">
        <f t="shared" ref="AR363:AR369" si="1390">AP363/36</f>
        <v>0</v>
      </c>
      <c r="AT363" s="3" t="str">
        <f t="shared" ref="AT363:CA363" si="1391">IF(C363=0,"",ROUNDUP(C359/C363,0))</f>
        <v/>
      </c>
      <c r="AU363" s="3" t="str">
        <f t="shared" si="1391"/>
        <v/>
      </c>
      <c r="AV363" s="3" t="str">
        <f t="shared" si="1391"/>
        <v/>
      </c>
      <c r="AW363" s="3" t="str">
        <f t="shared" si="1391"/>
        <v/>
      </c>
      <c r="AX363" s="3" t="str">
        <f t="shared" si="1391"/>
        <v/>
      </c>
      <c r="AY363" s="3" t="str">
        <f t="shared" si="1391"/>
        <v/>
      </c>
      <c r="AZ363" s="3" t="str">
        <f t="shared" si="1391"/>
        <v/>
      </c>
      <c r="BA363" s="3" t="str">
        <f t="shared" si="1391"/>
        <v/>
      </c>
      <c r="BB363" s="3" t="str">
        <f t="shared" si="1391"/>
        <v/>
      </c>
      <c r="BC363" s="3" t="str">
        <f t="shared" si="1391"/>
        <v/>
      </c>
      <c r="BD363" s="3" t="str">
        <f t="shared" si="1391"/>
        <v/>
      </c>
      <c r="BE363" s="3" t="str">
        <f t="shared" si="1391"/>
        <v/>
      </c>
      <c r="BF363" s="3" t="str">
        <f t="shared" si="1391"/>
        <v/>
      </c>
      <c r="BG363" s="3" t="str">
        <f t="shared" si="1391"/>
        <v/>
      </c>
      <c r="BH363" s="3" t="str">
        <f t="shared" si="1391"/>
        <v/>
      </c>
      <c r="BI363" s="3" t="str">
        <f t="shared" si="1391"/>
        <v/>
      </c>
      <c r="BJ363" s="3" t="str">
        <f t="shared" si="1391"/>
        <v/>
      </c>
      <c r="BK363" s="3" t="str">
        <f t="shared" si="1391"/>
        <v/>
      </c>
      <c r="BL363" s="3" t="str">
        <f t="shared" si="1391"/>
        <v/>
      </c>
      <c r="BM363" s="3" t="str">
        <f t="shared" si="1391"/>
        <v/>
      </c>
      <c r="BN363" s="3" t="str">
        <f t="shared" si="1391"/>
        <v/>
      </c>
      <c r="BO363" s="3" t="str">
        <f t="shared" si="1391"/>
        <v/>
      </c>
      <c r="BP363" s="3" t="str">
        <f t="shared" si="1391"/>
        <v/>
      </c>
      <c r="BQ363" s="3" t="str">
        <f t="shared" si="1391"/>
        <v/>
      </c>
      <c r="BR363" s="3" t="str">
        <f t="shared" si="1391"/>
        <v/>
      </c>
      <c r="BS363" s="3" t="str">
        <f t="shared" si="1391"/>
        <v/>
      </c>
      <c r="BT363" s="3" t="str">
        <f t="shared" si="1391"/>
        <v/>
      </c>
      <c r="BU363" s="3" t="str">
        <f t="shared" si="1391"/>
        <v/>
      </c>
      <c r="BV363" s="3" t="str">
        <f t="shared" si="1391"/>
        <v/>
      </c>
      <c r="BW363" s="3" t="str">
        <f t="shared" si="1391"/>
        <v/>
      </c>
      <c r="BX363" s="3" t="str">
        <f t="shared" si="1391"/>
        <v/>
      </c>
      <c r="BY363" s="3" t="str">
        <f t="shared" si="1391"/>
        <v/>
      </c>
      <c r="BZ363" s="3" t="str">
        <f t="shared" si="1391"/>
        <v/>
      </c>
      <c r="CA363" s="3" t="str">
        <f t="shared" si="1391"/>
        <v/>
      </c>
      <c r="CB363" s="3" t="str">
        <f t="shared" ref="CB363" si="1392">IF(AK363=0,"",ROUNDUP(AK359/AK363,0))</f>
        <v/>
      </c>
      <c r="CC363" s="3" t="str">
        <f t="shared" ref="CC363" si="1393">IF(AL363=0,"",ROUNDUP(AL359/AL363,0))</f>
        <v/>
      </c>
    </row>
    <row r="364" spans="1:81" ht="17.100000000000001" customHeight="1" outlineLevel="1">
      <c r="A364" s="174"/>
      <c r="B364" s="30" t="s">
        <v>23</v>
      </c>
      <c r="C364" s="39"/>
      <c r="D364" s="39"/>
      <c r="E364" s="39"/>
      <c r="F364" s="39"/>
      <c r="G364" s="39"/>
      <c r="H364" s="39"/>
      <c r="I364" s="39"/>
      <c r="J364" s="39"/>
      <c r="K364" s="39"/>
      <c r="L364" s="39"/>
      <c r="M364" s="39"/>
      <c r="N364" s="39"/>
      <c r="O364" s="39"/>
      <c r="P364" s="39"/>
      <c r="Q364" s="39"/>
      <c r="R364" s="39"/>
      <c r="S364" s="39"/>
      <c r="T364" s="39"/>
      <c r="U364" s="39"/>
      <c r="V364" s="39"/>
      <c r="W364" s="39"/>
      <c r="X364" s="39"/>
      <c r="Y364" s="39"/>
      <c r="Z364" s="39"/>
      <c r="AA364" s="39"/>
      <c r="AB364" s="39"/>
      <c r="AC364" s="39"/>
      <c r="AD364" s="39"/>
      <c r="AE364" s="39"/>
      <c r="AF364" s="39"/>
      <c r="AG364" s="39"/>
      <c r="AH364" s="39"/>
      <c r="AI364" s="39"/>
      <c r="AJ364" s="39"/>
      <c r="AK364" s="39"/>
      <c r="AL364" s="39"/>
      <c r="AM364" s="39"/>
      <c r="AN364" s="40" t="str">
        <f t="shared" si="1388"/>
        <v/>
      </c>
      <c r="AO364" s="39"/>
      <c r="AP364" s="39"/>
      <c r="AQ364" s="42">
        <f t="shared" si="1389"/>
        <v>0</v>
      </c>
      <c r="AR364" s="25">
        <f t="shared" si="1390"/>
        <v>0</v>
      </c>
      <c r="AT364" s="3" t="str">
        <f t="shared" ref="AT364:CA364" si="1394">IF(C364=0,"",ROUNDUP(C359/C364,0))</f>
        <v/>
      </c>
      <c r="AU364" s="3" t="str">
        <f t="shared" si="1394"/>
        <v/>
      </c>
      <c r="AV364" s="3" t="str">
        <f t="shared" si="1394"/>
        <v/>
      </c>
      <c r="AW364" s="3" t="str">
        <f t="shared" si="1394"/>
        <v/>
      </c>
      <c r="AX364" s="3" t="str">
        <f t="shared" si="1394"/>
        <v/>
      </c>
      <c r="AY364" s="3" t="str">
        <f t="shared" si="1394"/>
        <v/>
      </c>
      <c r="AZ364" s="3" t="str">
        <f t="shared" si="1394"/>
        <v/>
      </c>
      <c r="BA364" s="3" t="str">
        <f t="shared" si="1394"/>
        <v/>
      </c>
      <c r="BB364" s="3" t="str">
        <f t="shared" si="1394"/>
        <v/>
      </c>
      <c r="BC364" s="3" t="str">
        <f t="shared" si="1394"/>
        <v/>
      </c>
      <c r="BD364" s="3" t="str">
        <f t="shared" si="1394"/>
        <v/>
      </c>
      <c r="BE364" s="3" t="str">
        <f t="shared" si="1394"/>
        <v/>
      </c>
      <c r="BF364" s="3" t="str">
        <f t="shared" si="1394"/>
        <v/>
      </c>
      <c r="BG364" s="3" t="str">
        <f t="shared" si="1394"/>
        <v/>
      </c>
      <c r="BH364" s="3" t="str">
        <f t="shared" si="1394"/>
        <v/>
      </c>
      <c r="BI364" s="3" t="str">
        <f t="shared" si="1394"/>
        <v/>
      </c>
      <c r="BJ364" s="3" t="str">
        <f t="shared" si="1394"/>
        <v/>
      </c>
      <c r="BK364" s="3" t="str">
        <f t="shared" si="1394"/>
        <v/>
      </c>
      <c r="BL364" s="3" t="str">
        <f t="shared" si="1394"/>
        <v/>
      </c>
      <c r="BM364" s="3" t="str">
        <f t="shared" si="1394"/>
        <v/>
      </c>
      <c r="BN364" s="3" t="str">
        <f t="shared" si="1394"/>
        <v/>
      </c>
      <c r="BO364" s="3" t="str">
        <f t="shared" si="1394"/>
        <v/>
      </c>
      <c r="BP364" s="3" t="str">
        <f t="shared" si="1394"/>
        <v/>
      </c>
      <c r="BQ364" s="3" t="str">
        <f t="shared" si="1394"/>
        <v/>
      </c>
      <c r="BR364" s="3" t="str">
        <f t="shared" si="1394"/>
        <v/>
      </c>
      <c r="BS364" s="3" t="str">
        <f t="shared" si="1394"/>
        <v/>
      </c>
      <c r="BT364" s="3" t="str">
        <f t="shared" si="1394"/>
        <v/>
      </c>
      <c r="BU364" s="3" t="str">
        <f t="shared" si="1394"/>
        <v/>
      </c>
      <c r="BV364" s="3" t="str">
        <f t="shared" si="1394"/>
        <v/>
      </c>
      <c r="BW364" s="3" t="str">
        <f t="shared" si="1394"/>
        <v/>
      </c>
      <c r="BX364" s="3" t="str">
        <f t="shared" si="1394"/>
        <v/>
      </c>
      <c r="BY364" s="3" t="str">
        <f t="shared" si="1394"/>
        <v/>
      </c>
      <c r="BZ364" s="3" t="str">
        <f t="shared" si="1394"/>
        <v/>
      </c>
      <c r="CA364" s="3" t="str">
        <f t="shared" si="1394"/>
        <v/>
      </c>
      <c r="CB364" s="3" t="str">
        <f t="shared" ref="CB364" si="1395">IF(AK364=0,"",ROUNDUP(AK359/AK364,0))</f>
        <v/>
      </c>
      <c r="CC364" s="3" t="str">
        <f t="shared" ref="CC364" si="1396">IF(AL364=0,"",ROUNDUP(AL359/AL364,0))</f>
        <v/>
      </c>
    </row>
    <row r="365" spans="1:81" ht="17.100000000000001" customHeight="1" outlineLevel="1">
      <c r="A365" s="174"/>
      <c r="B365" s="30" t="s">
        <v>24</v>
      </c>
      <c r="C365" s="39"/>
      <c r="D365" s="39"/>
      <c r="E365" s="39"/>
      <c r="F365" s="39"/>
      <c r="G365" s="39"/>
      <c r="H365" s="39"/>
      <c r="I365" s="39"/>
      <c r="J365" s="39"/>
      <c r="K365" s="39"/>
      <c r="L365" s="39"/>
      <c r="M365" s="39"/>
      <c r="N365" s="39"/>
      <c r="O365" s="39"/>
      <c r="P365" s="39"/>
      <c r="Q365" s="39"/>
      <c r="R365" s="39"/>
      <c r="S365" s="39"/>
      <c r="T365" s="39"/>
      <c r="U365" s="39"/>
      <c r="V365" s="39"/>
      <c r="W365" s="39"/>
      <c r="X365" s="39"/>
      <c r="Y365" s="39"/>
      <c r="Z365" s="39"/>
      <c r="AA365" s="39"/>
      <c r="AB365" s="39"/>
      <c r="AC365" s="39"/>
      <c r="AD365" s="39"/>
      <c r="AE365" s="39"/>
      <c r="AF365" s="39"/>
      <c r="AG365" s="39"/>
      <c r="AH365" s="39"/>
      <c r="AI365" s="39"/>
      <c r="AJ365" s="39"/>
      <c r="AK365" s="39"/>
      <c r="AL365" s="39"/>
      <c r="AM365" s="39"/>
      <c r="AN365" s="40" t="str">
        <f t="shared" si="1388"/>
        <v/>
      </c>
      <c r="AO365" s="39"/>
      <c r="AP365" s="39"/>
      <c r="AQ365" s="42">
        <f t="shared" si="1389"/>
        <v>0</v>
      </c>
      <c r="AR365" s="25">
        <f t="shared" si="1390"/>
        <v>0</v>
      </c>
      <c r="AT365" s="3" t="str">
        <f t="shared" ref="AT365:CA365" si="1397">IF(C365=0,"",ROUNDUP(C359/C365,0))</f>
        <v/>
      </c>
      <c r="AU365" s="3" t="str">
        <f t="shared" si="1397"/>
        <v/>
      </c>
      <c r="AV365" s="3" t="str">
        <f t="shared" si="1397"/>
        <v/>
      </c>
      <c r="AW365" s="3" t="str">
        <f t="shared" si="1397"/>
        <v/>
      </c>
      <c r="AX365" s="3" t="str">
        <f t="shared" si="1397"/>
        <v/>
      </c>
      <c r="AY365" s="3" t="str">
        <f t="shared" si="1397"/>
        <v/>
      </c>
      <c r="AZ365" s="3" t="str">
        <f t="shared" si="1397"/>
        <v/>
      </c>
      <c r="BA365" s="3" t="str">
        <f t="shared" si="1397"/>
        <v/>
      </c>
      <c r="BB365" s="3" t="str">
        <f t="shared" si="1397"/>
        <v/>
      </c>
      <c r="BC365" s="3" t="str">
        <f t="shared" si="1397"/>
        <v/>
      </c>
      <c r="BD365" s="3" t="str">
        <f t="shared" si="1397"/>
        <v/>
      </c>
      <c r="BE365" s="3" t="str">
        <f t="shared" si="1397"/>
        <v/>
      </c>
      <c r="BF365" s="3" t="str">
        <f t="shared" si="1397"/>
        <v/>
      </c>
      <c r="BG365" s="3" t="str">
        <f t="shared" si="1397"/>
        <v/>
      </c>
      <c r="BH365" s="3" t="str">
        <f t="shared" si="1397"/>
        <v/>
      </c>
      <c r="BI365" s="3" t="str">
        <f t="shared" si="1397"/>
        <v/>
      </c>
      <c r="BJ365" s="3" t="str">
        <f t="shared" si="1397"/>
        <v/>
      </c>
      <c r="BK365" s="3" t="str">
        <f t="shared" si="1397"/>
        <v/>
      </c>
      <c r="BL365" s="3" t="str">
        <f t="shared" si="1397"/>
        <v/>
      </c>
      <c r="BM365" s="3" t="str">
        <f t="shared" si="1397"/>
        <v/>
      </c>
      <c r="BN365" s="3" t="str">
        <f t="shared" si="1397"/>
        <v/>
      </c>
      <c r="BO365" s="3" t="str">
        <f t="shared" si="1397"/>
        <v/>
      </c>
      <c r="BP365" s="3" t="str">
        <f t="shared" si="1397"/>
        <v/>
      </c>
      <c r="BQ365" s="3" t="str">
        <f t="shared" si="1397"/>
        <v/>
      </c>
      <c r="BR365" s="3" t="str">
        <f t="shared" si="1397"/>
        <v/>
      </c>
      <c r="BS365" s="3" t="str">
        <f t="shared" si="1397"/>
        <v/>
      </c>
      <c r="BT365" s="3" t="str">
        <f t="shared" si="1397"/>
        <v/>
      </c>
      <c r="BU365" s="3" t="str">
        <f t="shared" si="1397"/>
        <v/>
      </c>
      <c r="BV365" s="3" t="str">
        <f t="shared" si="1397"/>
        <v/>
      </c>
      <c r="BW365" s="3" t="str">
        <f t="shared" si="1397"/>
        <v/>
      </c>
      <c r="BX365" s="3" t="str">
        <f t="shared" si="1397"/>
        <v/>
      </c>
      <c r="BY365" s="3" t="str">
        <f t="shared" si="1397"/>
        <v/>
      </c>
      <c r="BZ365" s="3" t="str">
        <f t="shared" si="1397"/>
        <v/>
      </c>
      <c r="CA365" s="3" t="str">
        <f t="shared" si="1397"/>
        <v/>
      </c>
      <c r="CB365" s="3" t="str">
        <f t="shared" ref="CB365" si="1398">IF(AK365=0,"",ROUNDUP(AK359/AK365,0))</f>
        <v/>
      </c>
      <c r="CC365" s="3" t="str">
        <f t="shared" ref="CC365" si="1399">IF(AL365=0,"",ROUNDUP(AL359/AL365,0))</f>
        <v/>
      </c>
    </row>
    <row r="366" spans="1:81" ht="17.100000000000001" customHeight="1" outlineLevel="1">
      <c r="A366" s="174"/>
      <c r="B366" s="30" t="s">
        <v>25</v>
      </c>
      <c r="C366" s="39"/>
      <c r="D366" s="39"/>
      <c r="E366" s="39"/>
      <c r="F366" s="39"/>
      <c r="G366" s="39"/>
      <c r="H366" s="39"/>
      <c r="I366" s="39"/>
      <c r="J366" s="39"/>
      <c r="K366" s="39"/>
      <c r="L366" s="39"/>
      <c r="M366" s="39"/>
      <c r="N366" s="39"/>
      <c r="O366" s="39"/>
      <c r="P366" s="39"/>
      <c r="Q366" s="39"/>
      <c r="R366" s="39"/>
      <c r="S366" s="39"/>
      <c r="T366" s="39"/>
      <c r="U366" s="39"/>
      <c r="V366" s="39"/>
      <c r="W366" s="39"/>
      <c r="X366" s="39"/>
      <c r="Y366" s="39"/>
      <c r="Z366" s="39"/>
      <c r="AA366" s="39"/>
      <c r="AB366" s="39"/>
      <c r="AC366" s="39"/>
      <c r="AD366" s="39"/>
      <c r="AE366" s="39"/>
      <c r="AF366" s="39"/>
      <c r="AG366" s="39"/>
      <c r="AH366" s="39"/>
      <c r="AI366" s="39"/>
      <c r="AJ366" s="39"/>
      <c r="AK366" s="39"/>
      <c r="AL366" s="39"/>
      <c r="AM366" s="39"/>
      <c r="AN366" s="40" t="str">
        <f t="shared" si="1388"/>
        <v/>
      </c>
      <c r="AO366" s="39"/>
      <c r="AP366" s="39"/>
      <c r="AQ366" s="42">
        <f t="shared" si="1389"/>
        <v>0</v>
      </c>
      <c r="AR366" s="25">
        <f t="shared" si="1390"/>
        <v>0</v>
      </c>
      <c r="AT366" s="3" t="str">
        <f t="shared" ref="AT366:CA366" si="1400">IF(C366=0,"",ROUNDUP(C359/C366,0))</f>
        <v/>
      </c>
      <c r="AU366" s="3" t="str">
        <f t="shared" si="1400"/>
        <v/>
      </c>
      <c r="AV366" s="3" t="str">
        <f t="shared" si="1400"/>
        <v/>
      </c>
      <c r="AW366" s="3" t="str">
        <f t="shared" si="1400"/>
        <v/>
      </c>
      <c r="AX366" s="3" t="str">
        <f t="shared" si="1400"/>
        <v/>
      </c>
      <c r="AY366" s="3" t="str">
        <f t="shared" si="1400"/>
        <v/>
      </c>
      <c r="AZ366" s="3" t="str">
        <f t="shared" si="1400"/>
        <v/>
      </c>
      <c r="BA366" s="3" t="str">
        <f t="shared" si="1400"/>
        <v/>
      </c>
      <c r="BB366" s="3" t="str">
        <f t="shared" si="1400"/>
        <v/>
      </c>
      <c r="BC366" s="3" t="str">
        <f t="shared" si="1400"/>
        <v/>
      </c>
      <c r="BD366" s="3" t="str">
        <f t="shared" si="1400"/>
        <v/>
      </c>
      <c r="BE366" s="3" t="str">
        <f t="shared" si="1400"/>
        <v/>
      </c>
      <c r="BF366" s="3" t="str">
        <f t="shared" si="1400"/>
        <v/>
      </c>
      <c r="BG366" s="3" t="str">
        <f t="shared" si="1400"/>
        <v/>
      </c>
      <c r="BH366" s="3" t="str">
        <f t="shared" si="1400"/>
        <v/>
      </c>
      <c r="BI366" s="3" t="str">
        <f t="shared" si="1400"/>
        <v/>
      </c>
      <c r="BJ366" s="3" t="str">
        <f t="shared" si="1400"/>
        <v/>
      </c>
      <c r="BK366" s="3" t="str">
        <f t="shared" si="1400"/>
        <v/>
      </c>
      <c r="BL366" s="3" t="str">
        <f t="shared" si="1400"/>
        <v/>
      </c>
      <c r="BM366" s="3" t="str">
        <f t="shared" si="1400"/>
        <v/>
      </c>
      <c r="BN366" s="3" t="str">
        <f t="shared" si="1400"/>
        <v/>
      </c>
      <c r="BO366" s="3" t="str">
        <f t="shared" si="1400"/>
        <v/>
      </c>
      <c r="BP366" s="3" t="str">
        <f t="shared" si="1400"/>
        <v/>
      </c>
      <c r="BQ366" s="3" t="str">
        <f t="shared" si="1400"/>
        <v/>
      </c>
      <c r="BR366" s="3" t="str">
        <f t="shared" si="1400"/>
        <v/>
      </c>
      <c r="BS366" s="3" t="str">
        <f t="shared" si="1400"/>
        <v/>
      </c>
      <c r="BT366" s="3" t="str">
        <f t="shared" si="1400"/>
        <v/>
      </c>
      <c r="BU366" s="3" t="str">
        <f t="shared" si="1400"/>
        <v/>
      </c>
      <c r="BV366" s="3" t="str">
        <f t="shared" si="1400"/>
        <v/>
      </c>
      <c r="BW366" s="3" t="str">
        <f t="shared" si="1400"/>
        <v/>
      </c>
      <c r="BX366" s="3" t="str">
        <f t="shared" si="1400"/>
        <v/>
      </c>
      <c r="BY366" s="3" t="str">
        <f t="shared" si="1400"/>
        <v/>
      </c>
      <c r="BZ366" s="3" t="str">
        <f t="shared" si="1400"/>
        <v/>
      </c>
      <c r="CA366" s="3" t="str">
        <f t="shared" si="1400"/>
        <v/>
      </c>
      <c r="CB366" s="3" t="str">
        <f t="shared" ref="CB366" si="1401">IF(AK366=0,"",ROUNDUP(AK359/AK366,0))</f>
        <v/>
      </c>
      <c r="CC366" s="3" t="str">
        <f t="shared" ref="CC366" si="1402">IF(AL366=0,"",ROUNDUP(AL359/AL366,0))</f>
        <v/>
      </c>
    </row>
    <row r="367" spans="1:81" ht="17.100000000000001" customHeight="1" outlineLevel="1">
      <c r="A367" s="174"/>
      <c r="B367" s="30" t="s">
        <v>26</v>
      </c>
      <c r="C367" s="39"/>
      <c r="D367" s="39"/>
      <c r="E367" s="39"/>
      <c r="F367" s="39"/>
      <c r="G367" s="39"/>
      <c r="H367" s="39"/>
      <c r="I367" s="39"/>
      <c r="J367" s="39"/>
      <c r="K367" s="39"/>
      <c r="L367" s="39"/>
      <c r="M367" s="39"/>
      <c r="N367" s="39"/>
      <c r="O367" s="39"/>
      <c r="P367" s="39"/>
      <c r="Q367" s="39"/>
      <c r="R367" s="39"/>
      <c r="S367" s="39"/>
      <c r="T367" s="39"/>
      <c r="U367" s="39"/>
      <c r="V367" s="39"/>
      <c r="W367" s="39"/>
      <c r="X367" s="39"/>
      <c r="Y367" s="39"/>
      <c r="Z367" s="39"/>
      <c r="AA367" s="39"/>
      <c r="AB367" s="39"/>
      <c r="AC367" s="39"/>
      <c r="AD367" s="39"/>
      <c r="AE367" s="39"/>
      <c r="AF367" s="39"/>
      <c r="AG367" s="39"/>
      <c r="AH367" s="39"/>
      <c r="AI367" s="39"/>
      <c r="AJ367" s="39"/>
      <c r="AK367" s="39"/>
      <c r="AL367" s="39"/>
      <c r="AM367" s="39"/>
      <c r="AN367" s="40" t="str">
        <f>IF(AM367="","",SUM(C367:AL367)*AM367)</f>
        <v/>
      </c>
      <c r="AO367" s="39"/>
      <c r="AP367" s="39"/>
      <c r="AQ367" s="42">
        <f t="shared" si="1389"/>
        <v>0</v>
      </c>
      <c r="AR367" s="25">
        <f t="shared" si="1390"/>
        <v>0</v>
      </c>
      <c r="AT367" s="3" t="str">
        <f t="shared" ref="AT367:CA367" si="1403">IF(C367=0,"",ROUNDUP(C359/C367,0))</f>
        <v/>
      </c>
      <c r="AU367" s="3" t="str">
        <f t="shared" si="1403"/>
        <v/>
      </c>
      <c r="AV367" s="3" t="str">
        <f t="shared" si="1403"/>
        <v/>
      </c>
      <c r="AW367" s="3" t="str">
        <f t="shared" si="1403"/>
        <v/>
      </c>
      <c r="AX367" s="3" t="str">
        <f t="shared" si="1403"/>
        <v/>
      </c>
      <c r="AY367" s="3" t="str">
        <f t="shared" si="1403"/>
        <v/>
      </c>
      <c r="AZ367" s="3" t="str">
        <f t="shared" si="1403"/>
        <v/>
      </c>
      <c r="BA367" s="3" t="str">
        <f t="shared" si="1403"/>
        <v/>
      </c>
      <c r="BB367" s="3" t="str">
        <f t="shared" si="1403"/>
        <v/>
      </c>
      <c r="BC367" s="3" t="str">
        <f t="shared" si="1403"/>
        <v/>
      </c>
      <c r="BD367" s="3" t="str">
        <f t="shared" si="1403"/>
        <v/>
      </c>
      <c r="BE367" s="3" t="str">
        <f t="shared" si="1403"/>
        <v/>
      </c>
      <c r="BF367" s="3" t="str">
        <f t="shared" si="1403"/>
        <v/>
      </c>
      <c r="BG367" s="3" t="str">
        <f t="shared" si="1403"/>
        <v/>
      </c>
      <c r="BH367" s="3" t="str">
        <f t="shared" si="1403"/>
        <v/>
      </c>
      <c r="BI367" s="3" t="str">
        <f t="shared" si="1403"/>
        <v/>
      </c>
      <c r="BJ367" s="3" t="str">
        <f t="shared" si="1403"/>
        <v/>
      </c>
      <c r="BK367" s="3" t="str">
        <f t="shared" si="1403"/>
        <v/>
      </c>
      <c r="BL367" s="3" t="str">
        <f t="shared" si="1403"/>
        <v/>
      </c>
      <c r="BM367" s="3" t="str">
        <f t="shared" si="1403"/>
        <v/>
      </c>
      <c r="BN367" s="3" t="str">
        <f t="shared" si="1403"/>
        <v/>
      </c>
      <c r="BO367" s="3" t="str">
        <f t="shared" si="1403"/>
        <v/>
      </c>
      <c r="BP367" s="3" t="str">
        <f t="shared" si="1403"/>
        <v/>
      </c>
      <c r="BQ367" s="3" t="str">
        <f t="shared" si="1403"/>
        <v/>
      </c>
      <c r="BR367" s="3" t="str">
        <f t="shared" si="1403"/>
        <v/>
      </c>
      <c r="BS367" s="3" t="str">
        <f t="shared" si="1403"/>
        <v/>
      </c>
      <c r="BT367" s="3" t="str">
        <f t="shared" si="1403"/>
        <v/>
      </c>
      <c r="BU367" s="3" t="str">
        <f t="shared" si="1403"/>
        <v/>
      </c>
      <c r="BV367" s="3" t="str">
        <f t="shared" si="1403"/>
        <v/>
      </c>
      <c r="BW367" s="3" t="str">
        <f t="shared" si="1403"/>
        <v/>
      </c>
      <c r="BX367" s="3" t="str">
        <f t="shared" si="1403"/>
        <v/>
      </c>
      <c r="BY367" s="3" t="str">
        <f t="shared" si="1403"/>
        <v/>
      </c>
      <c r="BZ367" s="3" t="str">
        <f t="shared" si="1403"/>
        <v/>
      </c>
      <c r="CA367" s="3" t="str">
        <f t="shared" si="1403"/>
        <v/>
      </c>
      <c r="CB367" s="3" t="str">
        <f t="shared" ref="CB367" si="1404">IF(AK367=0,"",ROUNDUP(AK359/AK367,0))</f>
        <v/>
      </c>
      <c r="CC367" s="3" t="str">
        <f t="shared" ref="CC367" si="1405">IF(AL367=0,"",ROUNDUP(AL359/AL367,0))</f>
        <v/>
      </c>
    </row>
    <row r="368" spans="1:81" ht="17.100000000000001" customHeight="1" outlineLevel="1">
      <c r="A368" s="174"/>
      <c r="B368" s="30" t="s">
        <v>27</v>
      </c>
      <c r="C368" s="39"/>
      <c r="D368" s="39"/>
      <c r="E368" s="39"/>
      <c r="F368" s="39"/>
      <c r="G368" s="39"/>
      <c r="H368" s="39"/>
      <c r="I368" s="39"/>
      <c r="J368" s="39"/>
      <c r="K368" s="39"/>
      <c r="L368" s="39"/>
      <c r="M368" s="39"/>
      <c r="N368" s="39"/>
      <c r="O368" s="39"/>
      <c r="P368" s="39"/>
      <c r="Q368" s="39"/>
      <c r="R368" s="39"/>
      <c r="S368" s="39"/>
      <c r="T368" s="39"/>
      <c r="U368" s="39"/>
      <c r="V368" s="39"/>
      <c r="W368" s="39"/>
      <c r="X368" s="39"/>
      <c r="Y368" s="39"/>
      <c r="Z368" s="39"/>
      <c r="AA368" s="39"/>
      <c r="AB368" s="39"/>
      <c r="AC368" s="39"/>
      <c r="AD368" s="39"/>
      <c r="AE368" s="39"/>
      <c r="AF368" s="39"/>
      <c r="AG368" s="39"/>
      <c r="AH368" s="39"/>
      <c r="AI368" s="39"/>
      <c r="AJ368" s="39"/>
      <c r="AK368" s="39"/>
      <c r="AL368" s="39"/>
      <c r="AM368" s="39"/>
      <c r="AN368" s="40" t="str">
        <f t="shared" ref="AN368:AN369" si="1406">IF(AM368="","",SUM(C368:AL368)*AM368)</f>
        <v/>
      </c>
      <c r="AO368" s="39"/>
      <c r="AP368" s="39"/>
      <c r="AQ368" s="42">
        <f t="shared" si="1389"/>
        <v>0</v>
      </c>
      <c r="AR368" s="25">
        <f t="shared" si="1390"/>
        <v>0</v>
      </c>
      <c r="AT368" s="3" t="str">
        <f t="shared" ref="AT368:CA368" si="1407">IF(C368=0,"",ROUNDUP(C359/C368,0))</f>
        <v/>
      </c>
      <c r="AU368" s="3" t="str">
        <f t="shared" si="1407"/>
        <v/>
      </c>
      <c r="AV368" s="3" t="str">
        <f t="shared" si="1407"/>
        <v/>
      </c>
      <c r="AW368" s="3" t="str">
        <f t="shared" si="1407"/>
        <v/>
      </c>
      <c r="AX368" s="3" t="str">
        <f t="shared" si="1407"/>
        <v/>
      </c>
      <c r="AY368" s="3" t="str">
        <f t="shared" si="1407"/>
        <v/>
      </c>
      <c r="AZ368" s="3" t="str">
        <f t="shared" si="1407"/>
        <v/>
      </c>
      <c r="BA368" s="3" t="str">
        <f t="shared" si="1407"/>
        <v/>
      </c>
      <c r="BB368" s="3" t="str">
        <f t="shared" si="1407"/>
        <v/>
      </c>
      <c r="BC368" s="3" t="str">
        <f t="shared" si="1407"/>
        <v/>
      </c>
      <c r="BD368" s="3" t="str">
        <f t="shared" si="1407"/>
        <v/>
      </c>
      <c r="BE368" s="3" t="str">
        <f t="shared" si="1407"/>
        <v/>
      </c>
      <c r="BF368" s="3" t="str">
        <f t="shared" si="1407"/>
        <v/>
      </c>
      <c r="BG368" s="3" t="str">
        <f t="shared" si="1407"/>
        <v/>
      </c>
      <c r="BH368" s="3" t="str">
        <f t="shared" si="1407"/>
        <v/>
      </c>
      <c r="BI368" s="3" t="str">
        <f t="shared" si="1407"/>
        <v/>
      </c>
      <c r="BJ368" s="3" t="str">
        <f t="shared" si="1407"/>
        <v/>
      </c>
      <c r="BK368" s="3" t="str">
        <f t="shared" si="1407"/>
        <v/>
      </c>
      <c r="BL368" s="3" t="str">
        <f t="shared" si="1407"/>
        <v/>
      </c>
      <c r="BM368" s="3" t="str">
        <f t="shared" si="1407"/>
        <v/>
      </c>
      <c r="BN368" s="3" t="str">
        <f t="shared" si="1407"/>
        <v/>
      </c>
      <c r="BO368" s="3" t="str">
        <f t="shared" si="1407"/>
        <v/>
      </c>
      <c r="BP368" s="3" t="str">
        <f t="shared" si="1407"/>
        <v/>
      </c>
      <c r="BQ368" s="3" t="str">
        <f t="shared" si="1407"/>
        <v/>
      </c>
      <c r="BR368" s="3" t="str">
        <f t="shared" si="1407"/>
        <v/>
      </c>
      <c r="BS368" s="3" t="str">
        <f t="shared" si="1407"/>
        <v/>
      </c>
      <c r="BT368" s="3" t="str">
        <f t="shared" si="1407"/>
        <v/>
      </c>
      <c r="BU368" s="3" t="str">
        <f t="shared" si="1407"/>
        <v/>
      </c>
      <c r="BV368" s="3" t="str">
        <f t="shared" si="1407"/>
        <v/>
      </c>
      <c r="BW368" s="3" t="str">
        <f t="shared" si="1407"/>
        <v/>
      </c>
      <c r="BX368" s="3" t="str">
        <f t="shared" si="1407"/>
        <v/>
      </c>
      <c r="BY368" s="3" t="str">
        <f t="shared" si="1407"/>
        <v/>
      </c>
      <c r="BZ368" s="3" t="str">
        <f t="shared" si="1407"/>
        <v/>
      </c>
      <c r="CA368" s="3" t="str">
        <f t="shared" si="1407"/>
        <v/>
      </c>
      <c r="CB368" s="3" t="str">
        <f t="shared" ref="CB368" si="1408">IF(AK368=0,"",ROUNDUP(AK359/AK368,0))</f>
        <v/>
      </c>
      <c r="CC368" s="3" t="str">
        <f t="shared" ref="CC368" si="1409">IF(AL368=0,"",ROUNDUP(AL359/AL368,0))</f>
        <v/>
      </c>
    </row>
    <row r="369" spans="1:81" ht="17.100000000000001" customHeight="1" outlineLevel="1">
      <c r="A369" s="175"/>
      <c r="B369" s="30" t="s">
        <v>28</v>
      </c>
      <c r="C369" s="39"/>
      <c r="D369" s="39"/>
      <c r="E369" s="39"/>
      <c r="F369" s="39"/>
      <c r="G369" s="39"/>
      <c r="H369" s="39"/>
      <c r="I369" s="39"/>
      <c r="J369" s="39"/>
      <c r="K369" s="39"/>
      <c r="L369" s="39"/>
      <c r="M369" s="39"/>
      <c r="N369" s="39"/>
      <c r="O369" s="39"/>
      <c r="P369" s="39"/>
      <c r="Q369" s="39"/>
      <c r="R369" s="39"/>
      <c r="S369" s="39"/>
      <c r="T369" s="39"/>
      <c r="U369" s="39"/>
      <c r="V369" s="39"/>
      <c r="W369" s="39"/>
      <c r="X369" s="39"/>
      <c r="Y369" s="39"/>
      <c r="Z369" s="39"/>
      <c r="AA369" s="39"/>
      <c r="AB369" s="39"/>
      <c r="AC369" s="39"/>
      <c r="AD369" s="39"/>
      <c r="AE369" s="39"/>
      <c r="AF369" s="39"/>
      <c r="AG369" s="39"/>
      <c r="AH369" s="39"/>
      <c r="AI369" s="39"/>
      <c r="AJ369" s="39"/>
      <c r="AK369" s="39"/>
      <c r="AL369" s="39"/>
      <c r="AM369" s="39"/>
      <c r="AN369" s="41" t="str">
        <f t="shared" si="1406"/>
        <v/>
      </c>
      <c r="AO369" s="39"/>
      <c r="AP369" s="39"/>
      <c r="AQ369" s="42">
        <f t="shared" si="1389"/>
        <v>0</v>
      </c>
      <c r="AR369" s="25">
        <f t="shared" si="1390"/>
        <v>0</v>
      </c>
      <c r="AT369" s="3" t="str">
        <f t="shared" ref="AT369:CA369" si="1410">IF(C369=0,"",ROUNDUP(C359/C369,0))</f>
        <v/>
      </c>
      <c r="AU369" s="3" t="str">
        <f t="shared" si="1410"/>
        <v/>
      </c>
      <c r="AV369" s="3" t="str">
        <f t="shared" si="1410"/>
        <v/>
      </c>
      <c r="AW369" s="3" t="str">
        <f t="shared" si="1410"/>
        <v/>
      </c>
      <c r="AX369" s="3" t="str">
        <f t="shared" si="1410"/>
        <v/>
      </c>
      <c r="AY369" s="3" t="str">
        <f t="shared" si="1410"/>
        <v/>
      </c>
      <c r="AZ369" s="3" t="str">
        <f t="shared" si="1410"/>
        <v/>
      </c>
      <c r="BA369" s="3" t="str">
        <f t="shared" si="1410"/>
        <v/>
      </c>
      <c r="BB369" s="3" t="str">
        <f t="shared" si="1410"/>
        <v/>
      </c>
      <c r="BC369" s="3" t="str">
        <f t="shared" si="1410"/>
        <v/>
      </c>
      <c r="BD369" s="3" t="str">
        <f t="shared" si="1410"/>
        <v/>
      </c>
      <c r="BE369" s="3" t="str">
        <f t="shared" si="1410"/>
        <v/>
      </c>
      <c r="BF369" s="3" t="str">
        <f t="shared" si="1410"/>
        <v/>
      </c>
      <c r="BG369" s="3" t="str">
        <f t="shared" si="1410"/>
        <v/>
      </c>
      <c r="BH369" s="3" t="str">
        <f t="shared" si="1410"/>
        <v/>
      </c>
      <c r="BI369" s="3" t="str">
        <f t="shared" si="1410"/>
        <v/>
      </c>
      <c r="BJ369" s="3" t="str">
        <f t="shared" si="1410"/>
        <v/>
      </c>
      <c r="BK369" s="3" t="str">
        <f t="shared" si="1410"/>
        <v/>
      </c>
      <c r="BL369" s="3" t="str">
        <f t="shared" si="1410"/>
        <v/>
      </c>
      <c r="BM369" s="3" t="str">
        <f t="shared" si="1410"/>
        <v/>
      </c>
      <c r="BN369" s="3" t="str">
        <f t="shared" si="1410"/>
        <v/>
      </c>
      <c r="BO369" s="3" t="str">
        <f t="shared" si="1410"/>
        <v/>
      </c>
      <c r="BP369" s="3" t="str">
        <f t="shared" si="1410"/>
        <v/>
      </c>
      <c r="BQ369" s="3" t="str">
        <f t="shared" si="1410"/>
        <v/>
      </c>
      <c r="BR369" s="3" t="str">
        <f t="shared" si="1410"/>
        <v/>
      </c>
      <c r="BS369" s="3" t="str">
        <f t="shared" si="1410"/>
        <v/>
      </c>
      <c r="BT369" s="3" t="str">
        <f t="shared" si="1410"/>
        <v/>
      </c>
      <c r="BU369" s="3" t="str">
        <f t="shared" si="1410"/>
        <v/>
      </c>
      <c r="BV369" s="3" t="str">
        <f t="shared" si="1410"/>
        <v/>
      </c>
      <c r="BW369" s="3" t="str">
        <f t="shared" si="1410"/>
        <v/>
      </c>
      <c r="BX369" s="3" t="str">
        <f t="shared" si="1410"/>
        <v/>
      </c>
      <c r="BY369" s="3" t="str">
        <f t="shared" si="1410"/>
        <v/>
      </c>
      <c r="BZ369" s="3" t="str">
        <f t="shared" si="1410"/>
        <v/>
      </c>
      <c r="CA369" s="3" t="str">
        <f t="shared" si="1410"/>
        <v/>
      </c>
      <c r="CB369" s="3" t="str">
        <f t="shared" ref="CB369" si="1411">IF(AK369=0,"",ROUNDUP(AK359/AK369,0))</f>
        <v/>
      </c>
      <c r="CC369" s="3" t="str">
        <f t="shared" ref="CC369" si="1412">IF(AL369=0,"",ROUNDUP(AL359/AL369,0))</f>
        <v/>
      </c>
    </row>
    <row r="370" spans="1:81" ht="12.75" thickBot="1"/>
    <row r="371" spans="1:81" ht="21.95" customHeight="1" outlineLevel="1" thickBot="1">
      <c r="A371" s="201">
        <v>24</v>
      </c>
      <c r="B371" s="202"/>
      <c r="C371" s="203"/>
      <c r="AQ371" s="12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</row>
    <row r="372" spans="1:81" ht="17.100000000000001" customHeight="1" outlineLevel="1">
      <c r="A372" s="51" t="s">
        <v>29</v>
      </c>
      <c r="B372" s="50"/>
      <c r="C372" s="147" t="s">
        <v>10</v>
      </c>
      <c r="D372" s="148"/>
      <c r="E372" s="148"/>
      <c r="F372" s="148"/>
      <c r="G372" s="148"/>
      <c r="H372" s="148"/>
      <c r="I372" s="148"/>
      <c r="J372" s="148"/>
      <c r="K372" s="148"/>
      <c r="L372" s="148"/>
      <c r="M372" s="148"/>
      <c r="N372" s="148"/>
      <c r="O372" s="148"/>
      <c r="P372" s="148"/>
      <c r="Q372" s="148"/>
      <c r="R372" s="148"/>
      <c r="S372" s="148"/>
      <c r="T372" s="148"/>
      <c r="U372" s="148"/>
      <c r="V372" s="148"/>
      <c r="W372" s="148"/>
      <c r="X372" s="148"/>
      <c r="Y372" s="148"/>
      <c r="Z372" s="148"/>
      <c r="AA372" s="148"/>
      <c r="AB372" s="148"/>
      <c r="AC372" s="148"/>
      <c r="AD372" s="148"/>
      <c r="AE372" s="148"/>
      <c r="AF372" s="148"/>
      <c r="AG372" s="148"/>
      <c r="AH372" s="148"/>
      <c r="AI372" s="148"/>
      <c r="AJ372" s="148"/>
      <c r="AK372" s="148"/>
      <c r="AL372" s="148"/>
      <c r="AM372" s="10"/>
      <c r="AN372" s="31"/>
      <c r="AO372" s="35" t="s">
        <v>4</v>
      </c>
      <c r="AP372" s="149"/>
      <c r="AQ372" s="150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</row>
    <row r="373" spans="1:81" ht="27" outlineLevel="1">
      <c r="A373" s="52" t="s">
        <v>36</v>
      </c>
      <c r="B373" s="50"/>
      <c r="C373" s="26" t="str">
        <f>IF(C357=0,"",IF(C357&gt;0,C357))</f>
        <v/>
      </c>
      <c r="D373" s="26" t="str">
        <f t="shared" ref="D373:AL373" si="1413">IF(D357=0,"",IF(D357&gt;0,D357))</f>
        <v/>
      </c>
      <c r="E373" s="26" t="str">
        <f t="shared" si="1413"/>
        <v/>
      </c>
      <c r="F373" s="26" t="str">
        <f t="shared" si="1413"/>
        <v/>
      </c>
      <c r="G373" s="26" t="str">
        <f t="shared" si="1413"/>
        <v/>
      </c>
      <c r="H373" s="26" t="str">
        <f t="shared" si="1413"/>
        <v/>
      </c>
      <c r="I373" s="26" t="str">
        <f t="shared" si="1413"/>
        <v/>
      </c>
      <c r="J373" s="26" t="str">
        <f t="shared" si="1413"/>
        <v/>
      </c>
      <c r="K373" s="26" t="str">
        <f t="shared" si="1413"/>
        <v/>
      </c>
      <c r="L373" s="26" t="str">
        <f t="shared" si="1413"/>
        <v/>
      </c>
      <c r="M373" s="26" t="str">
        <f t="shared" si="1413"/>
        <v/>
      </c>
      <c r="N373" s="26" t="str">
        <f t="shared" si="1413"/>
        <v/>
      </c>
      <c r="O373" s="26" t="str">
        <f t="shared" si="1413"/>
        <v/>
      </c>
      <c r="P373" s="26" t="str">
        <f t="shared" si="1413"/>
        <v/>
      </c>
      <c r="Q373" s="26" t="str">
        <f t="shared" si="1413"/>
        <v/>
      </c>
      <c r="R373" s="26" t="str">
        <f t="shared" si="1413"/>
        <v/>
      </c>
      <c r="S373" s="26" t="str">
        <f t="shared" si="1413"/>
        <v/>
      </c>
      <c r="T373" s="26" t="str">
        <f t="shared" si="1413"/>
        <v/>
      </c>
      <c r="U373" s="26" t="str">
        <f t="shared" si="1413"/>
        <v/>
      </c>
      <c r="V373" s="26" t="str">
        <f t="shared" si="1413"/>
        <v/>
      </c>
      <c r="W373" s="26" t="str">
        <f t="shared" si="1413"/>
        <v/>
      </c>
      <c r="X373" s="26" t="str">
        <f t="shared" si="1413"/>
        <v/>
      </c>
      <c r="Y373" s="26" t="str">
        <f t="shared" si="1413"/>
        <v/>
      </c>
      <c r="Z373" s="26" t="str">
        <f t="shared" si="1413"/>
        <v/>
      </c>
      <c r="AA373" s="26" t="str">
        <f t="shared" si="1413"/>
        <v/>
      </c>
      <c r="AB373" s="26" t="str">
        <f t="shared" si="1413"/>
        <v/>
      </c>
      <c r="AC373" s="26" t="str">
        <f t="shared" si="1413"/>
        <v/>
      </c>
      <c r="AD373" s="26" t="str">
        <f t="shared" si="1413"/>
        <v/>
      </c>
      <c r="AE373" s="26" t="str">
        <f t="shared" si="1413"/>
        <v/>
      </c>
      <c r="AF373" s="26" t="str">
        <f t="shared" si="1413"/>
        <v/>
      </c>
      <c r="AG373" s="26" t="str">
        <f t="shared" si="1413"/>
        <v/>
      </c>
      <c r="AH373" s="26" t="str">
        <f t="shared" si="1413"/>
        <v/>
      </c>
      <c r="AI373" s="26" t="str">
        <f t="shared" si="1413"/>
        <v/>
      </c>
      <c r="AJ373" s="26" t="str">
        <f t="shared" si="1413"/>
        <v/>
      </c>
      <c r="AK373" s="26" t="str">
        <f t="shared" si="1413"/>
        <v/>
      </c>
      <c r="AL373" s="26" t="str">
        <f t="shared" si="1413"/>
        <v/>
      </c>
      <c r="AM373" s="5" t="s">
        <v>2</v>
      </c>
      <c r="AN373" s="31"/>
      <c r="AO373" s="32" t="s">
        <v>5</v>
      </c>
      <c r="AP373" s="151">
        <f>SUM(AQ378:AQ385)</f>
        <v>0</v>
      </c>
      <c r="AQ373" s="151"/>
      <c r="AT373" s="2" t="str">
        <f t="shared" ref="AT373:BY373" si="1414">IF(C373=0,"",IF(C373&gt;0,C373))</f>
        <v/>
      </c>
      <c r="AU373" s="2" t="str">
        <f t="shared" si="1414"/>
        <v/>
      </c>
      <c r="AV373" s="2" t="str">
        <f t="shared" si="1414"/>
        <v/>
      </c>
      <c r="AW373" s="2" t="str">
        <f t="shared" si="1414"/>
        <v/>
      </c>
      <c r="AX373" s="2" t="str">
        <f t="shared" si="1414"/>
        <v/>
      </c>
      <c r="AY373" s="2" t="str">
        <f t="shared" si="1414"/>
        <v/>
      </c>
      <c r="AZ373" s="2" t="str">
        <f t="shared" si="1414"/>
        <v/>
      </c>
      <c r="BA373" s="2" t="str">
        <f t="shared" si="1414"/>
        <v/>
      </c>
      <c r="BB373" s="2" t="str">
        <f t="shared" si="1414"/>
        <v/>
      </c>
      <c r="BC373" s="2" t="str">
        <f t="shared" si="1414"/>
        <v/>
      </c>
      <c r="BD373" s="2" t="str">
        <f t="shared" si="1414"/>
        <v/>
      </c>
      <c r="BE373" s="2" t="str">
        <f t="shared" si="1414"/>
        <v/>
      </c>
      <c r="BF373" s="2" t="str">
        <f t="shared" si="1414"/>
        <v/>
      </c>
      <c r="BG373" s="2" t="str">
        <f t="shared" si="1414"/>
        <v/>
      </c>
      <c r="BH373" s="2" t="str">
        <f t="shared" si="1414"/>
        <v/>
      </c>
      <c r="BI373" s="2" t="str">
        <f t="shared" si="1414"/>
        <v/>
      </c>
      <c r="BJ373" s="2" t="str">
        <f t="shared" si="1414"/>
        <v/>
      </c>
      <c r="BK373" s="2" t="str">
        <f t="shared" si="1414"/>
        <v/>
      </c>
      <c r="BL373" s="2" t="str">
        <f t="shared" si="1414"/>
        <v/>
      </c>
      <c r="BM373" s="2" t="str">
        <f t="shared" si="1414"/>
        <v/>
      </c>
      <c r="BN373" s="2" t="str">
        <f t="shared" si="1414"/>
        <v/>
      </c>
      <c r="BO373" s="2" t="str">
        <f t="shared" si="1414"/>
        <v/>
      </c>
      <c r="BP373" s="2" t="str">
        <f t="shared" si="1414"/>
        <v/>
      </c>
      <c r="BQ373" s="2" t="str">
        <f t="shared" si="1414"/>
        <v/>
      </c>
      <c r="BR373" s="2" t="str">
        <f t="shared" si="1414"/>
        <v/>
      </c>
      <c r="BS373" s="2" t="str">
        <f t="shared" si="1414"/>
        <v/>
      </c>
      <c r="BT373" s="2" t="str">
        <f t="shared" si="1414"/>
        <v/>
      </c>
      <c r="BU373" s="2" t="str">
        <f t="shared" si="1414"/>
        <v/>
      </c>
      <c r="BV373" s="2" t="str">
        <f t="shared" si="1414"/>
        <v/>
      </c>
      <c r="BW373" s="2" t="str">
        <f t="shared" si="1414"/>
        <v/>
      </c>
      <c r="BX373" s="2" t="str">
        <f t="shared" si="1414"/>
        <v/>
      </c>
      <c r="BY373" s="2" t="str">
        <f t="shared" si="1414"/>
        <v/>
      </c>
      <c r="BZ373" s="2" t="str">
        <f t="shared" ref="BZ373" si="1415">IF(AI373=0,"",IF(AI373&gt;0,AI373))</f>
        <v/>
      </c>
      <c r="CA373" s="2" t="str">
        <f t="shared" ref="CA373" si="1416">IF(AJ373=0,"",IF(AJ373&gt;0,AJ373))</f>
        <v/>
      </c>
      <c r="CB373" s="2" t="str">
        <f t="shared" ref="CB373" si="1417">IF(AK373=0,"",IF(AK373&gt;0,AK373))</f>
        <v/>
      </c>
      <c r="CC373" s="2" t="str">
        <f t="shared" ref="CC373" si="1418">IF(AL373=0,"",IF(AL373&gt;0,AL373))</f>
        <v/>
      </c>
    </row>
    <row r="374" spans="1:81" ht="17.100000000000001" customHeight="1" outlineLevel="1">
      <c r="A374" s="152" t="s">
        <v>30</v>
      </c>
      <c r="B374" s="153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6"/>
      <c r="O374" s="46"/>
      <c r="P374" s="46"/>
      <c r="Q374" s="46"/>
      <c r="R374" s="46"/>
      <c r="S374" s="46"/>
      <c r="T374" s="46"/>
      <c r="U374" s="46"/>
      <c r="V374" s="46"/>
      <c r="W374" s="46"/>
      <c r="X374" s="46"/>
      <c r="Y374" s="46"/>
      <c r="Z374" s="46"/>
      <c r="AA374" s="46"/>
      <c r="AB374" s="46"/>
      <c r="AC374" s="46"/>
      <c r="AD374" s="46"/>
      <c r="AE374" s="46"/>
      <c r="AF374" s="46"/>
      <c r="AG374" s="46"/>
      <c r="AH374" s="46"/>
      <c r="AI374" s="46"/>
      <c r="AJ374" s="46"/>
      <c r="AK374" s="46"/>
      <c r="AL374" s="46"/>
      <c r="AM374" s="45">
        <f>SUM(C374:AL374)</f>
        <v>0</v>
      </c>
      <c r="AN374" s="33"/>
      <c r="AO374" s="34" t="str">
        <f>IF(AP374&lt;5,"NO ",IF(AP374=5,"ok",IF(AP374&gt;5,"ok")))</f>
        <v xml:space="preserve">NO </v>
      </c>
      <c r="AP374" s="154">
        <f>AP372-AP373-AP375</f>
        <v>0</v>
      </c>
      <c r="AQ374" s="154"/>
      <c r="AR374" s="16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</row>
    <row r="375" spans="1:81" ht="17.100000000000001" customHeight="1" outlineLevel="1">
      <c r="A375" s="152"/>
      <c r="B375" s="153"/>
      <c r="C375" s="47" t="str">
        <f>IF(C373="","",C374-C378*$AM378-C379*$AM379-C380*$AM380-C381*$AM381-C382*$AM382-C383*$AM383-C384*$AM384-C385*$AM385)</f>
        <v/>
      </c>
      <c r="D375" s="47" t="str">
        <f t="shared" ref="D375" si="1419">IF(D373="","",D374-D378*$AM378-D379*$AM379-D380*$AM380-D381*$AM381-D382*$AM382-D383*$AM383-D384*$AM384-D385*$AM385)</f>
        <v/>
      </c>
      <c r="E375" s="47" t="str">
        <f t="shared" ref="E375" si="1420">IF(E373="","",E374-E378*$AM378-E379*$AM379-E380*$AM380-E381*$AM381-E382*$AM382-E383*$AM383-E384*$AM384-E385*$AM385)</f>
        <v/>
      </c>
      <c r="F375" s="47" t="str">
        <f t="shared" ref="F375" si="1421">IF(F373="","",F374-F378*$AM378-F379*$AM379-F380*$AM380-F381*$AM381-F382*$AM382-F383*$AM383-F384*$AM384-F385*$AM385)</f>
        <v/>
      </c>
      <c r="G375" s="47" t="str">
        <f t="shared" ref="G375" si="1422">IF(G373="","",G374-G378*$AM378-G379*$AM379-G380*$AM380-G381*$AM381-G382*$AM382-G383*$AM383-G384*$AM384-G385*$AM385)</f>
        <v/>
      </c>
      <c r="H375" s="47" t="str">
        <f t="shared" ref="H375" si="1423">IF(H373="","",H374-H378*$AM378-H379*$AM379-H380*$AM380-H381*$AM381-H382*$AM382-H383*$AM383-H384*$AM384-H385*$AM385)</f>
        <v/>
      </c>
      <c r="I375" s="47" t="str">
        <f t="shared" ref="I375" si="1424">IF(I373="","",I374-I378*$AM378-I379*$AM379-I380*$AM380-I381*$AM381-I382*$AM382-I383*$AM383-I384*$AM384-I385*$AM385)</f>
        <v/>
      </c>
      <c r="J375" s="47" t="str">
        <f t="shared" ref="J375" si="1425">IF(J373="","",J374-J378*$AM378-J379*$AM379-J380*$AM380-J381*$AM381-J382*$AM382-J383*$AM383-J384*$AM384-J385*$AM385)</f>
        <v/>
      </c>
      <c r="K375" s="47" t="str">
        <f t="shared" ref="K375" si="1426">IF(K373="","",K374-K378*$AM378-K379*$AM379-K380*$AM380-K381*$AM381-K382*$AM382-K383*$AM383-K384*$AM384-K385*$AM385)</f>
        <v/>
      </c>
      <c r="L375" s="47" t="str">
        <f t="shared" ref="L375" si="1427">IF(L373="","",L374-L378*$AM378-L379*$AM379-L380*$AM380-L381*$AM381-L382*$AM382-L383*$AM383-L384*$AM384-L385*$AM385)</f>
        <v/>
      </c>
      <c r="M375" s="47" t="str">
        <f t="shared" ref="M375" si="1428">IF(M373="","",M374-M378*$AM378-M379*$AM379-M380*$AM380-M381*$AM381-M382*$AM382-M383*$AM383-M384*$AM384-M385*$AM385)</f>
        <v/>
      </c>
      <c r="N375" s="47" t="str">
        <f t="shared" ref="N375" si="1429">IF(N373="","",N374-N378*$AM378-N379*$AM379-N380*$AM380-N381*$AM381-N382*$AM382-N383*$AM383-N384*$AM384-N385*$AM385)</f>
        <v/>
      </c>
      <c r="O375" s="47" t="str">
        <f t="shared" ref="O375" si="1430">IF(O373="","",O374-O378*$AM378-O379*$AM379-O380*$AM380-O381*$AM381-O382*$AM382-O383*$AM383-O384*$AM384-O385*$AM385)</f>
        <v/>
      </c>
      <c r="P375" s="47" t="str">
        <f t="shared" ref="P375" si="1431">IF(P373="","",P374-P378*$AM378-P379*$AM379-P380*$AM380-P381*$AM381-P382*$AM382-P383*$AM383-P384*$AM384-P385*$AM385)</f>
        <v/>
      </c>
      <c r="Q375" s="47" t="str">
        <f t="shared" ref="Q375" si="1432">IF(Q373="","",Q374-Q378*$AM378-Q379*$AM379-Q380*$AM380-Q381*$AM381-Q382*$AM382-Q383*$AM383-Q384*$AM384-Q385*$AM385)</f>
        <v/>
      </c>
      <c r="R375" s="47" t="str">
        <f t="shared" ref="R375" si="1433">IF(R373="","",R374-R378*$AM378-R379*$AM379-R380*$AM380-R381*$AM381-R382*$AM382-R383*$AM383-R384*$AM384-R385*$AM385)</f>
        <v/>
      </c>
      <c r="S375" s="47" t="str">
        <f t="shared" ref="S375" si="1434">IF(S373="","",S374-S378*$AM378-S379*$AM379-S380*$AM380-S381*$AM381-S382*$AM382-S383*$AM383-S384*$AM384-S385*$AM385)</f>
        <v/>
      </c>
      <c r="T375" s="47" t="str">
        <f t="shared" ref="T375" si="1435">IF(T373="","",T374-T378*$AM378-T379*$AM379-T380*$AM380-T381*$AM381-T382*$AM382-T383*$AM383-T384*$AM384-T385*$AM385)</f>
        <v/>
      </c>
      <c r="U375" s="47" t="str">
        <f t="shared" ref="U375" si="1436">IF(U373="","",U374-U378*$AM378-U379*$AM379-U380*$AM380-U381*$AM381-U382*$AM382-U383*$AM383-U384*$AM384-U385*$AM385)</f>
        <v/>
      </c>
      <c r="V375" s="47" t="str">
        <f t="shared" ref="V375" si="1437">IF(V373="","",V374-V378*$AM378-V379*$AM379-V380*$AM380-V381*$AM381-V382*$AM382-V383*$AM383-V384*$AM384-V385*$AM385)</f>
        <v/>
      </c>
      <c r="W375" s="47" t="str">
        <f t="shared" ref="W375" si="1438">IF(W373="","",W374-W378*$AM378-W379*$AM379-W380*$AM380-W381*$AM381-W382*$AM382-W383*$AM383-W384*$AM384-W385*$AM385)</f>
        <v/>
      </c>
      <c r="X375" s="47" t="str">
        <f t="shared" ref="X375" si="1439">IF(X373="","",X374-X378*$AM378-X379*$AM379-X380*$AM380-X381*$AM381-X382*$AM382-X383*$AM383-X384*$AM384-X385*$AM385)</f>
        <v/>
      </c>
      <c r="Y375" s="47" t="str">
        <f t="shared" ref="Y375" si="1440">IF(Y373="","",Y374-Y378*$AM378-Y379*$AM379-Y380*$AM380-Y381*$AM381-Y382*$AM382-Y383*$AM383-Y384*$AM384-Y385*$AM385)</f>
        <v/>
      </c>
      <c r="Z375" s="47" t="str">
        <f t="shared" ref="Z375" si="1441">IF(Z373="","",Z374-Z378*$AM378-Z379*$AM379-Z380*$AM380-Z381*$AM381-Z382*$AM382-Z383*$AM383-Z384*$AM384-Z385*$AM385)</f>
        <v/>
      </c>
      <c r="AA375" s="47" t="str">
        <f t="shared" ref="AA375" si="1442">IF(AA373="","",AA374-AA378*$AM378-AA379*$AM379-AA380*$AM380-AA381*$AM381-AA382*$AM382-AA383*$AM383-AA384*$AM384-AA385*$AM385)</f>
        <v/>
      </c>
      <c r="AB375" s="47" t="str">
        <f t="shared" ref="AB375" si="1443">IF(AB373="","",AB374-AB378*$AM378-AB379*$AM379-AB380*$AM380-AB381*$AM381-AB382*$AM382-AB383*$AM383-AB384*$AM384-AB385*$AM385)</f>
        <v/>
      </c>
      <c r="AC375" s="47" t="str">
        <f t="shared" ref="AC375" si="1444">IF(AC373="","",AC374-AC378*$AM378-AC379*$AM379-AC380*$AM380-AC381*$AM381-AC382*$AM382-AC383*$AM383-AC384*$AM384-AC385*$AM385)</f>
        <v/>
      </c>
      <c r="AD375" s="47" t="str">
        <f t="shared" ref="AD375" si="1445">IF(AD373="","",AD374-AD378*$AM378-AD379*$AM379-AD380*$AM380-AD381*$AM381-AD382*$AM382-AD383*$AM383-AD384*$AM384-AD385*$AM385)</f>
        <v/>
      </c>
      <c r="AE375" s="47" t="str">
        <f t="shared" ref="AE375" si="1446">IF(AE373="","",AE374-AE378*$AM378-AE379*$AM379-AE380*$AM380-AE381*$AM381-AE382*$AM382-AE383*$AM383-AE384*$AM384-AE385*$AM385)</f>
        <v/>
      </c>
      <c r="AF375" s="47" t="str">
        <f t="shared" ref="AF375" si="1447">IF(AF373="","",AF374-AF378*$AM378-AF379*$AM379-AF380*$AM380-AF381*$AM381-AF382*$AM382-AF383*$AM383-AF384*$AM384-AF385*$AM385)</f>
        <v/>
      </c>
      <c r="AG375" s="47" t="str">
        <f t="shared" ref="AG375" si="1448">IF(AG373="","",AG374-AG378*$AM378-AG379*$AM379-AG380*$AM380-AG381*$AM381-AG382*$AM382-AG383*$AM383-AG384*$AM384-AG385*$AM385)</f>
        <v/>
      </c>
      <c r="AH375" s="47" t="str">
        <f t="shared" ref="AH375" si="1449">IF(AH373="","",AH374-AH378*$AM378-AH379*$AM379-AH380*$AM380-AH381*$AM381-AH382*$AM382-AH383*$AM383-AH384*$AM384-AH385*$AM385)</f>
        <v/>
      </c>
      <c r="AI375" s="47" t="str">
        <f t="shared" ref="AI375" si="1450">IF(AI373="","",AI374-AI378*$AM378-AI379*$AM379-AI380*$AM380-AI381*$AM381-AI382*$AM382-AI383*$AM383-AI384*$AM384-AI385*$AM385)</f>
        <v/>
      </c>
      <c r="AJ375" s="47" t="str">
        <f t="shared" ref="AJ375" si="1451">IF(AJ373="","",AJ374-AJ378*$AM378-AJ379*$AM379-AJ380*$AM380-AJ381*$AM381-AJ382*$AM382-AJ383*$AM383-AJ384*$AM384-AJ385*$AM385)</f>
        <v/>
      </c>
      <c r="AK375" s="47" t="str">
        <f>IF(AK373="","",AK374-AK378*$AM378-AK379*$AM379-AK380*$AM380-AK381*$AM381-AK382*$AM382-AK383*$AM383-AK384*$AM384-AK385*$AM385)</f>
        <v/>
      </c>
      <c r="AL375" s="47" t="str">
        <f t="shared" ref="AL375" si="1452">IF(AL373="","",AL374-AL378*$AM378-AL379*$AM379-AL380*$AM380-AL381*$AM381-AL382*$AM382-AL383*$AM383-AL384*$AM384-AL385*$AM385)</f>
        <v/>
      </c>
      <c r="AM375" s="45">
        <f>SUM(C375:AL375)</f>
        <v>0</v>
      </c>
      <c r="AN375" s="155" t="s">
        <v>33</v>
      </c>
      <c r="AO375" s="156"/>
      <c r="AP375" s="157"/>
      <c r="AQ375" s="158"/>
      <c r="AR375" s="17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</row>
    <row r="376" spans="1:81" ht="17.100000000000001" customHeight="1" outlineLevel="1">
      <c r="A376" s="177" t="s">
        <v>20</v>
      </c>
      <c r="B376" s="178"/>
      <c r="C376" s="181" t="s">
        <v>0</v>
      </c>
      <c r="D376" s="182"/>
      <c r="E376" s="182"/>
      <c r="F376" s="182"/>
      <c r="G376" s="182"/>
      <c r="H376" s="182"/>
      <c r="I376" s="182"/>
      <c r="J376" s="182"/>
      <c r="K376" s="182"/>
      <c r="L376" s="182"/>
      <c r="M376" s="182"/>
      <c r="N376" s="182"/>
      <c r="O376" s="182"/>
      <c r="P376" s="182"/>
      <c r="Q376" s="182"/>
      <c r="R376" s="182"/>
      <c r="S376" s="182"/>
      <c r="T376" s="182"/>
      <c r="U376" s="182"/>
      <c r="V376" s="182"/>
      <c r="W376" s="182"/>
      <c r="X376" s="182"/>
      <c r="Y376" s="182"/>
      <c r="Z376" s="182"/>
      <c r="AA376" s="182"/>
      <c r="AB376" s="182"/>
      <c r="AC376" s="182"/>
      <c r="AD376" s="182"/>
      <c r="AE376" s="182"/>
      <c r="AF376" s="182"/>
      <c r="AG376" s="182"/>
      <c r="AH376" s="182"/>
      <c r="AI376" s="182"/>
      <c r="AJ376" s="182"/>
      <c r="AK376" s="182"/>
      <c r="AL376" s="183"/>
      <c r="AM376" s="187" t="s">
        <v>1</v>
      </c>
      <c r="AN376" s="200" t="s">
        <v>11</v>
      </c>
      <c r="AO376" s="196" t="s">
        <v>12</v>
      </c>
      <c r="AP376" s="197"/>
      <c r="AQ376" s="193" t="s">
        <v>6</v>
      </c>
      <c r="AR376" s="24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</row>
    <row r="377" spans="1:81" ht="17.100000000000001" customHeight="1" outlineLevel="1">
      <c r="A377" s="179"/>
      <c r="B377" s="180"/>
      <c r="C377" s="184"/>
      <c r="D377" s="185"/>
      <c r="E377" s="185"/>
      <c r="F377" s="185"/>
      <c r="G377" s="185"/>
      <c r="H377" s="185"/>
      <c r="I377" s="185"/>
      <c r="J377" s="185"/>
      <c r="K377" s="185"/>
      <c r="L377" s="185"/>
      <c r="M377" s="185"/>
      <c r="N377" s="185"/>
      <c r="O377" s="185"/>
      <c r="P377" s="185"/>
      <c r="Q377" s="185"/>
      <c r="R377" s="185"/>
      <c r="S377" s="185"/>
      <c r="T377" s="185"/>
      <c r="U377" s="185"/>
      <c r="V377" s="185"/>
      <c r="W377" s="185"/>
      <c r="X377" s="185"/>
      <c r="Y377" s="185"/>
      <c r="Z377" s="185"/>
      <c r="AA377" s="185"/>
      <c r="AB377" s="185"/>
      <c r="AC377" s="185"/>
      <c r="AD377" s="185"/>
      <c r="AE377" s="185"/>
      <c r="AF377" s="185"/>
      <c r="AG377" s="185"/>
      <c r="AH377" s="185"/>
      <c r="AI377" s="185"/>
      <c r="AJ377" s="185"/>
      <c r="AK377" s="185"/>
      <c r="AL377" s="186"/>
      <c r="AM377" s="188"/>
      <c r="AN377" s="190"/>
      <c r="AO377" s="18" t="s">
        <v>3</v>
      </c>
      <c r="AP377" s="19" t="s">
        <v>13</v>
      </c>
      <c r="AQ377" s="172"/>
      <c r="AR377" s="27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</row>
    <row r="378" spans="1:81" ht="17.100000000000001" customHeight="1" outlineLevel="1">
      <c r="A378" s="173"/>
      <c r="B378" s="30" t="s">
        <v>21</v>
      </c>
      <c r="C378" s="39"/>
      <c r="D378" s="39"/>
      <c r="E378" s="39"/>
      <c r="F378" s="39"/>
      <c r="G378" s="39"/>
      <c r="H378" s="39"/>
      <c r="I378" s="39"/>
      <c r="J378" s="39"/>
      <c r="K378" s="39"/>
      <c r="L378" s="39"/>
      <c r="M378" s="39"/>
      <c r="N378" s="39"/>
      <c r="O378" s="39"/>
      <c r="P378" s="39"/>
      <c r="Q378" s="39"/>
      <c r="R378" s="39"/>
      <c r="S378" s="39"/>
      <c r="T378" s="39"/>
      <c r="U378" s="39"/>
      <c r="V378" s="39"/>
      <c r="W378" s="39"/>
      <c r="X378" s="39"/>
      <c r="Y378" s="39"/>
      <c r="Z378" s="39"/>
      <c r="AA378" s="39"/>
      <c r="AB378" s="39"/>
      <c r="AC378" s="39"/>
      <c r="AD378" s="39"/>
      <c r="AE378" s="39"/>
      <c r="AF378" s="39"/>
      <c r="AG378" s="39"/>
      <c r="AH378" s="39"/>
      <c r="AI378" s="39"/>
      <c r="AJ378" s="39"/>
      <c r="AK378" s="39"/>
      <c r="AL378" s="39"/>
      <c r="AM378" s="39"/>
      <c r="AN378" s="40" t="str">
        <f>IF(AM378="","",SUM(C378:AL378)*AM378)</f>
        <v/>
      </c>
      <c r="AO378" s="39"/>
      <c r="AP378" s="39"/>
      <c r="AQ378" s="42">
        <f>(AO378+AR378)*AM378</f>
        <v>0</v>
      </c>
      <c r="AR378" s="25">
        <f>AP378/36</f>
        <v>0</v>
      </c>
      <c r="AT378" s="3" t="str">
        <f t="shared" ref="AT378:CA378" si="1453">IF(C378=0,"",ROUNDUP(C375/C378,0))</f>
        <v/>
      </c>
      <c r="AU378" s="3" t="str">
        <f t="shared" si="1453"/>
        <v/>
      </c>
      <c r="AV378" s="3" t="str">
        <f t="shared" si="1453"/>
        <v/>
      </c>
      <c r="AW378" s="3" t="str">
        <f t="shared" si="1453"/>
        <v/>
      </c>
      <c r="AX378" s="3" t="str">
        <f t="shared" si="1453"/>
        <v/>
      </c>
      <c r="AY378" s="3" t="str">
        <f t="shared" si="1453"/>
        <v/>
      </c>
      <c r="AZ378" s="3" t="str">
        <f t="shared" si="1453"/>
        <v/>
      </c>
      <c r="BA378" s="3" t="str">
        <f t="shared" si="1453"/>
        <v/>
      </c>
      <c r="BB378" s="3" t="str">
        <f t="shared" si="1453"/>
        <v/>
      </c>
      <c r="BC378" s="3" t="str">
        <f t="shared" si="1453"/>
        <v/>
      </c>
      <c r="BD378" s="3" t="str">
        <f t="shared" si="1453"/>
        <v/>
      </c>
      <c r="BE378" s="3" t="str">
        <f t="shared" si="1453"/>
        <v/>
      </c>
      <c r="BF378" s="3" t="str">
        <f t="shared" si="1453"/>
        <v/>
      </c>
      <c r="BG378" s="3" t="str">
        <f t="shared" si="1453"/>
        <v/>
      </c>
      <c r="BH378" s="3" t="str">
        <f t="shared" si="1453"/>
        <v/>
      </c>
      <c r="BI378" s="3" t="str">
        <f t="shared" si="1453"/>
        <v/>
      </c>
      <c r="BJ378" s="3" t="str">
        <f t="shared" si="1453"/>
        <v/>
      </c>
      <c r="BK378" s="3" t="str">
        <f t="shared" si="1453"/>
        <v/>
      </c>
      <c r="BL378" s="3" t="str">
        <f t="shared" si="1453"/>
        <v/>
      </c>
      <c r="BM378" s="3" t="str">
        <f t="shared" si="1453"/>
        <v/>
      </c>
      <c r="BN378" s="3" t="str">
        <f t="shared" si="1453"/>
        <v/>
      </c>
      <c r="BO378" s="3" t="str">
        <f t="shared" si="1453"/>
        <v/>
      </c>
      <c r="BP378" s="3" t="str">
        <f t="shared" si="1453"/>
        <v/>
      </c>
      <c r="BQ378" s="3" t="str">
        <f t="shared" si="1453"/>
        <v/>
      </c>
      <c r="BR378" s="3" t="str">
        <f t="shared" si="1453"/>
        <v/>
      </c>
      <c r="BS378" s="3" t="str">
        <f t="shared" si="1453"/>
        <v/>
      </c>
      <c r="BT378" s="3" t="str">
        <f t="shared" si="1453"/>
        <v/>
      </c>
      <c r="BU378" s="3" t="str">
        <f t="shared" si="1453"/>
        <v/>
      </c>
      <c r="BV378" s="3" t="str">
        <f t="shared" si="1453"/>
        <v/>
      </c>
      <c r="BW378" s="3" t="str">
        <f t="shared" si="1453"/>
        <v/>
      </c>
      <c r="BX378" s="3" t="str">
        <f t="shared" si="1453"/>
        <v/>
      </c>
      <c r="BY378" s="3" t="str">
        <f t="shared" si="1453"/>
        <v/>
      </c>
      <c r="BZ378" s="3" t="str">
        <f t="shared" si="1453"/>
        <v/>
      </c>
      <c r="CA378" s="3" t="str">
        <f t="shared" si="1453"/>
        <v/>
      </c>
      <c r="CB378" s="3" t="str">
        <f t="shared" ref="CB378" si="1454">IF(AK378=0,"",ROUNDUP(AK375/AK378,0))</f>
        <v/>
      </c>
      <c r="CC378" s="3" t="str">
        <f t="shared" ref="CC378" si="1455">IF(AL378=0,"",ROUNDUP(AL375/AL378,0))</f>
        <v/>
      </c>
    </row>
    <row r="379" spans="1:81" ht="17.100000000000001" customHeight="1" outlineLevel="1">
      <c r="A379" s="174"/>
      <c r="B379" s="30" t="s">
        <v>22</v>
      </c>
      <c r="C379" s="39"/>
      <c r="D379" s="39"/>
      <c r="E379" s="39"/>
      <c r="F379" s="39"/>
      <c r="G379" s="39"/>
      <c r="H379" s="39"/>
      <c r="I379" s="39"/>
      <c r="J379" s="39"/>
      <c r="K379" s="39"/>
      <c r="L379" s="39"/>
      <c r="M379" s="39"/>
      <c r="N379" s="39"/>
      <c r="O379" s="39"/>
      <c r="P379" s="39"/>
      <c r="Q379" s="39"/>
      <c r="R379" s="39"/>
      <c r="S379" s="39"/>
      <c r="T379" s="39"/>
      <c r="U379" s="39"/>
      <c r="V379" s="39"/>
      <c r="W379" s="39"/>
      <c r="X379" s="39"/>
      <c r="Y379" s="39"/>
      <c r="Z379" s="39"/>
      <c r="AA379" s="39"/>
      <c r="AB379" s="39"/>
      <c r="AC379" s="39"/>
      <c r="AD379" s="39"/>
      <c r="AE379" s="39"/>
      <c r="AF379" s="39"/>
      <c r="AG379" s="39"/>
      <c r="AH379" s="39"/>
      <c r="AI379" s="39"/>
      <c r="AJ379" s="39"/>
      <c r="AK379" s="39"/>
      <c r="AL379" s="39"/>
      <c r="AM379" s="39"/>
      <c r="AN379" s="40" t="str">
        <f t="shared" ref="AN379:AN382" si="1456">IF(AM379="","",SUM(C379:AL379)*AM379)</f>
        <v/>
      </c>
      <c r="AO379" s="39"/>
      <c r="AP379" s="39"/>
      <c r="AQ379" s="42">
        <f t="shared" ref="AQ379:AQ385" si="1457">(AO379+AR379)*AM379</f>
        <v>0</v>
      </c>
      <c r="AR379" s="25">
        <f t="shared" ref="AR379:AR385" si="1458">AP379/36</f>
        <v>0</v>
      </c>
      <c r="AT379" s="3" t="str">
        <f t="shared" ref="AT379:CA379" si="1459">IF(C379=0,"",ROUNDUP(C375/C379,0))</f>
        <v/>
      </c>
      <c r="AU379" s="3" t="str">
        <f t="shared" si="1459"/>
        <v/>
      </c>
      <c r="AV379" s="3" t="str">
        <f t="shared" si="1459"/>
        <v/>
      </c>
      <c r="AW379" s="3" t="str">
        <f t="shared" si="1459"/>
        <v/>
      </c>
      <c r="AX379" s="3" t="str">
        <f t="shared" si="1459"/>
        <v/>
      </c>
      <c r="AY379" s="3" t="str">
        <f t="shared" si="1459"/>
        <v/>
      </c>
      <c r="AZ379" s="3" t="str">
        <f t="shared" si="1459"/>
        <v/>
      </c>
      <c r="BA379" s="3" t="str">
        <f t="shared" si="1459"/>
        <v/>
      </c>
      <c r="BB379" s="3" t="str">
        <f t="shared" si="1459"/>
        <v/>
      </c>
      <c r="BC379" s="3" t="str">
        <f t="shared" si="1459"/>
        <v/>
      </c>
      <c r="BD379" s="3" t="str">
        <f t="shared" si="1459"/>
        <v/>
      </c>
      <c r="BE379" s="3" t="str">
        <f t="shared" si="1459"/>
        <v/>
      </c>
      <c r="BF379" s="3" t="str">
        <f t="shared" si="1459"/>
        <v/>
      </c>
      <c r="BG379" s="3" t="str">
        <f t="shared" si="1459"/>
        <v/>
      </c>
      <c r="BH379" s="3" t="str">
        <f t="shared" si="1459"/>
        <v/>
      </c>
      <c r="BI379" s="3" t="str">
        <f t="shared" si="1459"/>
        <v/>
      </c>
      <c r="BJ379" s="3" t="str">
        <f t="shared" si="1459"/>
        <v/>
      </c>
      <c r="BK379" s="3" t="str">
        <f t="shared" si="1459"/>
        <v/>
      </c>
      <c r="BL379" s="3" t="str">
        <f t="shared" si="1459"/>
        <v/>
      </c>
      <c r="BM379" s="3" t="str">
        <f t="shared" si="1459"/>
        <v/>
      </c>
      <c r="BN379" s="3" t="str">
        <f t="shared" si="1459"/>
        <v/>
      </c>
      <c r="BO379" s="3" t="str">
        <f t="shared" si="1459"/>
        <v/>
      </c>
      <c r="BP379" s="3" t="str">
        <f t="shared" si="1459"/>
        <v/>
      </c>
      <c r="BQ379" s="3" t="str">
        <f t="shared" si="1459"/>
        <v/>
      </c>
      <c r="BR379" s="3" t="str">
        <f t="shared" si="1459"/>
        <v/>
      </c>
      <c r="BS379" s="3" t="str">
        <f t="shared" si="1459"/>
        <v/>
      </c>
      <c r="BT379" s="3" t="str">
        <f t="shared" si="1459"/>
        <v/>
      </c>
      <c r="BU379" s="3" t="str">
        <f t="shared" si="1459"/>
        <v/>
      </c>
      <c r="BV379" s="3" t="str">
        <f t="shared" si="1459"/>
        <v/>
      </c>
      <c r="BW379" s="3" t="str">
        <f t="shared" si="1459"/>
        <v/>
      </c>
      <c r="BX379" s="3" t="str">
        <f t="shared" si="1459"/>
        <v/>
      </c>
      <c r="BY379" s="3" t="str">
        <f t="shared" si="1459"/>
        <v/>
      </c>
      <c r="BZ379" s="3" t="str">
        <f t="shared" si="1459"/>
        <v/>
      </c>
      <c r="CA379" s="3" t="str">
        <f t="shared" si="1459"/>
        <v/>
      </c>
      <c r="CB379" s="3" t="str">
        <f t="shared" ref="CB379" si="1460">IF(AK379=0,"",ROUNDUP(AK375/AK379,0))</f>
        <v/>
      </c>
      <c r="CC379" s="3" t="str">
        <f t="shared" ref="CC379" si="1461">IF(AL379=0,"",ROUNDUP(AL375/AL379,0))</f>
        <v/>
      </c>
    </row>
    <row r="380" spans="1:81" ht="17.100000000000001" customHeight="1" outlineLevel="1">
      <c r="A380" s="174"/>
      <c r="B380" s="30" t="s">
        <v>23</v>
      </c>
      <c r="C380" s="39"/>
      <c r="D380" s="39"/>
      <c r="E380" s="39"/>
      <c r="F380" s="39"/>
      <c r="G380" s="39"/>
      <c r="H380" s="39"/>
      <c r="I380" s="39"/>
      <c r="J380" s="39"/>
      <c r="K380" s="39"/>
      <c r="L380" s="39"/>
      <c r="M380" s="39"/>
      <c r="N380" s="39"/>
      <c r="O380" s="39"/>
      <c r="P380" s="39"/>
      <c r="Q380" s="39"/>
      <c r="R380" s="39"/>
      <c r="S380" s="39"/>
      <c r="T380" s="39"/>
      <c r="U380" s="39"/>
      <c r="V380" s="39"/>
      <c r="W380" s="39"/>
      <c r="X380" s="39"/>
      <c r="Y380" s="39"/>
      <c r="Z380" s="39"/>
      <c r="AA380" s="39"/>
      <c r="AB380" s="39"/>
      <c r="AC380" s="39"/>
      <c r="AD380" s="39"/>
      <c r="AE380" s="39"/>
      <c r="AF380" s="39"/>
      <c r="AG380" s="39"/>
      <c r="AH380" s="39"/>
      <c r="AI380" s="39"/>
      <c r="AJ380" s="39"/>
      <c r="AK380" s="39"/>
      <c r="AL380" s="39"/>
      <c r="AM380" s="39"/>
      <c r="AN380" s="40" t="str">
        <f t="shared" si="1456"/>
        <v/>
      </c>
      <c r="AO380" s="39"/>
      <c r="AP380" s="39"/>
      <c r="AQ380" s="42">
        <f t="shared" si="1457"/>
        <v>0</v>
      </c>
      <c r="AR380" s="25">
        <f t="shared" si="1458"/>
        <v>0</v>
      </c>
      <c r="AT380" s="3" t="str">
        <f t="shared" ref="AT380:CA380" si="1462">IF(C380=0,"",ROUNDUP(C375/C380,0))</f>
        <v/>
      </c>
      <c r="AU380" s="3" t="str">
        <f t="shared" si="1462"/>
        <v/>
      </c>
      <c r="AV380" s="3" t="str">
        <f t="shared" si="1462"/>
        <v/>
      </c>
      <c r="AW380" s="3" t="str">
        <f t="shared" si="1462"/>
        <v/>
      </c>
      <c r="AX380" s="3" t="str">
        <f t="shared" si="1462"/>
        <v/>
      </c>
      <c r="AY380" s="3" t="str">
        <f t="shared" si="1462"/>
        <v/>
      </c>
      <c r="AZ380" s="3" t="str">
        <f t="shared" si="1462"/>
        <v/>
      </c>
      <c r="BA380" s="3" t="str">
        <f t="shared" si="1462"/>
        <v/>
      </c>
      <c r="BB380" s="3" t="str">
        <f t="shared" si="1462"/>
        <v/>
      </c>
      <c r="BC380" s="3" t="str">
        <f t="shared" si="1462"/>
        <v/>
      </c>
      <c r="BD380" s="3" t="str">
        <f t="shared" si="1462"/>
        <v/>
      </c>
      <c r="BE380" s="3" t="str">
        <f t="shared" si="1462"/>
        <v/>
      </c>
      <c r="BF380" s="3" t="str">
        <f t="shared" si="1462"/>
        <v/>
      </c>
      <c r="BG380" s="3" t="str">
        <f t="shared" si="1462"/>
        <v/>
      </c>
      <c r="BH380" s="3" t="str">
        <f t="shared" si="1462"/>
        <v/>
      </c>
      <c r="BI380" s="3" t="str">
        <f t="shared" si="1462"/>
        <v/>
      </c>
      <c r="BJ380" s="3" t="str">
        <f t="shared" si="1462"/>
        <v/>
      </c>
      <c r="BK380" s="3" t="str">
        <f t="shared" si="1462"/>
        <v/>
      </c>
      <c r="BL380" s="3" t="str">
        <f t="shared" si="1462"/>
        <v/>
      </c>
      <c r="BM380" s="3" t="str">
        <f t="shared" si="1462"/>
        <v/>
      </c>
      <c r="BN380" s="3" t="str">
        <f t="shared" si="1462"/>
        <v/>
      </c>
      <c r="BO380" s="3" t="str">
        <f t="shared" si="1462"/>
        <v/>
      </c>
      <c r="BP380" s="3" t="str">
        <f t="shared" si="1462"/>
        <v/>
      </c>
      <c r="BQ380" s="3" t="str">
        <f t="shared" si="1462"/>
        <v/>
      </c>
      <c r="BR380" s="3" t="str">
        <f t="shared" si="1462"/>
        <v/>
      </c>
      <c r="BS380" s="3" t="str">
        <f t="shared" si="1462"/>
        <v/>
      </c>
      <c r="BT380" s="3" t="str">
        <f t="shared" si="1462"/>
        <v/>
      </c>
      <c r="BU380" s="3" t="str">
        <f t="shared" si="1462"/>
        <v/>
      </c>
      <c r="BV380" s="3" t="str">
        <f t="shared" si="1462"/>
        <v/>
      </c>
      <c r="BW380" s="3" t="str">
        <f t="shared" si="1462"/>
        <v/>
      </c>
      <c r="BX380" s="3" t="str">
        <f t="shared" si="1462"/>
        <v/>
      </c>
      <c r="BY380" s="3" t="str">
        <f t="shared" si="1462"/>
        <v/>
      </c>
      <c r="BZ380" s="3" t="str">
        <f t="shared" si="1462"/>
        <v/>
      </c>
      <c r="CA380" s="3" t="str">
        <f t="shared" si="1462"/>
        <v/>
      </c>
      <c r="CB380" s="3" t="str">
        <f t="shared" ref="CB380" si="1463">IF(AK380=0,"",ROUNDUP(AK375/AK380,0))</f>
        <v/>
      </c>
      <c r="CC380" s="3" t="str">
        <f t="shared" ref="CC380" si="1464">IF(AL380=0,"",ROUNDUP(AL375/AL380,0))</f>
        <v/>
      </c>
    </row>
    <row r="381" spans="1:81" ht="17.100000000000001" customHeight="1" outlineLevel="1">
      <c r="A381" s="174"/>
      <c r="B381" s="30" t="s">
        <v>24</v>
      </c>
      <c r="C381" s="39"/>
      <c r="D381" s="39"/>
      <c r="E381" s="39"/>
      <c r="F381" s="39"/>
      <c r="G381" s="39"/>
      <c r="H381" s="39"/>
      <c r="I381" s="39"/>
      <c r="J381" s="39"/>
      <c r="K381" s="39"/>
      <c r="L381" s="39"/>
      <c r="M381" s="39"/>
      <c r="N381" s="39"/>
      <c r="O381" s="39"/>
      <c r="P381" s="39"/>
      <c r="Q381" s="39"/>
      <c r="R381" s="39"/>
      <c r="S381" s="39"/>
      <c r="T381" s="39"/>
      <c r="U381" s="39"/>
      <c r="V381" s="39"/>
      <c r="W381" s="39"/>
      <c r="X381" s="39"/>
      <c r="Y381" s="39"/>
      <c r="Z381" s="39"/>
      <c r="AA381" s="39"/>
      <c r="AB381" s="39"/>
      <c r="AC381" s="39"/>
      <c r="AD381" s="39"/>
      <c r="AE381" s="39"/>
      <c r="AF381" s="39"/>
      <c r="AG381" s="39"/>
      <c r="AH381" s="39"/>
      <c r="AI381" s="39"/>
      <c r="AJ381" s="39"/>
      <c r="AK381" s="39"/>
      <c r="AL381" s="39"/>
      <c r="AM381" s="39"/>
      <c r="AN381" s="40" t="str">
        <f t="shared" si="1456"/>
        <v/>
      </c>
      <c r="AO381" s="39"/>
      <c r="AP381" s="39"/>
      <c r="AQ381" s="42">
        <f t="shared" si="1457"/>
        <v>0</v>
      </c>
      <c r="AR381" s="25">
        <f t="shared" si="1458"/>
        <v>0</v>
      </c>
      <c r="AT381" s="3" t="str">
        <f t="shared" ref="AT381:CA381" si="1465">IF(C381=0,"",ROUNDUP(C375/C381,0))</f>
        <v/>
      </c>
      <c r="AU381" s="3" t="str">
        <f t="shared" si="1465"/>
        <v/>
      </c>
      <c r="AV381" s="3" t="str">
        <f t="shared" si="1465"/>
        <v/>
      </c>
      <c r="AW381" s="3" t="str">
        <f t="shared" si="1465"/>
        <v/>
      </c>
      <c r="AX381" s="3" t="str">
        <f t="shared" si="1465"/>
        <v/>
      </c>
      <c r="AY381" s="3" t="str">
        <f t="shared" si="1465"/>
        <v/>
      </c>
      <c r="AZ381" s="3" t="str">
        <f t="shared" si="1465"/>
        <v/>
      </c>
      <c r="BA381" s="3" t="str">
        <f t="shared" si="1465"/>
        <v/>
      </c>
      <c r="BB381" s="3" t="str">
        <f t="shared" si="1465"/>
        <v/>
      </c>
      <c r="BC381" s="3" t="str">
        <f t="shared" si="1465"/>
        <v/>
      </c>
      <c r="BD381" s="3" t="str">
        <f t="shared" si="1465"/>
        <v/>
      </c>
      <c r="BE381" s="3" t="str">
        <f t="shared" si="1465"/>
        <v/>
      </c>
      <c r="BF381" s="3" t="str">
        <f t="shared" si="1465"/>
        <v/>
      </c>
      <c r="BG381" s="3" t="str">
        <f t="shared" si="1465"/>
        <v/>
      </c>
      <c r="BH381" s="3" t="str">
        <f t="shared" si="1465"/>
        <v/>
      </c>
      <c r="BI381" s="3" t="str">
        <f t="shared" si="1465"/>
        <v/>
      </c>
      <c r="BJ381" s="3" t="str">
        <f t="shared" si="1465"/>
        <v/>
      </c>
      <c r="BK381" s="3" t="str">
        <f t="shared" si="1465"/>
        <v/>
      </c>
      <c r="BL381" s="3" t="str">
        <f t="shared" si="1465"/>
        <v/>
      </c>
      <c r="BM381" s="3" t="str">
        <f t="shared" si="1465"/>
        <v/>
      </c>
      <c r="BN381" s="3" t="str">
        <f t="shared" si="1465"/>
        <v/>
      </c>
      <c r="BO381" s="3" t="str">
        <f t="shared" si="1465"/>
        <v/>
      </c>
      <c r="BP381" s="3" t="str">
        <f t="shared" si="1465"/>
        <v/>
      </c>
      <c r="BQ381" s="3" t="str">
        <f t="shared" si="1465"/>
        <v/>
      </c>
      <c r="BR381" s="3" t="str">
        <f t="shared" si="1465"/>
        <v/>
      </c>
      <c r="BS381" s="3" t="str">
        <f t="shared" si="1465"/>
        <v/>
      </c>
      <c r="BT381" s="3" t="str">
        <f t="shared" si="1465"/>
        <v/>
      </c>
      <c r="BU381" s="3" t="str">
        <f t="shared" si="1465"/>
        <v/>
      </c>
      <c r="BV381" s="3" t="str">
        <f t="shared" si="1465"/>
        <v/>
      </c>
      <c r="BW381" s="3" t="str">
        <f t="shared" si="1465"/>
        <v/>
      </c>
      <c r="BX381" s="3" t="str">
        <f t="shared" si="1465"/>
        <v/>
      </c>
      <c r="BY381" s="3" t="str">
        <f t="shared" si="1465"/>
        <v/>
      </c>
      <c r="BZ381" s="3" t="str">
        <f t="shared" si="1465"/>
        <v/>
      </c>
      <c r="CA381" s="3" t="str">
        <f t="shared" si="1465"/>
        <v/>
      </c>
      <c r="CB381" s="3" t="str">
        <f t="shared" ref="CB381" si="1466">IF(AK381=0,"",ROUNDUP(AK375/AK381,0))</f>
        <v/>
      </c>
      <c r="CC381" s="3" t="str">
        <f t="shared" ref="CC381" si="1467">IF(AL381=0,"",ROUNDUP(AL375/AL381,0))</f>
        <v/>
      </c>
    </row>
    <row r="382" spans="1:81" ht="17.100000000000001" customHeight="1" outlineLevel="1">
      <c r="A382" s="174"/>
      <c r="B382" s="30" t="s">
        <v>25</v>
      </c>
      <c r="C382" s="39"/>
      <c r="D382" s="39"/>
      <c r="E382" s="39"/>
      <c r="F382" s="39"/>
      <c r="G382" s="39"/>
      <c r="H382" s="39"/>
      <c r="I382" s="39"/>
      <c r="J382" s="39"/>
      <c r="K382" s="39"/>
      <c r="L382" s="39"/>
      <c r="M382" s="39"/>
      <c r="N382" s="39"/>
      <c r="O382" s="39"/>
      <c r="P382" s="39"/>
      <c r="Q382" s="39"/>
      <c r="R382" s="39"/>
      <c r="S382" s="39"/>
      <c r="T382" s="39"/>
      <c r="U382" s="39"/>
      <c r="V382" s="39"/>
      <c r="W382" s="39"/>
      <c r="X382" s="39"/>
      <c r="Y382" s="39"/>
      <c r="Z382" s="39"/>
      <c r="AA382" s="39"/>
      <c r="AB382" s="39"/>
      <c r="AC382" s="39"/>
      <c r="AD382" s="39"/>
      <c r="AE382" s="39"/>
      <c r="AF382" s="39"/>
      <c r="AG382" s="39"/>
      <c r="AH382" s="39"/>
      <c r="AI382" s="39"/>
      <c r="AJ382" s="39"/>
      <c r="AK382" s="39"/>
      <c r="AL382" s="39"/>
      <c r="AM382" s="39"/>
      <c r="AN382" s="40" t="str">
        <f t="shared" si="1456"/>
        <v/>
      </c>
      <c r="AO382" s="39"/>
      <c r="AP382" s="39"/>
      <c r="AQ382" s="42">
        <f t="shared" si="1457"/>
        <v>0</v>
      </c>
      <c r="AR382" s="25">
        <f t="shared" si="1458"/>
        <v>0</v>
      </c>
      <c r="AT382" s="3" t="str">
        <f t="shared" ref="AT382:CA382" si="1468">IF(C382=0,"",ROUNDUP(C375/C382,0))</f>
        <v/>
      </c>
      <c r="AU382" s="3" t="str">
        <f t="shared" si="1468"/>
        <v/>
      </c>
      <c r="AV382" s="3" t="str">
        <f t="shared" si="1468"/>
        <v/>
      </c>
      <c r="AW382" s="3" t="str">
        <f t="shared" si="1468"/>
        <v/>
      </c>
      <c r="AX382" s="3" t="str">
        <f t="shared" si="1468"/>
        <v/>
      </c>
      <c r="AY382" s="3" t="str">
        <f t="shared" si="1468"/>
        <v/>
      </c>
      <c r="AZ382" s="3" t="str">
        <f t="shared" si="1468"/>
        <v/>
      </c>
      <c r="BA382" s="3" t="str">
        <f t="shared" si="1468"/>
        <v/>
      </c>
      <c r="BB382" s="3" t="str">
        <f t="shared" si="1468"/>
        <v/>
      </c>
      <c r="BC382" s="3" t="str">
        <f t="shared" si="1468"/>
        <v/>
      </c>
      <c r="BD382" s="3" t="str">
        <f t="shared" si="1468"/>
        <v/>
      </c>
      <c r="BE382" s="3" t="str">
        <f t="shared" si="1468"/>
        <v/>
      </c>
      <c r="BF382" s="3" t="str">
        <f t="shared" si="1468"/>
        <v/>
      </c>
      <c r="BG382" s="3" t="str">
        <f t="shared" si="1468"/>
        <v/>
      </c>
      <c r="BH382" s="3" t="str">
        <f t="shared" si="1468"/>
        <v/>
      </c>
      <c r="BI382" s="3" t="str">
        <f t="shared" si="1468"/>
        <v/>
      </c>
      <c r="BJ382" s="3" t="str">
        <f t="shared" si="1468"/>
        <v/>
      </c>
      <c r="BK382" s="3" t="str">
        <f t="shared" si="1468"/>
        <v/>
      </c>
      <c r="BL382" s="3" t="str">
        <f t="shared" si="1468"/>
        <v/>
      </c>
      <c r="BM382" s="3" t="str">
        <f t="shared" si="1468"/>
        <v/>
      </c>
      <c r="BN382" s="3" t="str">
        <f t="shared" si="1468"/>
        <v/>
      </c>
      <c r="BO382" s="3" t="str">
        <f t="shared" si="1468"/>
        <v/>
      </c>
      <c r="BP382" s="3" t="str">
        <f t="shared" si="1468"/>
        <v/>
      </c>
      <c r="BQ382" s="3" t="str">
        <f t="shared" si="1468"/>
        <v/>
      </c>
      <c r="BR382" s="3" t="str">
        <f t="shared" si="1468"/>
        <v/>
      </c>
      <c r="BS382" s="3" t="str">
        <f t="shared" si="1468"/>
        <v/>
      </c>
      <c r="BT382" s="3" t="str">
        <f t="shared" si="1468"/>
        <v/>
      </c>
      <c r="BU382" s="3" t="str">
        <f t="shared" si="1468"/>
        <v/>
      </c>
      <c r="BV382" s="3" t="str">
        <f t="shared" si="1468"/>
        <v/>
      </c>
      <c r="BW382" s="3" t="str">
        <f t="shared" si="1468"/>
        <v/>
      </c>
      <c r="BX382" s="3" t="str">
        <f t="shared" si="1468"/>
        <v/>
      </c>
      <c r="BY382" s="3" t="str">
        <f t="shared" si="1468"/>
        <v/>
      </c>
      <c r="BZ382" s="3" t="str">
        <f t="shared" si="1468"/>
        <v/>
      </c>
      <c r="CA382" s="3" t="str">
        <f t="shared" si="1468"/>
        <v/>
      </c>
      <c r="CB382" s="3" t="str">
        <f t="shared" ref="CB382" si="1469">IF(AK382=0,"",ROUNDUP(AK375/AK382,0))</f>
        <v/>
      </c>
      <c r="CC382" s="3" t="str">
        <f t="shared" ref="CC382" si="1470">IF(AL382=0,"",ROUNDUP(AL375/AL382,0))</f>
        <v/>
      </c>
    </row>
    <row r="383" spans="1:81" ht="17.100000000000001" customHeight="1" outlineLevel="1">
      <c r="A383" s="174"/>
      <c r="B383" s="30" t="s">
        <v>26</v>
      </c>
      <c r="C383" s="39"/>
      <c r="D383" s="39"/>
      <c r="E383" s="39"/>
      <c r="F383" s="39"/>
      <c r="G383" s="39"/>
      <c r="H383" s="39"/>
      <c r="I383" s="39"/>
      <c r="J383" s="39"/>
      <c r="K383" s="39"/>
      <c r="L383" s="39"/>
      <c r="M383" s="39"/>
      <c r="N383" s="39"/>
      <c r="O383" s="39"/>
      <c r="P383" s="39"/>
      <c r="Q383" s="39"/>
      <c r="R383" s="39"/>
      <c r="S383" s="39"/>
      <c r="T383" s="39"/>
      <c r="U383" s="39"/>
      <c r="V383" s="39"/>
      <c r="W383" s="39"/>
      <c r="X383" s="39"/>
      <c r="Y383" s="39"/>
      <c r="Z383" s="39"/>
      <c r="AA383" s="39"/>
      <c r="AB383" s="39"/>
      <c r="AC383" s="39"/>
      <c r="AD383" s="39"/>
      <c r="AE383" s="39"/>
      <c r="AF383" s="39"/>
      <c r="AG383" s="39"/>
      <c r="AH383" s="39"/>
      <c r="AI383" s="39"/>
      <c r="AJ383" s="39"/>
      <c r="AK383" s="39"/>
      <c r="AL383" s="39"/>
      <c r="AM383" s="39"/>
      <c r="AN383" s="40" t="str">
        <f>IF(AM383="","",SUM(C383:AL383)*AM383)</f>
        <v/>
      </c>
      <c r="AO383" s="39"/>
      <c r="AP383" s="39"/>
      <c r="AQ383" s="42">
        <f t="shared" si="1457"/>
        <v>0</v>
      </c>
      <c r="AR383" s="25">
        <f t="shared" si="1458"/>
        <v>0</v>
      </c>
      <c r="AT383" s="3" t="str">
        <f t="shared" ref="AT383:CA383" si="1471">IF(C383=0,"",ROUNDUP(C375/C383,0))</f>
        <v/>
      </c>
      <c r="AU383" s="3" t="str">
        <f t="shared" si="1471"/>
        <v/>
      </c>
      <c r="AV383" s="3" t="str">
        <f t="shared" si="1471"/>
        <v/>
      </c>
      <c r="AW383" s="3" t="str">
        <f t="shared" si="1471"/>
        <v/>
      </c>
      <c r="AX383" s="3" t="str">
        <f t="shared" si="1471"/>
        <v/>
      </c>
      <c r="AY383" s="3" t="str">
        <f t="shared" si="1471"/>
        <v/>
      </c>
      <c r="AZ383" s="3" t="str">
        <f t="shared" si="1471"/>
        <v/>
      </c>
      <c r="BA383" s="3" t="str">
        <f t="shared" si="1471"/>
        <v/>
      </c>
      <c r="BB383" s="3" t="str">
        <f t="shared" si="1471"/>
        <v/>
      </c>
      <c r="BC383" s="3" t="str">
        <f t="shared" si="1471"/>
        <v/>
      </c>
      <c r="BD383" s="3" t="str">
        <f t="shared" si="1471"/>
        <v/>
      </c>
      <c r="BE383" s="3" t="str">
        <f t="shared" si="1471"/>
        <v/>
      </c>
      <c r="BF383" s="3" t="str">
        <f t="shared" si="1471"/>
        <v/>
      </c>
      <c r="BG383" s="3" t="str">
        <f t="shared" si="1471"/>
        <v/>
      </c>
      <c r="BH383" s="3" t="str">
        <f t="shared" si="1471"/>
        <v/>
      </c>
      <c r="BI383" s="3" t="str">
        <f t="shared" si="1471"/>
        <v/>
      </c>
      <c r="BJ383" s="3" t="str">
        <f t="shared" si="1471"/>
        <v/>
      </c>
      <c r="BK383" s="3" t="str">
        <f t="shared" si="1471"/>
        <v/>
      </c>
      <c r="BL383" s="3" t="str">
        <f t="shared" si="1471"/>
        <v/>
      </c>
      <c r="BM383" s="3" t="str">
        <f t="shared" si="1471"/>
        <v/>
      </c>
      <c r="BN383" s="3" t="str">
        <f t="shared" si="1471"/>
        <v/>
      </c>
      <c r="BO383" s="3" t="str">
        <f t="shared" si="1471"/>
        <v/>
      </c>
      <c r="BP383" s="3" t="str">
        <f t="shared" si="1471"/>
        <v/>
      </c>
      <c r="BQ383" s="3" t="str">
        <f t="shared" si="1471"/>
        <v/>
      </c>
      <c r="BR383" s="3" t="str">
        <f t="shared" si="1471"/>
        <v/>
      </c>
      <c r="BS383" s="3" t="str">
        <f t="shared" si="1471"/>
        <v/>
      </c>
      <c r="BT383" s="3" t="str">
        <f t="shared" si="1471"/>
        <v/>
      </c>
      <c r="BU383" s="3" t="str">
        <f t="shared" si="1471"/>
        <v/>
      </c>
      <c r="BV383" s="3" t="str">
        <f t="shared" si="1471"/>
        <v/>
      </c>
      <c r="BW383" s="3" t="str">
        <f t="shared" si="1471"/>
        <v/>
      </c>
      <c r="BX383" s="3" t="str">
        <f t="shared" si="1471"/>
        <v/>
      </c>
      <c r="BY383" s="3" t="str">
        <f t="shared" si="1471"/>
        <v/>
      </c>
      <c r="BZ383" s="3" t="str">
        <f t="shared" si="1471"/>
        <v/>
      </c>
      <c r="CA383" s="3" t="str">
        <f t="shared" si="1471"/>
        <v/>
      </c>
      <c r="CB383" s="3" t="str">
        <f t="shared" ref="CB383" si="1472">IF(AK383=0,"",ROUNDUP(AK375/AK383,0))</f>
        <v/>
      </c>
      <c r="CC383" s="3" t="str">
        <f t="shared" ref="CC383" si="1473">IF(AL383=0,"",ROUNDUP(AL375/AL383,0))</f>
        <v/>
      </c>
    </row>
    <row r="384" spans="1:81" ht="17.100000000000001" customHeight="1" outlineLevel="1">
      <c r="A384" s="174"/>
      <c r="B384" s="30" t="s">
        <v>27</v>
      </c>
      <c r="C384" s="39"/>
      <c r="D384" s="39"/>
      <c r="E384" s="39"/>
      <c r="F384" s="39"/>
      <c r="G384" s="39"/>
      <c r="H384" s="39"/>
      <c r="I384" s="39"/>
      <c r="J384" s="39"/>
      <c r="K384" s="39"/>
      <c r="L384" s="39"/>
      <c r="M384" s="39"/>
      <c r="N384" s="39"/>
      <c r="O384" s="39"/>
      <c r="P384" s="39"/>
      <c r="Q384" s="39"/>
      <c r="R384" s="39"/>
      <c r="S384" s="39"/>
      <c r="T384" s="39"/>
      <c r="U384" s="39"/>
      <c r="V384" s="39"/>
      <c r="W384" s="39"/>
      <c r="X384" s="39"/>
      <c r="Y384" s="39"/>
      <c r="Z384" s="39"/>
      <c r="AA384" s="39"/>
      <c r="AB384" s="39"/>
      <c r="AC384" s="39"/>
      <c r="AD384" s="39"/>
      <c r="AE384" s="39"/>
      <c r="AF384" s="39"/>
      <c r="AG384" s="39"/>
      <c r="AH384" s="39"/>
      <c r="AI384" s="39"/>
      <c r="AJ384" s="39"/>
      <c r="AK384" s="39"/>
      <c r="AL384" s="39"/>
      <c r="AM384" s="39"/>
      <c r="AN384" s="40" t="str">
        <f t="shared" ref="AN384:AN385" si="1474">IF(AM384="","",SUM(C384:AL384)*AM384)</f>
        <v/>
      </c>
      <c r="AO384" s="39"/>
      <c r="AP384" s="39"/>
      <c r="AQ384" s="42">
        <f t="shared" si="1457"/>
        <v>0</v>
      </c>
      <c r="AR384" s="25">
        <f t="shared" si="1458"/>
        <v>0</v>
      </c>
      <c r="AT384" s="3" t="str">
        <f t="shared" ref="AT384:CA384" si="1475">IF(C384=0,"",ROUNDUP(C375/C384,0))</f>
        <v/>
      </c>
      <c r="AU384" s="3" t="str">
        <f t="shared" si="1475"/>
        <v/>
      </c>
      <c r="AV384" s="3" t="str">
        <f t="shared" si="1475"/>
        <v/>
      </c>
      <c r="AW384" s="3" t="str">
        <f t="shared" si="1475"/>
        <v/>
      </c>
      <c r="AX384" s="3" t="str">
        <f t="shared" si="1475"/>
        <v/>
      </c>
      <c r="AY384" s="3" t="str">
        <f t="shared" si="1475"/>
        <v/>
      </c>
      <c r="AZ384" s="3" t="str">
        <f t="shared" si="1475"/>
        <v/>
      </c>
      <c r="BA384" s="3" t="str">
        <f t="shared" si="1475"/>
        <v/>
      </c>
      <c r="BB384" s="3" t="str">
        <f t="shared" si="1475"/>
        <v/>
      </c>
      <c r="BC384" s="3" t="str">
        <f t="shared" si="1475"/>
        <v/>
      </c>
      <c r="BD384" s="3" t="str">
        <f t="shared" si="1475"/>
        <v/>
      </c>
      <c r="BE384" s="3" t="str">
        <f t="shared" si="1475"/>
        <v/>
      </c>
      <c r="BF384" s="3" t="str">
        <f t="shared" si="1475"/>
        <v/>
      </c>
      <c r="BG384" s="3" t="str">
        <f t="shared" si="1475"/>
        <v/>
      </c>
      <c r="BH384" s="3" t="str">
        <f t="shared" si="1475"/>
        <v/>
      </c>
      <c r="BI384" s="3" t="str">
        <f t="shared" si="1475"/>
        <v/>
      </c>
      <c r="BJ384" s="3" t="str">
        <f t="shared" si="1475"/>
        <v/>
      </c>
      <c r="BK384" s="3" t="str">
        <f t="shared" si="1475"/>
        <v/>
      </c>
      <c r="BL384" s="3" t="str">
        <f t="shared" si="1475"/>
        <v/>
      </c>
      <c r="BM384" s="3" t="str">
        <f t="shared" si="1475"/>
        <v/>
      </c>
      <c r="BN384" s="3" t="str">
        <f t="shared" si="1475"/>
        <v/>
      </c>
      <c r="BO384" s="3" t="str">
        <f t="shared" si="1475"/>
        <v/>
      </c>
      <c r="BP384" s="3" t="str">
        <f t="shared" si="1475"/>
        <v/>
      </c>
      <c r="BQ384" s="3" t="str">
        <f t="shared" si="1475"/>
        <v/>
      </c>
      <c r="BR384" s="3" t="str">
        <f t="shared" si="1475"/>
        <v/>
      </c>
      <c r="BS384" s="3" t="str">
        <f t="shared" si="1475"/>
        <v/>
      </c>
      <c r="BT384" s="3" t="str">
        <f t="shared" si="1475"/>
        <v/>
      </c>
      <c r="BU384" s="3" t="str">
        <f t="shared" si="1475"/>
        <v/>
      </c>
      <c r="BV384" s="3" t="str">
        <f t="shared" si="1475"/>
        <v/>
      </c>
      <c r="BW384" s="3" t="str">
        <f t="shared" si="1475"/>
        <v/>
      </c>
      <c r="BX384" s="3" t="str">
        <f t="shared" si="1475"/>
        <v/>
      </c>
      <c r="BY384" s="3" t="str">
        <f t="shared" si="1475"/>
        <v/>
      </c>
      <c r="BZ384" s="3" t="str">
        <f t="shared" si="1475"/>
        <v/>
      </c>
      <c r="CA384" s="3" t="str">
        <f t="shared" si="1475"/>
        <v/>
      </c>
      <c r="CB384" s="3" t="str">
        <f t="shared" ref="CB384" si="1476">IF(AK384=0,"",ROUNDUP(AK375/AK384,0))</f>
        <v/>
      </c>
      <c r="CC384" s="3" t="str">
        <f t="shared" ref="CC384" si="1477">IF(AL384=0,"",ROUNDUP(AL375/AL384,0))</f>
        <v/>
      </c>
    </row>
    <row r="385" spans="1:81" ht="17.100000000000001" customHeight="1" outlineLevel="1">
      <c r="A385" s="175"/>
      <c r="B385" s="30" t="s">
        <v>28</v>
      </c>
      <c r="C385" s="39"/>
      <c r="D385" s="39"/>
      <c r="E385" s="39"/>
      <c r="F385" s="39"/>
      <c r="G385" s="39"/>
      <c r="H385" s="39"/>
      <c r="I385" s="39"/>
      <c r="J385" s="39"/>
      <c r="K385" s="39"/>
      <c r="L385" s="39"/>
      <c r="M385" s="39"/>
      <c r="N385" s="39"/>
      <c r="O385" s="39"/>
      <c r="P385" s="39"/>
      <c r="Q385" s="39"/>
      <c r="R385" s="39"/>
      <c r="S385" s="39"/>
      <c r="T385" s="39"/>
      <c r="U385" s="39"/>
      <c r="V385" s="39"/>
      <c r="W385" s="39"/>
      <c r="X385" s="39"/>
      <c r="Y385" s="39"/>
      <c r="Z385" s="39"/>
      <c r="AA385" s="39"/>
      <c r="AB385" s="39"/>
      <c r="AC385" s="39"/>
      <c r="AD385" s="39"/>
      <c r="AE385" s="39"/>
      <c r="AF385" s="39"/>
      <c r="AG385" s="39"/>
      <c r="AH385" s="39"/>
      <c r="AI385" s="39"/>
      <c r="AJ385" s="39"/>
      <c r="AK385" s="39"/>
      <c r="AL385" s="39"/>
      <c r="AM385" s="39"/>
      <c r="AN385" s="41" t="str">
        <f t="shared" si="1474"/>
        <v/>
      </c>
      <c r="AO385" s="39"/>
      <c r="AP385" s="39"/>
      <c r="AQ385" s="42">
        <f t="shared" si="1457"/>
        <v>0</v>
      </c>
      <c r="AR385" s="25">
        <f t="shared" si="1458"/>
        <v>0</v>
      </c>
      <c r="AT385" s="3" t="str">
        <f t="shared" ref="AT385:CA385" si="1478">IF(C385=0,"",ROUNDUP(C375/C385,0))</f>
        <v/>
      </c>
      <c r="AU385" s="3" t="str">
        <f t="shared" si="1478"/>
        <v/>
      </c>
      <c r="AV385" s="3" t="str">
        <f t="shared" si="1478"/>
        <v/>
      </c>
      <c r="AW385" s="3" t="str">
        <f t="shared" si="1478"/>
        <v/>
      </c>
      <c r="AX385" s="3" t="str">
        <f t="shared" si="1478"/>
        <v/>
      </c>
      <c r="AY385" s="3" t="str">
        <f t="shared" si="1478"/>
        <v/>
      </c>
      <c r="AZ385" s="3" t="str">
        <f t="shared" si="1478"/>
        <v/>
      </c>
      <c r="BA385" s="3" t="str">
        <f t="shared" si="1478"/>
        <v/>
      </c>
      <c r="BB385" s="3" t="str">
        <f t="shared" si="1478"/>
        <v/>
      </c>
      <c r="BC385" s="3" t="str">
        <f t="shared" si="1478"/>
        <v/>
      </c>
      <c r="BD385" s="3" t="str">
        <f t="shared" si="1478"/>
        <v/>
      </c>
      <c r="BE385" s="3" t="str">
        <f t="shared" si="1478"/>
        <v/>
      </c>
      <c r="BF385" s="3" t="str">
        <f t="shared" si="1478"/>
        <v/>
      </c>
      <c r="BG385" s="3" t="str">
        <f t="shared" si="1478"/>
        <v/>
      </c>
      <c r="BH385" s="3" t="str">
        <f t="shared" si="1478"/>
        <v/>
      </c>
      <c r="BI385" s="3" t="str">
        <f t="shared" si="1478"/>
        <v/>
      </c>
      <c r="BJ385" s="3" t="str">
        <f t="shared" si="1478"/>
        <v/>
      </c>
      <c r="BK385" s="3" t="str">
        <f t="shared" si="1478"/>
        <v/>
      </c>
      <c r="BL385" s="3" t="str">
        <f t="shared" si="1478"/>
        <v/>
      </c>
      <c r="BM385" s="3" t="str">
        <f t="shared" si="1478"/>
        <v/>
      </c>
      <c r="BN385" s="3" t="str">
        <f t="shared" si="1478"/>
        <v/>
      </c>
      <c r="BO385" s="3" t="str">
        <f t="shared" si="1478"/>
        <v/>
      </c>
      <c r="BP385" s="3" t="str">
        <f t="shared" si="1478"/>
        <v/>
      </c>
      <c r="BQ385" s="3" t="str">
        <f t="shared" si="1478"/>
        <v/>
      </c>
      <c r="BR385" s="3" t="str">
        <f t="shared" si="1478"/>
        <v/>
      </c>
      <c r="BS385" s="3" t="str">
        <f t="shared" si="1478"/>
        <v/>
      </c>
      <c r="BT385" s="3" t="str">
        <f t="shared" si="1478"/>
        <v/>
      </c>
      <c r="BU385" s="3" t="str">
        <f t="shared" si="1478"/>
        <v/>
      </c>
      <c r="BV385" s="3" t="str">
        <f t="shared" si="1478"/>
        <v/>
      </c>
      <c r="BW385" s="3" t="str">
        <f t="shared" si="1478"/>
        <v/>
      </c>
      <c r="BX385" s="3" t="str">
        <f t="shared" si="1478"/>
        <v/>
      </c>
      <c r="BY385" s="3" t="str">
        <f t="shared" si="1478"/>
        <v/>
      </c>
      <c r="BZ385" s="3" t="str">
        <f t="shared" si="1478"/>
        <v/>
      </c>
      <c r="CA385" s="3" t="str">
        <f t="shared" si="1478"/>
        <v/>
      </c>
      <c r="CB385" s="3" t="str">
        <f t="shared" ref="CB385" si="1479">IF(AK385=0,"",ROUNDUP(AK375/AK385,0))</f>
        <v/>
      </c>
      <c r="CC385" s="3" t="str">
        <f t="shared" ref="CC385" si="1480">IF(AL385=0,"",ROUNDUP(AL375/AL385,0))</f>
        <v/>
      </c>
    </row>
    <row r="386" spans="1:81" ht="12.75" thickBot="1"/>
    <row r="387" spans="1:81" ht="21.95" customHeight="1" outlineLevel="1" thickBot="1">
      <c r="A387" s="201">
        <v>25</v>
      </c>
      <c r="B387" s="202"/>
      <c r="C387" s="203"/>
      <c r="AQ387" s="12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</row>
    <row r="388" spans="1:81" ht="17.100000000000001" customHeight="1" outlineLevel="1">
      <c r="A388" s="51" t="s">
        <v>29</v>
      </c>
      <c r="B388" s="50"/>
      <c r="C388" s="147" t="s">
        <v>10</v>
      </c>
      <c r="D388" s="148"/>
      <c r="E388" s="148"/>
      <c r="F388" s="148"/>
      <c r="G388" s="148"/>
      <c r="H388" s="148"/>
      <c r="I388" s="148"/>
      <c r="J388" s="148"/>
      <c r="K388" s="148"/>
      <c r="L388" s="148"/>
      <c r="M388" s="148"/>
      <c r="N388" s="148"/>
      <c r="O388" s="148"/>
      <c r="P388" s="148"/>
      <c r="Q388" s="148"/>
      <c r="R388" s="148"/>
      <c r="S388" s="148"/>
      <c r="T388" s="148"/>
      <c r="U388" s="148"/>
      <c r="V388" s="148"/>
      <c r="W388" s="148"/>
      <c r="X388" s="148"/>
      <c r="Y388" s="148"/>
      <c r="Z388" s="148"/>
      <c r="AA388" s="148"/>
      <c r="AB388" s="148"/>
      <c r="AC388" s="148"/>
      <c r="AD388" s="148"/>
      <c r="AE388" s="148"/>
      <c r="AF388" s="148"/>
      <c r="AG388" s="148"/>
      <c r="AH388" s="148"/>
      <c r="AI388" s="148"/>
      <c r="AJ388" s="148"/>
      <c r="AK388" s="148"/>
      <c r="AL388" s="148"/>
      <c r="AM388" s="10"/>
      <c r="AN388" s="31"/>
      <c r="AO388" s="35" t="s">
        <v>4</v>
      </c>
      <c r="AP388" s="149"/>
      <c r="AQ388" s="150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</row>
    <row r="389" spans="1:81" ht="27" outlineLevel="1">
      <c r="A389" s="52" t="s">
        <v>36</v>
      </c>
      <c r="B389" s="50"/>
      <c r="C389" s="26" t="str">
        <f>IF(C373=0,"",IF(C373&gt;0,C373))</f>
        <v/>
      </c>
      <c r="D389" s="26" t="str">
        <f t="shared" ref="D389:AL389" si="1481">IF(D373=0,"",IF(D373&gt;0,D373))</f>
        <v/>
      </c>
      <c r="E389" s="26" t="str">
        <f t="shared" si="1481"/>
        <v/>
      </c>
      <c r="F389" s="26" t="str">
        <f t="shared" si="1481"/>
        <v/>
      </c>
      <c r="G389" s="26" t="str">
        <f t="shared" si="1481"/>
        <v/>
      </c>
      <c r="H389" s="26" t="str">
        <f t="shared" si="1481"/>
        <v/>
      </c>
      <c r="I389" s="26" t="str">
        <f t="shared" si="1481"/>
        <v/>
      </c>
      <c r="J389" s="26" t="str">
        <f t="shared" si="1481"/>
        <v/>
      </c>
      <c r="K389" s="26" t="str">
        <f t="shared" si="1481"/>
        <v/>
      </c>
      <c r="L389" s="26" t="str">
        <f t="shared" si="1481"/>
        <v/>
      </c>
      <c r="M389" s="26" t="str">
        <f t="shared" si="1481"/>
        <v/>
      </c>
      <c r="N389" s="26" t="str">
        <f t="shared" si="1481"/>
        <v/>
      </c>
      <c r="O389" s="26" t="str">
        <f t="shared" si="1481"/>
        <v/>
      </c>
      <c r="P389" s="26" t="str">
        <f t="shared" si="1481"/>
        <v/>
      </c>
      <c r="Q389" s="26" t="str">
        <f t="shared" si="1481"/>
        <v/>
      </c>
      <c r="R389" s="26" t="str">
        <f t="shared" si="1481"/>
        <v/>
      </c>
      <c r="S389" s="26" t="str">
        <f t="shared" si="1481"/>
        <v/>
      </c>
      <c r="T389" s="26" t="str">
        <f t="shared" si="1481"/>
        <v/>
      </c>
      <c r="U389" s="26" t="str">
        <f t="shared" si="1481"/>
        <v/>
      </c>
      <c r="V389" s="26" t="str">
        <f t="shared" si="1481"/>
        <v/>
      </c>
      <c r="W389" s="26" t="str">
        <f t="shared" si="1481"/>
        <v/>
      </c>
      <c r="X389" s="26" t="str">
        <f t="shared" si="1481"/>
        <v/>
      </c>
      <c r="Y389" s="26" t="str">
        <f t="shared" si="1481"/>
        <v/>
      </c>
      <c r="Z389" s="26" t="str">
        <f t="shared" si="1481"/>
        <v/>
      </c>
      <c r="AA389" s="26" t="str">
        <f t="shared" si="1481"/>
        <v/>
      </c>
      <c r="AB389" s="26" t="str">
        <f t="shared" si="1481"/>
        <v/>
      </c>
      <c r="AC389" s="26" t="str">
        <f t="shared" si="1481"/>
        <v/>
      </c>
      <c r="AD389" s="26" t="str">
        <f t="shared" si="1481"/>
        <v/>
      </c>
      <c r="AE389" s="26" t="str">
        <f t="shared" si="1481"/>
        <v/>
      </c>
      <c r="AF389" s="26" t="str">
        <f t="shared" si="1481"/>
        <v/>
      </c>
      <c r="AG389" s="26" t="str">
        <f t="shared" si="1481"/>
        <v/>
      </c>
      <c r="AH389" s="26" t="str">
        <f t="shared" si="1481"/>
        <v/>
      </c>
      <c r="AI389" s="26" t="str">
        <f t="shared" si="1481"/>
        <v/>
      </c>
      <c r="AJ389" s="26" t="str">
        <f t="shared" si="1481"/>
        <v/>
      </c>
      <c r="AK389" s="26" t="str">
        <f t="shared" si="1481"/>
        <v/>
      </c>
      <c r="AL389" s="26" t="str">
        <f t="shared" si="1481"/>
        <v/>
      </c>
      <c r="AM389" s="5" t="s">
        <v>2</v>
      </c>
      <c r="AN389" s="31"/>
      <c r="AO389" s="32" t="s">
        <v>5</v>
      </c>
      <c r="AP389" s="151">
        <f>SUM(AQ394:AQ401)</f>
        <v>0</v>
      </c>
      <c r="AQ389" s="151"/>
      <c r="AT389" s="2" t="str">
        <f t="shared" ref="AT389:BY389" si="1482">IF(C389=0,"",IF(C389&gt;0,C389))</f>
        <v/>
      </c>
      <c r="AU389" s="2" t="str">
        <f t="shared" si="1482"/>
        <v/>
      </c>
      <c r="AV389" s="2" t="str">
        <f t="shared" si="1482"/>
        <v/>
      </c>
      <c r="AW389" s="2" t="str">
        <f t="shared" si="1482"/>
        <v/>
      </c>
      <c r="AX389" s="2" t="str">
        <f t="shared" si="1482"/>
        <v/>
      </c>
      <c r="AY389" s="2" t="str">
        <f t="shared" si="1482"/>
        <v/>
      </c>
      <c r="AZ389" s="2" t="str">
        <f t="shared" si="1482"/>
        <v/>
      </c>
      <c r="BA389" s="2" t="str">
        <f t="shared" si="1482"/>
        <v/>
      </c>
      <c r="BB389" s="2" t="str">
        <f t="shared" si="1482"/>
        <v/>
      </c>
      <c r="BC389" s="2" t="str">
        <f t="shared" si="1482"/>
        <v/>
      </c>
      <c r="BD389" s="2" t="str">
        <f t="shared" si="1482"/>
        <v/>
      </c>
      <c r="BE389" s="2" t="str">
        <f t="shared" si="1482"/>
        <v/>
      </c>
      <c r="BF389" s="2" t="str">
        <f t="shared" si="1482"/>
        <v/>
      </c>
      <c r="BG389" s="2" t="str">
        <f t="shared" si="1482"/>
        <v/>
      </c>
      <c r="BH389" s="2" t="str">
        <f t="shared" si="1482"/>
        <v/>
      </c>
      <c r="BI389" s="2" t="str">
        <f t="shared" si="1482"/>
        <v/>
      </c>
      <c r="BJ389" s="2" t="str">
        <f t="shared" si="1482"/>
        <v/>
      </c>
      <c r="BK389" s="2" t="str">
        <f t="shared" si="1482"/>
        <v/>
      </c>
      <c r="BL389" s="2" t="str">
        <f t="shared" si="1482"/>
        <v/>
      </c>
      <c r="BM389" s="2" t="str">
        <f t="shared" si="1482"/>
        <v/>
      </c>
      <c r="BN389" s="2" t="str">
        <f t="shared" si="1482"/>
        <v/>
      </c>
      <c r="BO389" s="2" t="str">
        <f t="shared" si="1482"/>
        <v/>
      </c>
      <c r="BP389" s="2" t="str">
        <f t="shared" si="1482"/>
        <v/>
      </c>
      <c r="BQ389" s="2" t="str">
        <f t="shared" si="1482"/>
        <v/>
      </c>
      <c r="BR389" s="2" t="str">
        <f t="shared" si="1482"/>
        <v/>
      </c>
      <c r="BS389" s="2" t="str">
        <f t="shared" si="1482"/>
        <v/>
      </c>
      <c r="BT389" s="2" t="str">
        <f t="shared" si="1482"/>
        <v/>
      </c>
      <c r="BU389" s="2" t="str">
        <f t="shared" si="1482"/>
        <v/>
      </c>
      <c r="BV389" s="2" t="str">
        <f t="shared" si="1482"/>
        <v/>
      </c>
      <c r="BW389" s="2" t="str">
        <f t="shared" si="1482"/>
        <v/>
      </c>
      <c r="BX389" s="2" t="str">
        <f t="shared" si="1482"/>
        <v/>
      </c>
      <c r="BY389" s="2" t="str">
        <f t="shared" si="1482"/>
        <v/>
      </c>
      <c r="BZ389" s="2" t="str">
        <f t="shared" ref="BZ389" si="1483">IF(AI389=0,"",IF(AI389&gt;0,AI389))</f>
        <v/>
      </c>
      <c r="CA389" s="2" t="str">
        <f t="shared" ref="CA389" si="1484">IF(AJ389=0,"",IF(AJ389&gt;0,AJ389))</f>
        <v/>
      </c>
      <c r="CB389" s="2" t="str">
        <f t="shared" ref="CB389" si="1485">IF(AK389=0,"",IF(AK389&gt;0,AK389))</f>
        <v/>
      </c>
      <c r="CC389" s="2" t="str">
        <f t="shared" ref="CC389" si="1486">IF(AL389=0,"",IF(AL389&gt;0,AL389))</f>
        <v/>
      </c>
    </row>
    <row r="390" spans="1:81" ht="17.100000000000001" customHeight="1" outlineLevel="1">
      <c r="A390" s="152" t="s">
        <v>30</v>
      </c>
      <c r="B390" s="153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6"/>
      <c r="O390" s="46"/>
      <c r="P390" s="46"/>
      <c r="Q390" s="46"/>
      <c r="R390" s="46"/>
      <c r="S390" s="46"/>
      <c r="T390" s="46"/>
      <c r="U390" s="46"/>
      <c r="V390" s="46"/>
      <c r="W390" s="46"/>
      <c r="X390" s="46"/>
      <c r="Y390" s="46"/>
      <c r="Z390" s="46"/>
      <c r="AA390" s="46"/>
      <c r="AB390" s="46"/>
      <c r="AC390" s="46"/>
      <c r="AD390" s="46"/>
      <c r="AE390" s="46"/>
      <c r="AF390" s="46"/>
      <c r="AG390" s="46"/>
      <c r="AH390" s="46"/>
      <c r="AI390" s="46"/>
      <c r="AJ390" s="46"/>
      <c r="AK390" s="46"/>
      <c r="AL390" s="46"/>
      <c r="AM390" s="45">
        <f>SUM(C390:AL390)</f>
        <v>0</v>
      </c>
      <c r="AN390" s="33"/>
      <c r="AO390" s="34" t="str">
        <f>IF(AP390&lt;5,"NO ",IF(AP390=5,"ok",IF(AP390&gt;5,"ok")))</f>
        <v xml:space="preserve">NO </v>
      </c>
      <c r="AP390" s="154">
        <f>AP388-AP389-AP391</f>
        <v>0</v>
      </c>
      <c r="AQ390" s="154"/>
      <c r="AR390" s="16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</row>
    <row r="391" spans="1:81" ht="17.100000000000001" customHeight="1" outlineLevel="1">
      <c r="A391" s="152"/>
      <c r="B391" s="153"/>
      <c r="C391" s="47" t="str">
        <f>IF(C389="","",C390-C394*$AM394-C395*$AM395-C396*$AM396-C397*$AM397-C398*$AM398-C399*$AM399-C400*$AM400-C401*$AM401)</f>
        <v/>
      </c>
      <c r="D391" s="47" t="str">
        <f t="shared" ref="D391" si="1487">IF(D389="","",D390-D394*$AM394-D395*$AM395-D396*$AM396-D397*$AM397-D398*$AM398-D399*$AM399-D400*$AM400-D401*$AM401)</f>
        <v/>
      </c>
      <c r="E391" s="47" t="str">
        <f t="shared" ref="E391" si="1488">IF(E389="","",E390-E394*$AM394-E395*$AM395-E396*$AM396-E397*$AM397-E398*$AM398-E399*$AM399-E400*$AM400-E401*$AM401)</f>
        <v/>
      </c>
      <c r="F391" s="47" t="str">
        <f t="shared" ref="F391" si="1489">IF(F389="","",F390-F394*$AM394-F395*$AM395-F396*$AM396-F397*$AM397-F398*$AM398-F399*$AM399-F400*$AM400-F401*$AM401)</f>
        <v/>
      </c>
      <c r="G391" s="47" t="str">
        <f t="shared" ref="G391" si="1490">IF(G389="","",G390-G394*$AM394-G395*$AM395-G396*$AM396-G397*$AM397-G398*$AM398-G399*$AM399-G400*$AM400-G401*$AM401)</f>
        <v/>
      </c>
      <c r="H391" s="47" t="str">
        <f t="shared" ref="H391" si="1491">IF(H389="","",H390-H394*$AM394-H395*$AM395-H396*$AM396-H397*$AM397-H398*$AM398-H399*$AM399-H400*$AM400-H401*$AM401)</f>
        <v/>
      </c>
      <c r="I391" s="47" t="str">
        <f t="shared" ref="I391" si="1492">IF(I389="","",I390-I394*$AM394-I395*$AM395-I396*$AM396-I397*$AM397-I398*$AM398-I399*$AM399-I400*$AM400-I401*$AM401)</f>
        <v/>
      </c>
      <c r="J391" s="47" t="str">
        <f t="shared" ref="J391" si="1493">IF(J389="","",J390-J394*$AM394-J395*$AM395-J396*$AM396-J397*$AM397-J398*$AM398-J399*$AM399-J400*$AM400-J401*$AM401)</f>
        <v/>
      </c>
      <c r="K391" s="47" t="str">
        <f t="shared" ref="K391" si="1494">IF(K389="","",K390-K394*$AM394-K395*$AM395-K396*$AM396-K397*$AM397-K398*$AM398-K399*$AM399-K400*$AM400-K401*$AM401)</f>
        <v/>
      </c>
      <c r="L391" s="47" t="str">
        <f t="shared" ref="L391" si="1495">IF(L389="","",L390-L394*$AM394-L395*$AM395-L396*$AM396-L397*$AM397-L398*$AM398-L399*$AM399-L400*$AM400-L401*$AM401)</f>
        <v/>
      </c>
      <c r="M391" s="47" t="str">
        <f t="shared" ref="M391" si="1496">IF(M389="","",M390-M394*$AM394-M395*$AM395-M396*$AM396-M397*$AM397-M398*$AM398-M399*$AM399-M400*$AM400-M401*$AM401)</f>
        <v/>
      </c>
      <c r="N391" s="47" t="str">
        <f t="shared" ref="N391" si="1497">IF(N389="","",N390-N394*$AM394-N395*$AM395-N396*$AM396-N397*$AM397-N398*$AM398-N399*$AM399-N400*$AM400-N401*$AM401)</f>
        <v/>
      </c>
      <c r="O391" s="47" t="str">
        <f t="shared" ref="O391" si="1498">IF(O389="","",O390-O394*$AM394-O395*$AM395-O396*$AM396-O397*$AM397-O398*$AM398-O399*$AM399-O400*$AM400-O401*$AM401)</f>
        <v/>
      </c>
      <c r="P391" s="47" t="str">
        <f t="shared" ref="P391" si="1499">IF(P389="","",P390-P394*$AM394-P395*$AM395-P396*$AM396-P397*$AM397-P398*$AM398-P399*$AM399-P400*$AM400-P401*$AM401)</f>
        <v/>
      </c>
      <c r="Q391" s="47" t="str">
        <f t="shared" ref="Q391" si="1500">IF(Q389="","",Q390-Q394*$AM394-Q395*$AM395-Q396*$AM396-Q397*$AM397-Q398*$AM398-Q399*$AM399-Q400*$AM400-Q401*$AM401)</f>
        <v/>
      </c>
      <c r="R391" s="47" t="str">
        <f t="shared" ref="R391" si="1501">IF(R389="","",R390-R394*$AM394-R395*$AM395-R396*$AM396-R397*$AM397-R398*$AM398-R399*$AM399-R400*$AM400-R401*$AM401)</f>
        <v/>
      </c>
      <c r="S391" s="47" t="str">
        <f t="shared" ref="S391" si="1502">IF(S389="","",S390-S394*$AM394-S395*$AM395-S396*$AM396-S397*$AM397-S398*$AM398-S399*$AM399-S400*$AM400-S401*$AM401)</f>
        <v/>
      </c>
      <c r="T391" s="47" t="str">
        <f t="shared" ref="T391" si="1503">IF(T389="","",T390-T394*$AM394-T395*$AM395-T396*$AM396-T397*$AM397-T398*$AM398-T399*$AM399-T400*$AM400-T401*$AM401)</f>
        <v/>
      </c>
      <c r="U391" s="47" t="str">
        <f t="shared" ref="U391" si="1504">IF(U389="","",U390-U394*$AM394-U395*$AM395-U396*$AM396-U397*$AM397-U398*$AM398-U399*$AM399-U400*$AM400-U401*$AM401)</f>
        <v/>
      </c>
      <c r="V391" s="47" t="str">
        <f t="shared" ref="V391" si="1505">IF(V389="","",V390-V394*$AM394-V395*$AM395-V396*$AM396-V397*$AM397-V398*$AM398-V399*$AM399-V400*$AM400-V401*$AM401)</f>
        <v/>
      </c>
      <c r="W391" s="47" t="str">
        <f t="shared" ref="W391" si="1506">IF(W389="","",W390-W394*$AM394-W395*$AM395-W396*$AM396-W397*$AM397-W398*$AM398-W399*$AM399-W400*$AM400-W401*$AM401)</f>
        <v/>
      </c>
      <c r="X391" s="47" t="str">
        <f t="shared" ref="X391" si="1507">IF(X389="","",X390-X394*$AM394-X395*$AM395-X396*$AM396-X397*$AM397-X398*$AM398-X399*$AM399-X400*$AM400-X401*$AM401)</f>
        <v/>
      </c>
      <c r="Y391" s="47" t="str">
        <f t="shared" ref="Y391" si="1508">IF(Y389="","",Y390-Y394*$AM394-Y395*$AM395-Y396*$AM396-Y397*$AM397-Y398*$AM398-Y399*$AM399-Y400*$AM400-Y401*$AM401)</f>
        <v/>
      </c>
      <c r="Z391" s="47" t="str">
        <f t="shared" ref="Z391" si="1509">IF(Z389="","",Z390-Z394*$AM394-Z395*$AM395-Z396*$AM396-Z397*$AM397-Z398*$AM398-Z399*$AM399-Z400*$AM400-Z401*$AM401)</f>
        <v/>
      </c>
      <c r="AA391" s="47" t="str">
        <f t="shared" ref="AA391" si="1510">IF(AA389="","",AA390-AA394*$AM394-AA395*$AM395-AA396*$AM396-AA397*$AM397-AA398*$AM398-AA399*$AM399-AA400*$AM400-AA401*$AM401)</f>
        <v/>
      </c>
      <c r="AB391" s="47" t="str">
        <f t="shared" ref="AB391" si="1511">IF(AB389="","",AB390-AB394*$AM394-AB395*$AM395-AB396*$AM396-AB397*$AM397-AB398*$AM398-AB399*$AM399-AB400*$AM400-AB401*$AM401)</f>
        <v/>
      </c>
      <c r="AC391" s="47" t="str">
        <f t="shared" ref="AC391" si="1512">IF(AC389="","",AC390-AC394*$AM394-AC395*$AM395-AC396*$AM396-AC397*$AM397-AC398*$AM398-AC399*$AM399-AC400*$AM400-AC401*$AM401)</f>
        <v/>
      </c>
      <c r="AD391" s="47" t="str">
        <f t="shared" ref="AD391" si="1513">IF(AD389="","",AD390-AD394*$AM394-AD395*$AM395-AD396*$AM396-AD397*$AM397-AD398*$AM398-AD399*$AM399-AD400*$AM400-AD401*$AM401)</f>
        <v/>
      </c>
      <c r="AE391" s="47" t="str">
        <f t="shared" ref="AE391" si="1514">IF(AE389="","",AE390-AE394*$AM394-AE395*$AM395-AE396*$AM396-AE397*$AM397-AE398*$AM398-AE399*$AM399-AE400*$AM400-AE401*$AM401)</f>
        <v/>
      </c>
      <c r="AF391" s="47" t="str">
        <f t="shared" ref="AF391" si="1515">IF(AF389="","",AF390-AF394*$AM394-AF395*$AM395-AF396*$AM396-AF397*$AM397-AF398*$AM398-AF399*$AM399-AF400*$AM400-AF401*$AM401)</f>
        <v/>
      </c>
      <c r="AG391" s="47" t="str">
        <f t="shared" ref="AG391" si="1516">IF(AG389="","",AG390-AG394*$AM394-AG395*$AM395-AG396*$AM396-AG397*$AM397-AG398*$AM398-AG399*$AM399-AG400*$AM400-AG401*$AM401)</f>
        <v/>
      </c>
      <c r="AH391" s="47" t="str">
        <f t="shared" ref="AH391" si="1517">IF(AH389="","",AH390-AH394*$AM394-AH395*$AM395-AH396*$AM396-AH397*$AM397-AH398*$AM398-AH399*$AM399-AH400*$AM400-AH401*$AM401)</f>
        <v/>
      </c>
      <c r="AI391" s="47" t="str">
        <f t="shared" ref="AI391" si="1518">IF(AI389="","",AI390-AI394*$AM394-AI395*$AM395-AI396*$AM396-AI397*$AM397-AI398*$AM398-AI399*$AM399-AI400*$AM400-AI401*$AM401)</f>
        <v/>
      </c>
      <c r="AJ391" s="47" t="str">
        <f t="shared" ref="AJ391" si="1519">IF(AJ389="","",AJ390-AJ394*$AM394-AJ395*$AM395-AJ396*$AM396-AJ397*$AM397-AJ398*$AM398-AJ399*$AM399-AJ400*$AM400-AJ401*$AM401)</f>
        <v/>
      </c>
      <c r="AK391" s="47" t="str">
        <f>IF(AK389="","",AK390-AK394*$AM394-AK395*$AM395-AK396*$AM396-AK397*$AM397-AK398*$AM398-AK399*$AM399-AK400*$AM400-AK401*$AM401)</f>
        <v/>
      </c>
      <c r="AL391" s="47" t="str">
        <f t="shared" ref="AL391" si="1520">IF(AL389="","",AL390-AL394*$AM394-AL395*$AM395-AL396*$AM396-AL397*$AM397-AL398*$AM398-AL399*$AM399-AL400*$AM400-AL401*$AM401)</f>
        <v/>
      </c>
      <c r="AM391" s="45">
        <f>SUM(C391:AL391)</f>
        <v>0</v>
      </c>
      <c r="AN391" s="155" t="s">
        <v>33</v>
      </c>
      <c r="AO391" s="156"/>
      <c r="AP391" s="157"/>
      <c r="AQ391" s="158"/>
      <c r="AR391" s="17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</row>
    <row r="392" spans="1:81" ht="17.100000000000001" customHeight="1" outlineLevel="1">
      <c r="A392" s="177" t="s">
        <v>20</v>
      </c>
      <c r="B392" s="178"/>
      <c r="C392" s="181" t="s">
        <v>0</v>
      </c>
      <c r="D392" s="182"/>
      <c r="E392" s="182"/>
      <c r="F392" s="182"/>
      <c r="G392" s="182"/>
      <c r="H392" s="182"/>
      <c r="I392" s="182"/>
      <c r="J392" s="182"/>
      <c r="K392" s="182"/>
      <c r="L392" s="182"/>
      <c r="M392" s="182"/>
      <c r="N392" s="182"/>
      <c r="O392" s="182"/>
      <c r="P392" s="182"/>
      <c r="Q392" s="182"/>
      <c r="R392" s="182"/>
      <c r="S392" s="182"/>
      <c r="T392" s="182"/>
      <c r="U392" s="182"/>
      <c r="V392" s="182"/>
      <c r="W392" s="182"/>
      <c r="X392" s="182"/>
      <c r="Y392" s="182"/>
      <c r="Z392" s="182"/>
      <c r="AA392" s="182"/>
      <c r="AB392" s="182"/>
      <c r="AC392" s="182"/>
      <c r="AD392" s="182"/>
      <c r="AE392" s="182"/>
      <c r="AF392" s="182"/>
      <c r="AG392" s="182"/>
      <c r="AH392" s="182"/>
      <c r="AI392" s="182"/>
      <c r="AJ392" s="182"/>
      <c r="AK392" s="182"/>
      <c r="AL392" s="183"/>
      <c r="AM392" s="187" t="s">
        <v>1</v>
      </c>
      <c r="AN392" s="200" t="s">
        <v>11</v>
      </c>
      <c r="AO392" s="196" t="s">
        <v>12</v>
      </c>
      <c r="AP392" s="197"/>
      <c r="AQ392" s="193" t="s">
        <v>6</v>
      </c>
      <c r="AR392" s="24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</row>
    <row r="393" spans="1:81" ht="17.100000000000001" customHeight="1" outlineLevel="1">
      <c r="A393" s="179"/>
      <c r="B393" s="180"/>
      <c r="C393" s="184"/>
      <c r="D393" s="185"/>
      <c r="E393" s="185"/>
      <c r="F393" s="185"/>
      <c r="G393" s="185"/>
      <c r="H393" s="185"/>
      <c r="I393" s="185"/>
      <c r="J393" s="185"/>
      <c r="K393" s="185"/>
      <c r="L393" s="185"/>
      <c r="M393" s="185"/>
      <c r="N393" s="185"/>
      <c r="O393" s="185"/>
      <c r="P393" s="185"/>
      <c r="Q393" s="185"/>
      <c r="R393" s="185"/>
      <c r="S393" s="185"/>
      <c r="T393" s="185"/>
      <c r="U393" s="185"/>
      <c r="V393" s="185"/>
      <c r="W393" s="185"/>
      <c r="X393" s="185"/>
      <c r="Y393" s="185"/>
      <c r="Z393" s="185"/>
      <c r="AA393" s="185"/>
      <c r="AB393" s="185"/>
      <c r="AC393" s="185"/>
      <c r="AD393" s="185"/>
      <c r="AE393" s="185"/>
      <c r="AF393" s="185"/>
      <c r="AG393" s="185"/>
      <c r="AH393" s="185"/>
      <c r="AI393" s="185"/>
      <c r="AJ393" s="185"/>
      <c r="AK393" s="185"/>
      <c r="AL393" s="186"/>
      <c r="AM393" s="188"/>
      <c r="AN393" s="190"/>
      <c r="AO393" s="18" t="s">
        <v>3</v>
      </c>
      <c r="AP393" s="19" t="s">
        <v>13</v>
      </c>
      <c r="AQ393" s="172"/>
      <c r="AR393" s="27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</row>
    <row r="394" spans="1:81" ht="17.100000000000001" customHeight="1" outlineLevel="1">
      <c r="A394" s="173"/>
      <c r="B394" s="30" t="s">
        <v>21</v>
      </c>
      <c r="C394" s="39"/>
      <c r="D394" s="39"/>
      <c r="E394" s="39"/>
      <c r="F394" s="39"/>
      <c r="G394" s="39"/>
      <c r="H394" s="39"/>
      <c r="I394" s="39"/>
      <c r="J394" s="39"/>
      <c r="K394" s="39"/>
      <c r="L394" s="39"/>
      <c r="M394" s="39"/>
      <c r="N394" s="39"/>
      <c r="O394" s="39"/>
      <c r="P394" s="39"/>
      <c r="Q394" s="39"/>
      <c r="R394" s="39"/>
      <c r="S394" s="39"/>
      <c r="T394" s="39"/>
      <c r="U394" s="39"/>
      <c r="V394" s="39"/>
      <c r="W394" s="39"/>
      <c r="X394" s="39"/>
      <c r="Y394" s="39"/>
      <c r="Z394" s="39"/>
      <c r="AA394" s="39"/>
      <c r="AB394" s="39"/>
      <c r="AC394" s="39"/>
      <c r="AD394" s="39"/>
      <c r="AE394" s="39"/>
      <c r="AF394" s="39"/>
      <c r="AG394" s="39"/>
      <c r="AH394" s="39"/>
      <c r="AI394" s="39"/>
      <c r="AJ394" s="39"/>
      <c r="AK394" s="39"/>
      <c r="AL394" s="39"/>
      <c r="AM394" s="39"/>
      <c r="AN394" s="40" t="str">
        <f>IF(AM394="","",SUM(C394:AL394)*AM394)</f>
        <v/>
      </c>
      <c r="AO394" s="39"/>
      <c r="AP394" s="39"/>
      <c r="AQ394" s="42">
        <f>(AO394+AR394)*AM394</f>
        <v>0</v>
      </c>
      <c r="AR394" s="25">
        <f>AP394/36</f>
        <v>0</v>
      </c>
      <c r="AT394" s="3" t="str">
        <f t="shared" ref="AT394:CA394" si="1521">IF(C394=0,"",ROUNDUP(C391/C394,0))</f>
        <v/>
      </c>
      <c r="AU394" s="3" t="str">
        <f t="shared" si="1521"/>
        <v/>
      </c>
      <c r="AV394" s="3" t="str">
        <f t="shared" si="1521"/>
        <v/>
      </c>
      <c r="AW394" s="3" t="str">
        <f t="shared" si="1521"/>
        <v/>
      </c>
      <c r="AX394" s="3" t="str">
        <f t="shared" si="1521"/>
        <v/>
      </c>
      <c r="AY394" s="3" t="str">
        <f t="shared" si="1521"/>
        <v/>
      </c>
      <c r="AZ394" s="3" t="str">
        <f t="shared" si="1521"/>
        <v/>
      </c>
      <c r="BA394" s="3" t="str">
        <f t="shared" si="1521"/>
        <v/>
      </c>
      <c r="BB394" s="3" t="str">
        <f t="shared" si="1521"/>
        <v/>
      </c>
      <c r="BC394" s="3" t="str">
        <f t="shared" si="1521"/>
        <v/>
      </c>
      <c r="BD394" s="3" t="str">
        <f t="shared" si="1521"/>
        <v/>
      </c>
      <c r="BE394" s="3" t="str">
        <f t="shared" si="1521"/>
        <v/>
      </c>
      <c r="BF394" s="3" t="str">
        <f t="shared" si="1521"/>
        <v/>
      </c>
      <c r="BG394" s="3" t="str">
        <f t="shared" si="1521"/>
        <v/>
      </c>
      <c r="BH394" s="3" t="str">
        <f t="shared" si="1521"/>
        <v/>
      </c>
      <c r="BI394" s="3" t="str">
        <f t="shared" si="1521"/>
        <v/>
      </c>
      <c r="BJ394" s="3" t="str">
        <f t="shared" si="1521"/>
        <v/>
      </c>
      <c r="BK394" s="3" t="str">
        <f t="shared" si="1521"/>
        <v/>
      </c>
      <c r="BL394" s="3" t="str">
        <f t="shared" si="1521"/>
        <v/>
      </c>
      <c r="BM394" s="3" t="str">
        <f t="shared" si="1521"/>
        <v/>
      </c>
      <c r="BN394" s="3" t="str">
        <f t="shared" si="1521"/>
        <v/>
      </c>
      <c r="BO394" s="3" t="str">
        <f t="shared" si="1521"/>
        <v/>
      </c>
      <c r="BP394" s="3" t="str">
        <f t="shared" si="1521"/>
        <v/>
      </c>
      <c r="BQ394" s="3" t="str">
        <f t="shared" si="1521"/>
        <v/>
      </c>
      <c r="BR394" s="3" t="str">
        <f t="shared" si="1521"/>
        <v/>
      </c>
      <c r="BS394" s="3" t="str">
        <f t="shared" si="1521"/>
        <v/>
      </c>
      <c r="BT394" s="3" t="str">
        <f t="shared" si="1521"/>
        <v/>
      </c>
      <c r="BU394" s="3" t="str">
        <f t="shared" si="1521"/>
        <v/>
      </c>
      <c r="BV394" s="3" t="str">
        <f t="shared" si="1521"/>
        <v/>
      </c>
      <c r="BW394" s="3" t="str">
        <f t="shared" si="1521"/>
        <v/>
      </c>
      <c r="BX394" s="3" t="str">
        <f t="shared" si="1521"/>
        <v/>
      </c>
      <c r="BY394" s="3" t="str">
        <f t="shared" si="1521"/>
        <v/>
      </c>
      <c r="BZ394" s="3" t="str">
        <f t="shared" si="1521"/>
        <v/>
      </c>
      <c r="CA394" s="3" t="str">
        <f t="shared" si="1521"/>
        <v/>
      </c>
      <c r="CB394" s="3" t="str">
        <f t="shared" ref="CB394" si="1522">IF(AK394=0,"",ROUNDUP(AK391/AK394,0))</f>
        <v/>
      </c>
      <c r="CC394" s="3" t="str">
        <f t="shared" ref="CC394" si="1523">IF(AL394=0,"",ROUNDUP(AL391/AL394,0))</f>
        <v/>
      </c>
    </row>
    <row r="395" spans="1:81" ht="17.100000000000001" customHeight="1" outlineLevel="1">
      <c r="A395" s="174"/>
      <c r="B395" s="30" t="s">
        <v>22</v>
      </c>
      <c r="C395" s="39"/>
      <c r="D395" s="39"/>
      <c r="E395" s="39"/>
      <c r="F395" s="39"/>
      <c r="G395" s="39"/>
      <c r="H395" s="39"/>
      <c r="I395" s="39"/>
      <c r="J395" s="39"/>
      <c r="K395" s="39"/>
      <c r="L395" s="39"/>
      <c r="M395" s="39"/>
      <c r="N395" s="39"/>
      <c r="O395" s="39"/>
      <c r="P395" s="39"/>
      <c r="Q395" s="39"/>
      <c r="R395" s="39"/>
      <c r="S395" s="39"/>
      <c r="T395" s="39"/>
      <c r="U395" s="39"/>
      <c r="V395" s="39"/>
      <c r="W395" s="39"/>
      <c r="X395" s="39"/>
      <c r="Y395" s="39"/>
      <c r="Z395" s="39"/>
      <c r="AA395" s="39"/>
      <c r="AB395" s="39"/>
      <c r="AC395" s="39"/>
      <c r="AD395" s="39"/>
      <c r="AE395" s="39"/>
      <c r="AF395" s="39"/>
      <c r="AG395" s="39"/>
      <c r="AH395" s="39"/>
      <c r="AI395" s="39"/>
      <c r="AJ395" s="39"/>
      <c r="AK395" s="39"/>
      <c r="AL395" s="39"/>
      <c r="AM395" s="39"/>
      <c r="AN395" s="40" t="str">
        <f t="shared" ref="AN395:AN398" si="1524">IF(AM395="","",SUM(C395:AL395)*AM395)</f>
        <v/>
      </c>
      <c r="AO395" s="39"/>
      <c r="AP395" s="39"/>
      <c r="AQ395" s="42">
        <f t="shared" ref="AQ395:AQ401" si="1525">(AO395+AR395)*AM395</f>
        <v>0</v>
      </c>
      <c r="AR395" s="25">
        <f t="shared" ref="AR395:AR401" si="1526">AP395/36</f>
        <v>0</v>
      </c>
      <c r="AT395" s="3" t="str">
        <f t="shared" ref="AT395:CA395" si="1527">IF(C395=0,"",ROUNDUP(C391/C395,0))</f>
        <v/>
      </c>
      <c r="AU395" s="3" t="str">
        <f t="shared" si="1527"/>
        <v/>
      </c>
      <c r="AV395" s="3" t="str">
        <f t="shared" si="1527"/>
        <v/>
      </c>
      <c r="AW395" s="3" t="str">
        <f t="shared" si="1527"/>
        <v/>
      </c>
      <c r="AX395" s="3" t="str">
        <f t="shared" si="1527"/>
        <v/>
      </c>
      <c r="AY395" s="3" t="str">
        <f t="shared" si="1527"/>
        <v/>
      </c>
      <c r="AZ395" s="3" t="str">
        <f t="shared" si="1527"/>
        <v/>
      </c>
      <c r="BA395" s="3" t="str">
        <f t="shared" si="1527"/>
        <v/>
      </c>
      <c r="BB395" s="3" t="str">
        <f t="shared" si="1527"/>
        <v/>
      </c>
      <c r="BC395" s="3" t="str">
        <f t="shared" si="1527"/>
        <v/>
      </c>
      <c r="BD395" s="3" t="str">
        <f t="shared" si="1527"/>
        <v/>
      </c>
      <c r="BE395" s="3" t="str">
        <f t="shared" si="1527"/>
        <v/>
      </c>
      <c r="BF395" s="3" t="str">
        <f t="shared" si="1527"/>
        <v/>
      </c>
      <c r="BG395" s="3" t="str">
        <f t="shared" si="1527"/>
        <v/>
      </c>
      <c r="BH395" s="3" t="str">
        <f t="shared" si="1527"/>
        <v/>
      </c>
      <c r="BI395" s="3" t="str">
        <f t="shared" si="1527"/>
        <v/>
      </c>
      <c r="BJ395" s="3" t="str">
        <f t="shared" si="1527"/>
        <v/>
      </c>
      <c r="BK395" s="3" t="str">
        <f t="shared" si="1527"/>
        <v/>
      </c>
      <c r="BL395" s="3" t="str">
        <f t="shared" si="1527"/>
        <v/>
      </c>
      <c r="BM395" s="3" t="str">
        <f t="shared" si="1527"/>
        <v/>
      </c>
      <c r="BN395" s="3" t="str">
        <f t="shared" si="1527"/>
        <v/>
      </c>
      <c r="BO395" s="3" t="str">
        <f t="shared" si="1527"/>
        <v/>
      </c>
      <c r="BP395" s="3" t="str">
        <f t="shared" si="1527"/>
        <v/>
      </c>
      <c r="BQ395" s="3" t="str">
        <f t="shared" si="1527"/>
        <v/>
      </c>
      <c r="BR395" s="3" t="str">
        <f t="shared" si="1527"/>
        <v/>
      </c>
      <c r="BS395" s="3" t="str">
        <f t="shared" si="1527"/>
        <v/>
      </c>
      <c r="BT395" s="3" t="str">
        <f t="shared" si="1527"/>
        <v/>
      </c>
      <c r="BU395" s="3" t="str">
        <f t="shared" si="1527"/>
        <v/>
      </c>
      <c r="BV395" s="3" t="str">
        <f t="shared" si="1527"/>
        <v/>
      </c>
      <c r="BW395" s="3" t="str">
        <f t="shared" si="1527"/>
        <v/>
      </c>
      <c r="BX395" s="3" t="str">
        <f t="shared" si="1527"/>
        <v/>
      </c>
      <c r="BY395" s="3" t="str">
        <f t="shared" si="1527"/>
        <v/>
      </c>
      <c r="BZ395" s="3" t="str">
        <f t="shared" si="1527"/>
        <v/>
      </c>
      <c r="CA395" s="3" t="str">
        <f t="shared" si="1527"/>
        <v/>
      </c>
      <c r="CB395" s="3" t="str">
        <f t="shared" ref="CB395" si="1528">IF(AK395=0,"",ROUNDUP(AK391/AK395,0))</f>
        <v/>
      </c>
      <c r="CC395" s="3" t="str">
        <f t="shared" ref="CC395" si="1529">IF(AL395=0,"",ROUNDUP(AL391/AL395,0))</f>
        <v/>
      </c>
    </row>
    <row r="396" spans="1:81" ht="17.100000000000001" customHeight="1" outlineLevel="1">
      <c r="A396" s="174"/>
      <c r="B396" s="30" t="s">
        <v>23</v>
      </c>
      <c r="C396" s="39"/>
      <c r="D396" s="39"/>
      <c r="E396" s="39"/>
      <c r="F396" s="39"/>
      <c r="G396" s="39"/>
      <c r="H396" s="39"/>
      <c r="I396" s="39"/>
      <c r="J396" s="39"/>
      <c r="K396" s="39"/>
      <c r="L396" s="39"/>
      <c r="M396" s="39"/>
      <c r="N396" s="39"/>
      <c r="O396" s="39"/>
      <c r="P396" s="39"/>
      <c r="Q396" s="39"/>
      <c r="R396" s="39"/>
      <c r="S396" s="39"/>
      <c r="T396" s="39"/>
      <c r="U396" s="39"/>
      <c r="V396" s="39"/>
      <c r="W396" s="39"/>
      <c r="X396" s="39"/>
      <c r="Y396" s="39"/>
      <c r="Z396" s="39"/>
      <c r="AA396" s="39"/>
      <c r="AB396" s="39"/>
      <c r="AC396" s="39"/>
      <c r="AD396" s="39"/>
      <c r="AE396" s="39"/>
      <c r="AF396" s="39"/>
      <c r="AG396" s="39"/>
      <c r="AH396" s="39"/>
      <c r="AI396" s="39"/>
      <c r="AJ396" s="39"/>
      <c r="AK396" s="39"/>
      <c r="AL396" s="39"/>
      <c r="AM396" s="39"/>
      <c r="AN396" s="40" t="str">
        <f t="shared" si="1524"/>
        <v/>
      </c>
      <c r="AO396" s="39"/>
      <c r="AP396" s="39"/>
      <c r="AQ396" s="42">
        <f t="shared" si="1525"/>
        <v>0</v>
      </c>
      <c r="AR396" s="25">
        <f t="shared" si="1526"/>
        <v>0</v>
      </c>
      <c r="AT396" s="3" t="str">
        <f t="shared" ref="AT396:CA396" si="1530">IF(C396=0,"",ROUNDUP(C391/C396,0))</f>
        <v/>
      </c>
      <c r="AU396" s="3" t="str">
        <f t="shared" si="1530"/>
        <v/>
      </c>
      <c r="AV396" s="3" t="str">
        <f t="shared" si="1530"/>
        <v/>
      </c>
      <c r="AW396" s="3" t="str">
        <f t="shared" si="1530"/>
        <v/>
      </c>
      <c r="AX396" s="3" t="str">
        <f t="shared" si="1530"/>
        <v/>
      </c>
      <c r="AY396" s="3" t="str">
        <f t="shared" si="1530"/>
        <v/>
      </c>
      <c r="AZ396" s="3" t="str">
        <f t="shared" si="1530"/>
        <v/>
      </c>
      <c r="BA396" s="3" t="str">
        <f t="shared" si="1530"/>
        <v/>
      </c>
      <c r="BB396" s="3" t="str">
        <f t="shared" si="1530"/>
        <v/>
      </c>
      <c r="BC396" s="3" t="str">
        <f t="shared" si="1530"/>
        <v/>
      </c>
      <c r="BD396" s="3" t="str">
        <f t="shared" si="1530"/>
        <v/>
      </c>
      <c r="BE396" s="3" t="str">
        <f t="shared" si="1530"/>
        <v/>
      </c>
      <c r="BF396" s="3" t="str">
        <f t="shared" si="1530"/>
        <v/>
      </c>
      <c r="BG396" s="3" t="str">
        <f t="shared" si="1530"/>
        <v/>
      </c>
      <c r="BH396" s="3" t="str">
        <f t="shared" si="1530"/>
        <v/>
      </c>
      <c r="BI396" s="3" t="str">
        <f t="shared" si="1530"/>
        <v/>
      </c>
      <c r="BJ396" s="3" t="str">
        <f t="shared" si="1530"/>
        <v/>
      </c>
      <c r="BK396" s="3" t="str">
        <f t="shared" si="1530"/>
        <v/>
      </c>
      <c r="BL396" s="3" t="str">
        <f t="shared" si="1530"/>
        <v/>
      </c>
      <c r="BM396" s="3" t="str">
        <f t="shared" si="1530"/>
        <v/>
      </c>
      <c r="BN396" s="3" t="str">
        <f t="shared" si="1530"/>
        <v/>
      </c>
      <c r="BO396" s="3" t="str">
        <f t="shared" si="1530"/>
        <v/>
      </c>
      <c r="BP396" s="3" t="str">
        <f t="shared" si="1530"/>
        <v/>
      </c>
      <c r="BQ396" s="3" t="str">
        <f t="shared" si="1530"/>
        <v/>
      </c>
      <c r="BR396" s="3" t="str">
        <f t="shared" si="1530"/>
        <v/>
      </c>
      <c r="BS396" s="3" t="str">
        <f t="shared" si="1530"/>
        <v/>
      </c>
      <c r="BT396" s="3" t="str">
        <f t="shared" si="1530"/>
        <v/>
      </c>
      <c r="BU396" s="3" t="str">
        <f t="shared" si="1530"/>
        <v/>
      </c>
      <c r="BV396" s="3" t="str">
        <f t="shared" si="1530"/>
        <v/>
      </c>
      <c r="BW396" s="3" t="str">
        <f t="shared" si="1530"/>
        <v/>
      </c>
      <c r="BX396" s="3" t="str">
        <f t="shared" si="1530"/>
        <v/>
      </c>
      <c r="BY396" s="3" t="str">
        <f t="shared" si="1530"/>
        <v/>
      </c>
      <c r="BZ396" s="3" t="str">
        <f t="shared" si="1530"/>
        <v/>
      </c>
      <c r="CA396" s="3" t="str">
        <f t="shared" si="1530"/>
        <v/>
      </c>
      <c r="CB396" s="3" t="str">
        <f t="shared" ref="CB396" si="1531">IF(AK396=0,"",ROUNDUP(AK391/AK396,0))</f>
        <v/>
      </c>
      <c r="CC396" s="3" t="str">
        <f t="shared" ref="CC396" si="1532">IF(AL396=0,"",ROUNDUP(AL391/AL396,0))</f>
        <v/>
      </c>
    </row>
    <row r="397" spans="1:81" ht="17.100000000000001" customHeight="1" outlineLevel="1">
      <c r="A397" s="174"/>
      <c r="B397" s="30" t="s">
        <v>24</v>
      </c>
      <c r="C397" s="39"/>
      <c r="D397" s="39"/>
      <c r="E397" s="39"/>
      <c r="F397" s="39"/>
      <c r="G397" s="39"/>
      <c r="H397" s="39"/>
      <c r="I397" s="39"/>
      <c r="J397" s="39"/>
      <c r="K397" s="39"/>
      <c r="L397" s="39"/>
      <c r="M397" s="39"/>
      <c r="N397" s="39"/>
      <c r="O397" s="39"/>
      <c r="P397" s="39"/>
      <c r="Q397" s="39"/>
      <c r="R397" s="39"/>
      <c r="S397" s="39"/>
      <c r="T397" s="39"/>
      <c r="U397" s="39"/>
      <c r="V397" s="39"/>
      <c r="W397" s="39"/>
      <c r="X397" s="39"/>
      <c r="Y397" s="39"/>
      <c r="Z397" s="39"/>
      <c r="AA397" s="39"/>
      <c r="AB397" s="39"/>
      <c r="AC397" s="39"/>
      <c r="AD397" s="39"/>
      <c r="AE397" s="39"/>
      <c r="AF397" s="39"/>
      <c r="AG397" s="39"/>
      <c r="AH397" s="39"/>
      <c r="AI397" s="39"/>
      <c r="AJ397" s="39"/>
      <c r="AK397" s="39"/>
      <c r="AL397" s="39"/>
      <c r="AM397" s="39"/>
      <c r="AN397" s="40" t="str">
        <f t="shared" si="1524"/>
        <v/>
      </c>
      <c r="AO397" s="39"/>
      <c r="AP397" s="39"/>
      <c r="AQ397" s="42">
        <f t="shared" si="1525"/>
        <v>0</v>
      </c>
      <c r="AR397" s="25">
        <f t="shared" si="1526"/>
        <v>0</v>
      </c>
      <c r="AT397" s="3" t="str">
        <f t="shared" ref="AT397:CA397" si="1533">IF(C397=0,"",ROUNDUP(C391/C397,0))</f>
        <v/>
      </c>
      <c r="AU397" s="3" t="str">
        <f t="shared" si="1533"/>
        <v/>
      </c>
      <c r="AV397" s="3" t="str">
        <f t="shared" si="1533"/>
        <v/>
      </c>
      <c r="AW397" s="3" t="str">
        <f t="shared" si="1533"/>
        <v/>
      </c>
      <c r="AX397" s="3" t="str">
        <f t="shared" si="1533"/>
        <v/>
      </c>
      <c r="AY397" s="3" t="str">
        <f t="shared" si="1533"/>
        <v/>
      </c>
      <c r="AZ397" s="3" t="str">
        <f t="shared" si="1533"/>
        <v/>
      </c>
      <c r="BA397" s="3" t="str">
        <f t="shared" si="1533"/>
        <v/>
      </c>
      <c r="BB397" s="3" t="str">
        <f t="shared" si="1533"/>
        <v/>
      </c>
      <c r="BC397" s="3" t="str">
        <f t="shared" si="1533"/>
        <v/>
      </c>
      <c r="BD397" s="3" t="str">
        <f t="shared" si="1533"/>
        <v/>
      </c>
      <c r="BE397" s="3" t="str">
        <f t="shared" si="1533"/>
        <v/>
      </c>
      <c r="BF397" s="3" t="str">
        <f t="shared" si="1533"/>
        <v/>
      </c>
      <c r="BG397" s="3" t="str">
        <f t="shared" si="1533"/>
        <v/>
      </c>
      <c r="BH397" s="3" t="str">
        <f t="shared" si="1533"/>
        <v/>
      </c>
      <c r="BI397" s="3" t="str">
        <f t="shared" si="1533"/>
        <v/>
      </c>
      <c r="BJ397" s="3" t="str">
        <f t="shared" si="1533"/>
        <v/>
      </c>
      <c r="BK397" s="3" t="str">
        <f t="shared" si="1533"/>
        <v/>
      </c>
      <c r="BL397" s="3" t="str">
        <f t="shared" si="1533"/>
        <v/>
      </c>
      <c r="BM397" s="3" t="str">
        <f t="shared" si="1533"/>
        <v/>
      </c>
      <c r="BN397" s="3" t="str">
        <f t="shared" si="1533"/>
        <v/>
      </c>
      <c r="BO397" s="3" t="str">
        <f t="shared" si="1533"/>
        <v/>
      </c>
      <c r="BP397" s="3" t="str">
        <f t="shared" si="1533"/>
        <v/>
      </c>
      <c r="BQ397" s="3" t="str">
        <f t="shared" si="1533"/>
        <v/>
      </c>
      <c r="BR397" s="3" t="str">
        <f t="shared" si="1533"/>
        <v/>
      </c>
      <c r="BS397" s="3" t="str">
        <f t="shared" si="1533"/>
        <v/>
      </c>
      <c r="BT397" s="3" t="str">
        <f t="shared" si="1533"/>
        <v/>
      </c>
      <c r="BU397" s="3" t="str">
        <f t="shared" si="1533"/>
        <v/>
      </c>
      <c r="BV397" s="3" t="str">
        <f t="shared" si="1533"/>
        <v/>
      </c>
      <c r="BW397" s="3" t="str">
        <f t="shared" si="1533"/>
        <v/>
      </c>
      <c r="BX397" s="3" t="str">
        <f t="shared" si="1533"/>
        <v/>
      </c>
      <c r="BY397" s="3" t="str">
        <f t="shared" si="1533"/>
        <v/>
      </c>
      <c r="BZ397" s="3" t="str">
        <f t="shared" si="1533"/>
        <v/>
      </c>
      <c r="CA397" s="3" t="str">
        <f t="shared" si="1533"/>
        <v/>
      </c>
      <c r="CB397" s="3" t="str">
        <f t="shared" ref="CB397" si="1534">IF(AK397=0,"",ROUNDUP(AK391/AK397,0))</f>
        <v/>
      </c>
      <c r="CC397" s="3" t="str">
        <f t="shared" ref="CC397" si="1535">IF(AL397=0,"",ROUNDUP(AL391/AL397,0))</f>
        <v/>
      </c>
    </row>
    <row r="398" spans="1:81" ht="17.100000000000001" customHeight="1" outlineLevel="1">
      <c r="A398" s="174"/>
      <c r="B398" s="30" t="s">
        <v>25</v>
      </c>
      <c r="C398" s="39"/>
      <c r="D398" s="39"/>
      <c r="E398" s="39"/>
      <c r="F398" s="39"/>
      <c r="G398" s="39"/>
      <c r="H398" s="39"/>
      <c r="I398" s="39"/>
      <c r="J398" s="39"/>
      <c r="K398" s="39"/>
      <c r="L398" s="39"/>
      <c r="M398" s="39"/>
      <c r="N398" s="39"/>
      <c r="O398" s="39"/>
      <c r="P398" s="39"/>
      <c r="Q398" s="39"/>
      <c r="R398" s="39"/>
      <c r="S398" s="39"/>
      <c r="T398" s="39"/>
      <c r="U398" s="39"/>
      <c r="V398" s="39"/>
      <c r="W398" s="39"/>
      <c r="X398" s="39"/>
      <c r="Y398" s="39"/>
      <c r="Z398" s="39"/>
      <c r="AA398" s="39"/>
      <c r="AB398" s="39"/>
      <c r="AC398" s="39"/>
      <c r="AD398" s="39"/>
      <c r="AE398" s="39"/>
      <c r="AF398" s="39"/>
      <c r="AG398" s="39"/>
      <c r="AH398" s="39"/>
      <c r="AI398" s="39"/>
      <c r="AJ398" s="39"/>
      <c r="AK398" s="39"/>
      <c r="AL398" s="39"/>
      <c r="AM398" s="39"/>
      <c r="AN398" s="40" t="str">
        <f t="shared" si="1524"/>
        <v/>
      </c>
      <c r="AO398" s="39"/>
      <c r="AP398" s="39"/>
      <c r="AQ398" s="42">
        <f t="shared" si="1525"/>
        <v>0</v>
      </c>
      <c r="AR398" s="25">
        <f t="shared" si="1526"/>
        <v>0</v>
      </c>
      <c r="AT398" s="3" t="str">
        <f t="shared" ref="AT398:CA398" si="1536">IF(C398=0,"",ROUNDUP(C391/C398,0))</f>
        <v/>
      </c>
      <c r="AU398" s="3" t="str">
        <f t="shared" si="1536"/>
        <v/>
      </c>
      <c r="AV398" s="3" t="str">
        <f t="shared" si="1536"/>
        <v/>
      </c>
      <c r="AW398" s="3" t="str">
        <f t="shared" si="1536"/>
        <v/>
      </c>
      <c r="AX398" s="3" t="str">
        <f t="shared" si="1536"/>
        <v/>
      </c>
      <c r="AY398" s="3" t="str">
        <f t="shared" si="1536"/>
        <v/>
      </c>
      <c r="AZ398" s="3" t="str">
        <f t="shared" si="1536"/>
        <v/>
      </c>
      <c r="BA398" s="3" t="str">
        <f t="shared" si="1536"/>
        <v/>
      </c>
      <c r="BB398" s="3" t="str">
        <f t="shared" si="1536"/>
        <v/>
      </c>
      <c r="BC398" s="3" t="str">
        <f t="shared" si="1536"/>
        <v/>
      </c>
      <c r="BD398" s="3" t="str">
        <f t="shared" si="1536"/>
        <v/>
      </c>
      <c r="BE398" s="3" t="str">
        <f t="shared" si="1536"/>
        <v/>
      </c>
      <c r="BF398" s="3" t="str">
        <f t="shared" si="1536"/>
        <v/>
      </c>
      <c r="BG398" s="3" t="str">
        <f t="shared" si="1536"/>
        <v/>
      </c>
      <c r="BH398" s="3" t="str">
        <f t="shared" si="1536"/>
        <v/>
      </c>
      <c r="BI398" s="3" t="str">
        <f t="shared" si="1536"/>
        <v/>
      </c>
      <c r="BJ398" s="3" t="str">
        <f t="shared" si="1536"/>
        <v/>
      </c>
      <c r="BK398" s="3" t="str">
        <f t="shared" si="1536"/>
        <v/>
      </c>
      <c r="BL398" s="3" t="str">
        <f t="shared" si="1536"/>
        <v/>
      </c>
      <c r="BM398" s="3" t="str">
        <f t="shared" si="1536"/>
        <v/>
      </c>
      <c r="BN398" s="3" t="str">
        <f t="shared" si="1536"/>
        <v/>
      </c>
      <c r="BO398" s="3" t="str">
        <f t="shared" si="1536"/>
        <v/>
      </c>
      <c r="BP398" s="3" t="str">
        <f t="shared" si="1536"/>
        <v/>
      </c>
      <c r="BQ398" s="3" t="str">
        <f t="shared" si="1536"/>
        <v/>
      </c>
      <c r="BR398" s="3" t="str">
        <f t="shared" si="1536"/>
        <v/>
      </c>
      <c r="BS398" s="3" t="str">
        <f t="shared" si="1536"/>
        <v/>
      </c>
      <c r="BT398" s="3" t="str">
        <f t="shared" si="1536"/>
        <v/>
      </c>
      <c r="BU398" s="3" t="str">
        <f t="shared" si="1536"/>
        <v/>
      </c>
      <c r="BV398" s="3" t="str">
        <f t="shared" si="1536"/>
        <v/>
      </c>
      <c r="BW398" s="3" t="str">
        <f t="shared" si="1536"/>
        <v/>
      </c>
      <c r="BX398" s="3" t="str">
        <f t="shared" si="1536"/>
        <v/>
      </c>
      <c r="BY398" s="3" t="str">
        <f t="shared" si="1536"/>
        <v/>
      </c>
      <c r="BZ398" s="3" t="str">
        <f t="shared" si="1536"/>
        <v/>
      </c>
      <c r="CA398" s="3" t="str">
        <f t="shared" si="1536"/>
        <v/>
      </c>
      <c r="CB398" s="3" t="str">
        <f t="shared" ref="CB398" si="1537">IF(AK398=0,"",ROUNDUP(AK391/AK398,0))</f>
        <v/>
      </c>
      <c r="CC398" s="3" t="str">
        <f t="shared" ref="CC398" si="1538">IF(AL398=0,"",ROUNDUP(AL391/AL398,0))</f>
        <v/>
      </c>
    </row>
    <row r="399" spans="1:81" ht="17.100000000000001" customHeight="1" outlineLevel="1">
      <c r="A399" s="174"/>
      <c r="B399" s="30" t="s">
        <v>26</v>
      </c>
      <c r="C399" s="39"/>
      <c r="D399" s="39"/>
      <c r="E399" s="39"/>
      <c r="F399" s="39"/>
      <c r="G399" s="39"/>
      <c r="H399" s="39"/>
      <c r="I399" s="39"/>
      <c r="J399" s="39"/>
      <c r="K399" s="39"/>
      <c r="L399" s="39"/>
      <c r="M399" s="39"/>
      <c r="N399" s="39"/>
      <c r="O399" s="39"/>
      <c r="P399" s="39"/>
      <c r="Q399" s="39"/>
      <c r="R399" s="39"/>
      <c r="S399" s="39"/>
      <c r="T399" s="39"/>
      <c r="U399" s="39"/>
      <c r="V399" s="39"/>
      <c r="W399" s="39"/>
      <c r="X399" s="39"/>
      <c r="Y399" s="39"/>
      <c r="Z399" s="39"/>
      <c r="AA399" s="39"/>
      <c r="AB399" s="39"/>
      <c r="AC399" s="39"/>
      <c r="AD399" s="39"/>
      <c r="AE399" s="39"/>
      <c r="AF399" s="39"/>
      <c r="AG399" s="39"/>
      <c r="AH399" s="39"/>
      <c r="AI399" s="39"/>
      <c r="AJ399" s="39"/>
      <c r="AK399" s="39"/>
      <c r="AL399" s="39"/>
      <c r="AM399" s="39"/>
      <c r="AN399" s="40" t="str">
        <f>IF(AM399="","",SUM(C399:AL399)*AM399)</f>
        <v/>
      </c>
      <c r="AO399" s="39"/>
      <c r="AP399" s="39"/>
      <c r="AQ399" s="42">
        <f t="shared" si="1525"/>
        <v>0</v>
      </c>
      <c r="AR399" s="25">
        <f t="shared" si="1526"/>
        <v>0</v>
      </c>
      <c r="AT399" s="3" t="str">
        <f t="shared" ref="AT399:CA399" si="1539">IF(C399=0,"",ROUNDUP(C391/C399,0))</f>
        <v/>
      </c>
      <c r="AU399" s="3" t="str">
        <f t="shared" si="1539"/>
        <v/>
      </c>
      <c r="AV399" s="3" t="str">
        <f t="shared" si="1539"/>
        <v/>
      </c>
      <c r="AW399" s="3" t="str">
        <f t="shared" si="1539"/>
        <v/>
      </c>
      <c r="AX399" s="3" t="str">
        <f t="shared" si="1539"/>
        <v/>
      </c>
      <c r="AY399" s="3" t="str">
        <f t="shared" si="1539"/>
        <v/>
      </c>
      <c r="AZ399" s="3" t="str">
        <f t="shared" si="1539"/>
        <v/>
      </c>
      <c r="BA399" s="3" t="str">
        <f t="shared" si="1539"/>
        <v/>
      </c>
      <c r="BB399" s="3" t="str">
        <f t="shared" si="1539"/>
        <v/>
      </c>
      <c r="BC399" s="3" t="str">
        <f t="shared" si="1539"/>
        <v/>
      </c>
      <c r="BD399" s="3" t="str">
        <f t="shared" si="1539"/>
        <v/>
      </c>
      <c r="BE399" s="3" t="str">
        <f t="shared" si="1539"/>
        <v/>
      </c>
      <c r="BF399" s="3" t="str">
        <f t="shared" si="1539"/>
        <v/>
      </c>
      <c r="BG399" s="3" t="str">
        <f t="shared" si="1539"/>
        <v/>
      </c>
      <c r="BH399" s="3" t="str">
        <f t="shared" si="1539"/>
        <v/>
      </c>
      <c r="BI399" s="3" t="str">
        <f t="shared" si="1539"/>
        <v/>
      </c>
      <c r="BJ399" s="3" t="str">
        <f t="shared" si="1539"/>
        <v/>
      </c>
      <c r="BK399" s="3" t="str">
        <f t="shared" si="1539"/>
        <v/>
      </c>
      <c r="BL399" s="3" t="str">
        <f t="shared" si="1539"/>
        <v/>
      </c>
      <c r="BM399" s="3" t="str">
        <f t="shared" si="1539"/>
        <v/>
      </c>
      <c r="BN399" s="3" t="str">
        <f t="shared" si="1539"/>
        <v/>
      </c>
      <c r="BO399" s="3" t="str">
        <f t="shared" si="1539"/>
        <v/>
      </c>
      <c r="BP399" s="3" t="str">
        <f t="shared" si="1539"/>
        <v/>
      </c>
      <c r="BQ399" s="3" t="str">
        <f t="shared" si="1539"/>
        <v/>
      </c>
      <c r="BR399" s="3" t="str">
        <f t="shared" si="1539"/>
        <v/>
      </c>
      <c r="BS399" s="3" t="str">
        <f t="shared" si="1539"/>
        <v/>
      </c>
      <c r="BT399" s="3" t="str">
        <f t="shared" si="1539"/>
        <v/>
      </c>
      <c r="BU399" s="3" t="str">
        <f t="shared" si="1539"/>
        <v/>
      </c>
      <c r="BV399" s="3" t="str">
        <f t="shared" si="1539"/>
        <v/>
      </c>
      <c r="BW399" s="3" t="str">
        <f t="shared" si="1539"/>
        <v/>
      </c>
      <c r="BX399" s="3" t="str">
        <f t="shared" si="1539"/>
        <v/>
      </c>
      <c r="BY399" s="3" t="str">
        <f t="shared" si="1539"/>
        <v/>
      </c>
      <c r="BZ399" s="3" t="str">
        <f t="shared" si="1539"/>
        <v/>
      </c>
      <c r="CA399" s="3" t="str">
        <f t="shared" si="1539"/>
        <v/>
      </c>
      <c r="CB399" s="3" t="str">
        <f t="shared" ref="CB399" si="1540">IF(AK399=0,"",ROUNDUP(AK391/AK399,0))</f>
        <v/>
      </c>
      <c r="CC399" s="3" t="str">
        <f t="shared" ref="CC399" si="1541">IF(AL399=0,"",ROUNDUP(AL391/AL399,0))</f>
        <v/>
      </c>
    </row>
    <row r="400" spans="1:81" ht="17.100000000000001" customHeight="1" outlineLevel="1">
      <c r="A400" s="174"/>
      <c r="B400" s="30" t="s">
        <v>27</v>
      </c>
      <c r="C400" s="39"/>
      <c r="D400" s="39"/>
      <c r="E400" s="39"/>
      <c r="F400" s="39"/>
      <c r="G400" s="39"/>
      <c r="H400" s="39"/>
      <c r="I400" s="39"/>
      <c r="J400" s="39"/>
      <c r="K400" s="39"/>
      <c r="L400" s="39"/>
      <c r="M400" s="39"/>
      <c r="N400" s="39"/>
      <c r="O400" s="39"/>
      <c r="P400" s="39"/>
      <c r="Q400" s="39"/>
      <c r="R400" s="39"/>
      <c r="S400" s="39"/>
      <c r="T400" s="39"/>
      <c r="U400" s="39"/>
      <c r="V400" s="39"/>
      <c r="W400" s="39"/>
      <c r="X400" s="39"/>
      <c r="Y400" s="39"/>
      <c r="Z400" s="39"/>
      <c r="AA400" s="39"/>
      <c r="AB400" s="39"/>
      <c r="AC400" s="39"/>
      <c r="AD400" s="39"/>
      <c r="AE400" s="39"/>
      <c r="AF400" s="39"/>
      <c r="AG400" s="39"/>
      <c r="AH400" s="39"/>
      <c r="AI400" s="39"/>
      <c r="AJ400" s="39"/>
      <c r="AK400" s="39"/>
      <c r="AL400" s="39"/>
      <c r="AM400" s="39"/>
      <c r="AN400" s="40" t="str">
        <f t="shared" ref="AN400:AN401" si="1542">IF(AM400="","",SUM(C400:AL400)*AM400)</f>
        <v/>
      </c>
      <c r="AO400" s="39"/>
      <c r="AP400" s="39"/>
      <c r="AQ400" s="42">
        <f t="shared" si="1525"/>
        <v>0</v>
      </c>
      <c r="AR400" s="25">
        <f t="shared" si="1526"/>
        <v>0</v>
      </c>
      <c r="AT400" s="3" t="str">
        <f t="shared" ref="AT400:CA400" si="1543">IF(C400=0,"",ROUNDUP(C391/C400,0))</f>
        <v/>
      </c>
      <c r="AU400" s="3" t="str">
        <f t="shared" si="1543"/>
        <v/>
      </c>
      <c r="AV400" s="3" t="str">
        <f t="shared" si="1543"/>
        <v/>
      </c>
      <c r="AW400" s="3" t="str">
        <f t="shared" si="1543"/>
        <v/>
      </c>
      <c r="AX400" s="3" t="str">
        <f t="shared" si="1543"/>
        <v/>
      </c>
      <c r="AY400" s="3" t="str">
        <f t="shared" si="1543"/>
        <v/>
      </c>
      <c r="AZ400" s="3" t="str">
        <f t="shared" si="1543"/>
        <v/>
      </c>
      <c r="BA400" s="3" t="str">
        <f t="shared" si="1543"/>
        <v/>
      </c>
      <c r="BB400" s="3" t="str">
        <f t="shared" si="1543"/>
        <v/>
      </c>
      <c r="BC400" s="3" t="str">
        <f t="shared" si="1543"/>
        <v/>
      </c>
      <c r="BD400" s="3" t="str">
        <f t="shared" si="1543"/>
        <v/>
      </c>
      <c r="BE400" s="3" t="str">
        <f t="shared" si="1543"/>
        <v/>
      </c>
      <c r="BF400" s="3" t="str">
        <f t="shared" si="1543"/>
        <v/>
      </c>
      <c r="BG400" s="3" t="str">
        <f t="shared" si="1543"/>
        <v/>
      </c>
      <c r="BH400" s="3" t="str">
        <f t="shared" si="1543"/>
        <v/>
      </c>
      <c r="BI400" s="3" t="str">
        <f t="shared" si="1543"/>
        <v/>
      </c>
      <c r="BJ400" s="3" t="str">
        <f t="shared" si="1543"/>
        <v/>
      </c>
      <c r="BK400" s="3" t="str">
        <f t="shared" si="1543"/>
        <v/>
      </c>
      <c r="BL400" s="3" t="str">
        <f t="shared" si="1543"/>
        <v/>
      </c>
      <c r="BM400" s="3" t="str">
        <f t="shared" si="1543"/>
        <v/>
      </c>
      <c r="BN400" s="3" t="str">
        <f t="shared" si="1543"/>
        <v/>
      </c>
      <c r="BO400" s="3" t="str">
        <f t="shared" si="1543"/>
        <v/>
      </c>
      <c r="BP400" s="3" t="str">
        <f t="shared" si="1543"/>
        <v/>
      </c>
      <c r="BQ400" s="3" t="str">
        <f t="shared" si="1543"/>
        <v/>
      </c>
      <c r="BR400" s="3" t="str">
        <f t="shared" si="1543"/>
        <v/>
      </c>
      <c r="BS400" s="3" t="str">
        <f t="shared" si="1543"/>
        <v/>
      </c>
      <c r="BT400" s="3" t="str">
        <f t="shared" si="1543"/>
        <v/>
      </c>
      <c r="BU400" s="3" t="str">
        <f t="shared" si="1543"/>
        <v/>
      </c>
      <c r="BV400" s="3" t="str">
        <f t="shared" si="1543"/>
        <v/>
      </c>
      <c r="BW400" s="3" t="str">
        <f t="shared" si="1543"/>
        <v/>
      </c>
      <c r="BX400" s="3" t="str">
        <f t="shared" si="1543"/>
        <v/>
      </c>
      <c r="BY400" s="3" t="str">
        <f t="shared" si="1543"/>
        <v/>
      </c>
      <c r="BZ400" s="3" t="str">
        <f t="shared" si="1543"/>
        <v/>
      </c>
      <c r="CA400" s="3" t="str">
        <f t="shared" si="1543"/>
        <v/>
      </c>
      <c r="CB400" s="3" t="str">
        <f t="shared" ref="CB400" si="1544">IF(AK400=0,"",ROUNDUP(AK391/AK400,0))</f>
        <v/>
      </c>
      <c r="CC400" s="3" t="str">
        <f t="shared" ref="CC400" si="1545">IF(AL400=0,"",ROUNDUP(AL391/AL400,0))</f>
        <v/>
      </c>
    </row>
    <row r="401" spans="1:81" ht="17.100000000000001" customHeight="1" outlineLevel="1">
      <c r="A401" s="175"/>
      <c r="B401" s="30" t="s">
        <v>28</v>
      </c>
      <c r="C401" s="39"/>
      <c r="D401" s="39"/>
      <c r="E401" s="39"/>
      <c r="F401" s="39"/>
      <c r="G401" s="39"/>
      <c r="H401" s="39"/>
      <c r="I401" s="39"/>
      <c r="J401" s="39"/>
      <c r="K401" s="39"/>
      <c r="L401" s="39"/>
      <c r="M401" s="39"/>
      <c r="N401" s="39"/>
      <c r="O401" s="39"/>
      <c r="P401" s="39"/>
      <c r="Q401" s="39"/>
      <c r="R401" s="39"/>
      <c r="S401" s="39"/>
      <c r="T401" s="39"/>
      <c r="U401" s="39"/>
      <c r="V401" s="39"/>
      <c r="W401" s="39"/>
      <c r="X401" s="39"/>
      <c r="Y401" s="39"/>
      <c r="Z401" s="39"/>
      <c r="AA401" s="39"/>
      <c r="AB401" s="39"/>
      <c r="AC401" s="39"/>
      <c r="AD401" s="39"/>
      <c r="AE401" s="39"/>
      <c r="AF401" s="39"/>
      <c r="AG401" s="39"/>
      <c r="AH401" s="39"/>
      <c r="AI401" s="39"/>
      <c r="AJ401" s="39"/>
      <c r="AK401" s="39"/>
      <c r="AL401" s="39"/>
      <c r="AM401" s="39"/>
      <c r="AN401" s="41" t="str">
        <f t="shared" si="1542"/>
        <v/>
      </c>
      <c r="AO401" s="39"/>
      <c r="AP401" s="39"/>
      <c r="AQ401" s="42">
        <f t="shared" si="1525"/>
        <v>0</v>
      </c>
      <c r="AR401" s="25">
        <f t="shared" si="1526"/>
        <v>0</v>
      </c>
      <c r="AT401" s="3" t="str">
        <f t="shared" ref="AT401:CA401" si="1546">IF(C401=0,"",ROUNDUP(C391/C401,0))</f>
        <v/>
      </c>
      <c r="AU401" s="3" t="str">
        <f t="shared" si="1546"/>
        <v/>
      </c>
      <c r="AV401" s="3" t="str">
        <f t="shared" si="1546"/>
        <v/>
      </c>
      <c r="AW401" s="3" t="str">
        <f t="shared" si="1546"/>
        <v/>
      </c>
      <c r="AX401" s="3" t="str">
        <f t="shared" si="1546"/>
        <v/>
      </c>
      <c r="AY401" s="3" t="str">
        <f t="shared" si="1546"/>
        <v/>
      </c>
      <c r="AZ401" s="3" t="str">
        <f t="shared" si="1546"/>
        <v/>
      </c>
      <c r="BA401" s="3" t="str">
        <f t="shared" si="1546"/>
        <v/>
      </c>
      <c r="BB401" s="3" t="str">
        <f t="shared" si="1546"/>
        <v/>
      </c>
      <c r="BC401" s="3" t="str">
        <f t="shared" si="1546"/>
        <v/>
      </c>
      <c r="BD401" s="3" t="str">
        <f t="shared" si="1546"/>
        <v/>
      </c>
      <c r="BE401" s="3" t="str">
        <f t="shared" si="1546"/>
        <v/>
      </c>
      <c r="BF401" s="3" t="str">
        <f t="shared" si="1546"/>
        <v/>
      </c>
      <c r="BG401" s="3" t="str">
        <f t="shared" si="1546"/>
        <v/>
      </c>
      <c r="BH401" s="3" t="str">
        <f t="shared" si="1546"/>
        <v/>
      </c>
      <c r="BI401" s="3" t="str">
        <f t="shared" si="1546"/>
        <v/>
      </c>
      <c r="BJ401" s="3" t="str">
        <f t="shared" si="1546"/>
        <v/>
      </c>
      <c r="BK401" s="3" t="str">
        <f t="shared" si="1546"/>
        <v/>
      </c>
      <c r="BL401" s="3" t="str">
        <f t="shared" si="1546"/>
        <v/>
      </c>
      <c r="BM401" s="3" t="str">
        <f t="shared" si="1546"/>
        <v/>
      </c>
      <c r="BN401" s="3" t="str">
        <f t="shared" si="1546"/>
        <v/>
      </c>
      <c r="BO401" s="3" t="str">
        <f t="shared" si="1546"/>
        <v/>
      </c>
      <c r="BP401" s="3" t="str">
        <f t="shared" si="1546"/>
        <v/>
      </c>
      <c r="BQ401" s="3" t="str">
        <f t="shared" si="1546"/>
        <v/>
      </c>
      <c r="BR401" s="3" t="str">
        <f t="shared" si="1546"/>
        <v/>
      </c>
      <c r="BS401" s="3" t="str">
        <f t="shared" si="1546"/>
        <v/>
      </c>
      <c r="BT401" s="3" t="str">
        <f t="shared" si="1546"/>
        <v/>
      </c>
      <c r="BU401" s="3" t="str">
        <f t="shared" si="1546"/>
        <v/>
      </c>
      <c r="BV401" s="3" t="str">
        <f t="shared" si="1546"/>
        <v/>
      </c>
      <c r="BW401" s="3" t="str">
        <f t="shared" si="1546"/>
        <v/>
      </c>
      <c r="BX401" s="3" t="str">
        <f t="shared" si="1546"/>
        <v/>
      </c>
      <c r="BY401" s="3" t="str">
        <f t="shared" si="1546"/>
        <v/>
      </c>
      <c r="BZ401" s="3" t="str">
        <f t="shared" si="1546"/>
        <v/>
      </c>
      <c r="CA401" s="3" t="str">
        <f t="shared" si="1546"/>
        <v/>
      </c>
      <c r="CB401" s="3" t="str">
        <f t="shared" ref="CB401" si="1547">IF(AK401=0,"",ROUNDUP(AK391/AK401,0))</f>
        <v/>
      </c>
      <c r="CC401" s="3" t="str">
        <f t="shared" ref="CC401" si="1548">IF(AL401=0,"",ROUNDUP(AL391/AL401,0))</f>
        <v/>
      </c>
    </row>
    <row r="402" spans="1:81" ht="12.75" thickBot="1"/>
    <row r="403" spans="1:81" ht="21.95" customHeight="1" outlineLevel="1" thickBot="1">
      <c r="A403" s="201">
        <v>26</v>
      </c>
      <c r="B403" s="202"/>
      <c r="C403" s="203"/>
      <c r="AQ403" s="12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</row>
    <row r="404" spans="1:81" ht="17.100000000000001" customHeight="1" outlineLevel="1">
      <c r="A404" s="51" t="s">
        <v>29</v>
      </c>
      <c r="B404" s="50"/>
      <c r="C404" s="147" t="s">
        <v>10</v>
      </c>
      <c r="D404" s="148"/>
      <c r="E404" s="148"/>
      <c r="F404" s="148"/>
      <c r="G404" s="148"/>
      <c r="H404" s="148"/>
      <c r="I404" s="148"/>
      <c r="J404" s="148"/>
      <c r="K404" s="148"/>
      <c r="L404" s="148"/>
      <c r="M404" s="148"/>
      <c r="N404" s="148"/>
      <c r="O404" s="148"/>
      <c r="P404" s="148"/>
      <c r="Q404" s="148"/>
      <c r="R404" s="148"/>
      <c r="S404" s="148"/>
      <c r="T404" s="148"/>
      <c r="U404" s="148"/>
      <c r="V404" s="148"/>
      <c r="W404" s="148"/>
      <c r="X404" s="148"/>
      <c r="Y404" s="148"/>
      <c r="Z404" s="148"/>
      <c r="AA404" s="148"/>
      <c r="AB404" s="148"/>
      <c r="AC404" s="148"/>
      <c r="AD404" s="148"/>
      <c r="AE404" s="148"/>
      <c r="AF404" s="148"/>
      <c r="AG404" s="148"/>
      <c r="AH404" s="148"/>
      <c r="AI404" s="148"/>
      <c r="AJ404" s="148"/>
      <c r="AK404" s="148"/>
      <c r="AL404" s="148"/>
      <c r="AM404" s="10"/>
      <c r="AN404" s="31"/>
      <c r="AO404" s="35" t="s">
        <v>4</v>
      </c>
      <c r="AP404" s="149"/>
      <c r="AQ404" s="150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</row>
    <row r="405" spans="1:81" ht="27" outlineLevel="1">
      <c r="A405" s="52" t="s">
        <v>36</v>
      </c>
      <c r="B405" s="50"/>
      <c r="C405" s="26" t="str">
        <f>IF(C389=0,"",IF(C389&gt;0,C389))</f>
        <v/>
      </c>
      <c r="D405" s="26" t="str">
        <f t="shared" ref="D405:AL405" si="1549">IF(D389=0,"",IF(D389&gt;0,D389))</f>
        <v/>
      </c>
      <c r="E405" s="26" t="str">
        <f t="shared" si="1549"/>
        <v/>
      </c>
      <c r="F405" s="26" t="str">
        <f t="shared" si="1549"/>
        <v/>
      </c>
      <c r="G405" s="26" t="str">
        <f t="shared" si="1549"/>
        <v/>
      </c>
      <c r="H405" s="26" t="str">
        <f t="shared" si="1549"/>
        <v/>
      </c>
      <c r="I405" s="26" t="str">
        <f t="shared" si="1549"/>
        <v/>
      </c>
      <c r="J405" s="26" t="str">
        <f t="shared" si="1549"/>
        <v/>
      </c>
      <c r="K405" s="26" t="str">
        <f t="shared" si="1549"/>
        <v/>
      </c>
      <c r="L405" s="26" t="str">
        <f t="shared" si="1549"/>
        <v/>
      </c>
      <c r="M405" s="26" t="str">
        <f t="shared" si="1549"/>
        <v/>
      </c>
      <c r="N405" s="26" t="str">
        <f t="shared" si="1549"/>
        <v/>
      </c>
      <c r="O405" s="26" t="str">
        <f t="shared" si="1549"/>
        <v/>
      </c>
      <c r="P405" s="26" t="str">
        <f t="shared" si="1549"/>
        <v/>
      </c>
      <c r="Q405" s="26" t="str">
        <f t="shared" si="1549"/>
        <v/>
      </c>
      <c r="R405" s="26" t="str">
        <f t="shared" si="1549"/>
        <v/>
      </c>
      <c r="S405" s="26" t="str">
        <f t="shared" si="1549"/>
        <v/>
      </c>
      <c r="T405" s="26" t="str">
        <f t="shared" si="1549"/>
        <v/>
      </c>
      <c r="U405" s="26" t="str">
        <f t="shared" si="1549"/>
        <v/>
      </c>
      <c r="V405" s="26" t="str">
        <f t="shared" si="1549"/>
        <v/>
      </c>
      <c r="W405" s="26" t="str">
        <f t="shared" si="1549"/>
        <v/>
      </c>
      <c r="X405" s="26" t="str">
        <f t="shared" si="1549"/>
        <v/>
      </c>
      <c r="Y405" s="26" t="str">
        <f t="shared" si="1549"/>
        <v/>
      </c>
      <c r="Z405" s="26" t="str">
        <f t="shared" si="1549"/>
        <v/>
      </c>
      <c r="AA405" s="26" t="str">
        <f t="shared" si="1549"/>
        <v/>
      </c>
      <c r="AB405" s="26" t="str">
        <f t="shared" si="1549"/>
        <v/>
      </c>
      <c r="AC405" s="26" t="str">
        <f t="shared" si="1549"/>
        <v/>
      </c>
      <c r="AD405" s="26" t="str">
        <f t="shared" si="1549"/>
        <v/>
      </c>
      <c r="AE405" s="26" t="str">
        <f t="shared" si="1549"/>
        <v/>
      </c>
      <c r="AF405" s="26" t="str">
        <f t="shared" si="1549"/>
        <v/>
      </c>
      <c r="AG405" s="26" t="str">
        <f t="shared" si="1549"/>
        <v/>
      </c>
      <c r="AH405" s="26" t="str">
        <f t="shared" si="1549"/>
        <v/>
      </c>
      <c r="AI405" s="26" t="str">
        <f t="shared" si="1549"/>
        <v/>
      </c>
      <c r="AJ405" s="26" t="str">
        <f t="shared" si="1549"/>
        <v/>
      </c>
      <c r="AK405" s="26" t="str">
        <f t="shared" si="1549"/>
        <v/>
      </c>
      <c r="AL405" s="26" t="str">
        <f t="shared" si="1549"/>
        <v/>
      </c>
      <c r="AM405" s="5" t="s">
        <v>2</v>
      </c>
      <c r="AN405" s="31"/>
      <c r="AO405" s="32" t="s">
        <v>5</v>
      </c>
      <c r="AP405" s="151">
        <f>SUM(AQ410:AQ417)</f>
        <v>0</v>
      </c>
      <c r="AQ405" s="151"/>
      <c r="AT405" s="2" t="str">
        <f t="shared" ref="AT405:BY405" si="1550">IF(C405=0,"",IF(C405&gt;0,C405))</f>
        <v/>
      </c>
      <c r="AU405" s="2" t="str">
        <f t="shared" si="1550"/>
        <v/>
      </c>
      <c r="AV405" s="2" t="str">
        <f t="shared" si="1550"/>
        <v/>
      </c>
      <c r="AW405" s="2" t="str">
        <f t="shared" si="1550"/>
        <v/>
      </c>
      <c r="AX405" s="2" t="str">
        <f t="shared" si="1550"/>
        <v/>
      </c>
      <c r="AY405" s="2" t="str">
        <f t="shared" si="1550"/>
        <v/>
      </c>
      <c r="AZ405" s="2" t="str">
        <f t="shared" si="1550"/>
        <v/>
      </c>
      <c r="BA405" s="2" t="str">
        <f t="shared" si="1550"/>
        <v/>
      </c>
      <c r="BB405" s="2" t="str">
        <f t="shared" si="1550"/>
        <v/>
      </c>
      <c r="BC405" s="2" t="str">
        <f t="shared" si="1550"/>
        <v/>
      </c>
      <c r="BD405" s="2" t="str">
        <f t="shared" si="1550"/>
        <v/>
      </c>
      <c r="BE405" s="2" t="str">
        <f t="shared" si="1550"/>
        <v/>
      </c>
      <c r="BF405" s="2" t="str">
        <f t="shared" si="1550"/>
        <v/>
      </c>
      <c r="BG405" s="2" t="str">
        <f t="shared" si="1550"/>
        <v/>
      </c>
      <c r="BH405" s="2" t="str">
        <f t="shared" si="1550"/>
        <v/>
      </c>
      <c r="BI405" s="2" t="str">
        <f t="shared" si="1550"/>
        <v/>
      </c>
      <c r="BJ405" s="2" t="str">
        <f t="shared" si="1550"/>
        <v/>
      </c>
      <c r="BK405" s="2" t="str">
        <f t="shared" si="1550"/>
        <v/>
      </c>
      <c r="BL405" s="2" t="str">
        <f t="shared" si="1550"/>
        <v/>
      </c>
      <c r="BM405" s="2" t="str">
        <f t="shared" si="1550"/>
        <v/>
      </c>
      <c r="BN405" s="2" t="str">
        <f t="shared" si="1550"/>
        <v/>
      </c>
      <c r="BO405" s="2" t="str">
        <f t="shared" si="1550"/>
        <v/>
      </c>
      <c r="BP405" s="2" t="str">
        <f t="shared" si="1550"/>
        <v/>
      </c>
      <c r="BQ405" s="2" t="str">
        <f t="shared" si="1550"/>
        <v/>
      </c>
      <c r="BR405" s="2" t="str">
        <f t="shared" si="1550"/>
        <v/>
      </c>
      <c r="BS405" s="2" t="str">
        <f t="shared" si="1550"/>
        <v/>
      </c>
      <c r="BT405" s="2" t="str">
        <f t="shared" si="1550"/>
        <v/>
      </c>
      <c r="BU405" s="2" t="str">
        <f t="shared" si="1550"/>
        <v/>
      </c>
      <c r="BV405" s="2" t="str">
        <f t="shared" si="1550"/>
        <v/>
      </c>
      <c r="BW405" s="2" t="str">
        <f t="shared" si="1550"/>
        <v/>
      </c>
      <c r="BX405" s="2" t="str">
        <f t="shared" si="1550"/>
        <v/>
      </c>
      <c r="BY405" s="2" t="str">
        <f t="shared" si="1550"/>
        <v/>
      </c>
      <c r="BZ405" s="2" t="str">
        <f t="shared" ref="BZ405" si="1551">IF(AI405=0,"",IF(AI405&gt;0,AI405))</f>
        <v/>
      </c>
      <c r="CA405" s="2" t="str">
        <f t="shared" ref="CA405" si="1552">IF(AJ405=0,"",IF(AJ405&gt;0,AJ405))</f>
        <v/>
      </c>
      <c r="CB405" s="2" t="str">
        <f t="shared" ref="CB405" si="1553">IF(AK405=0,"",IF(AK405&gt;0,AK405))</f>
        <v/>
      </c>
      <c r="CC405" s="2" t="str">
        <f t="shared" ref="CC405" si="1554">IF(AL405=0,"",IF(AL405&gt;0,AL405))</f>
        <v/>
      </c>
    </row>
    <row r="406" spans="1:81" ht="17.100000000000001" customHeight="1" outlineLevel="1">
      <c r="A406" s="152" t="s">
        <v>30</v>
      </c>
      <c r="B406" s="153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6"/>
      <c r="O406" s="46"/>
      <c r="P406" s="46"/>
      <c r="Q406" s="46"/>
      <c r="R406" s="46"/>
      <c r="S406" s="46"/>
      <c r="T406" s="46"/>
      <c r="U406" s="46"/>
      <c r="V406" s="46"/>
      <c r="W406" s="46"/>
      <c r="X406" s="46"/>
      <c r="Y406" s="46"/>
      <c r="Z406" s="46"/>
      <c r="AA406" s="46"/>
      <c r="AB406" s="46"/>
      <c r="AC406" s="46"/>
      <c r="AD406" s="46"/>
      <c r="AE406" s="46"/>
      <c r="AF406" s="46"/>
      <c r="AG406" s="46"/>
      <c r="AH406" s="46"/>
      <c r="AI406" s="46"/>
      <c r="AJ406" s="46"/>
      <c r="AK406" s="46"/>
      <c r="AL406" s="46"/>
      <c r="AM406" s="45">
        <f>SUM(C406:AL406)</f>
        <v>0</v>
      </c>
      <c r="AN406" s="33"/>
      <c r="AO406" s="34" t="str">
        <f>IF(AP406&lt;5,"NO ",IF(AP406=5,"ok",IF(AP406&gt;5,"ok")))</f>
        <v xml:space="preserve">NO </v>
      </c>
      <c r="AP406" s="154">
        <f>AP404-AP405-AP407</f>
        <v>0</v>
      </c>
      <c r="AQ406" s="154"/>
      <c r="AR406" s="16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</row>
    <row r="407" spans="1:81" ht="17.100000000000001" customHeight="1" outlineLevel="1">
      <c r="A407" s="152"/>
      <c r="B407" s="153"/>
      <c r="C407" s="47" t="str">
        <f>IF(C405="","",C406-C410*$AM410-C411*$AM411-C412*$AM412-C413*$AM413-C414*$AM414-C415*$AM415-C416*$AM416-C417*$AM417)</f>
        <v/>
      </c>
      <c r="D407" s="47" t="str">
        <f t="shared" ref="D407" si="1555">IF(D405="","",D406-D410*$AM410-D411*$AM411-D412*$AM412-D413*$AM413-D414*$AM414-D415*$AM415-D416*$AM416-D417*$AM417)</f>
        <v/>
      </c>
      <c r="E407" s="47" t="str">
        <f t="shared" ref="E407" si="1556">IF(E405="","",E406-E410*$AM410-E411*$AM411-E412*$AM412-E413*$AM413-E414*$AM414-E415*$AM415-E416*$AM416-E417*$AM417)</f>
        <v/>
      </c>
      <c r="F407" s="47" t="str">
        <f t="shared" ref="F407" si="1557">IF(F405="","",F406-F410*$AM410-F411*$AM411-F412*$AM412-F413*$AM413-F414*$AM414-F415*$AM415-F416*$AM416-F417*$AM417)</f>
        <v/>
      </c>
      <c r="G407" s="47" t="str">
        <f t="shared" ref="G407" si="1558">IF(G405="","",G406-G410*$AM410-G411*$AM411-G412*$AM412-G413*$AM413-G414*$AM414-G415*$AM415-G416*$AM416-G417*$AM417)</f>
        <v/>
      </c>
      <c r="H407" s="47" t="str">
        <f t="shared" ref="H407" si="1559">IF(H405="","",H406-H410*$AM410-H411*$AM411-H412*$AM412-H413*$AM413-H414*$AM414-H415*$AM415-H416*$AM416-H417*$AM417)</f>
        <v/>
      </c>
      <c r="I407" s="47" t="str">
        <f t="shared" ref="I407" si="1560">IF(I405="","",I406-I410*$AM410-I411*$AM411-I412*$AM412-I413*$AM413-I414*$AM414-I415*$AM415-I416*$AM416-I417*$AM417)</f>
        <v/>
      </c>
      <c r="J407" s="47" t="str">
        <f t="shared" ref="J407" si="1561">IF(J405="","",J406-J410*$AM410-J411*$AM411-J412*$AM412-J413*$AM413-J414*$AM414-J415*$AM415-J416*$AM416-J417*$AM417)</f>
        <v/>
      </c>
      <c r="K407" s="47" t="str">
        <f t="shared" ref="K407" si="1562">IF(K405="","",K406-K410*$AM410-K411*$AM411-K412*$AM412-K413*$AM413-K414*$AM414-K415*$AM415-K416*$AM416-K417*$AM417)</f>
        <v/>
      </c>
      <c r="L407" s="47" t="str">
        <f t="shared" ref="L407" si="1563">IF(L405="","",L406-L410*$AM410-L411*$AM411-L412*$AM412-L413*$AM413-L414*$AM414-L415*$AM415-L416*$AM416-L417*$AM417)</f>
        <v/>
      </c>
      <c r="M407" s="47" t="str">
        <f t="shared" ref="M407" si="1564">IF(M405="","",M406-M410*$AM410-M411*$AM411-M412*$AM412-M413*$AM413-M414*$AM414-M415*$AM415-M416*$AM416-M417*$AM417)</f>
        <v/>
      </c>
      <c r="N407" s="47" t="str">
        <f t="shared" ref="N407" si="1565">IF(N405="","",N406-N410*$AM410-N411*$AM411-N412*$AM412-N413*$AM413-N414*$AM414-N415*$AM415-N416*$AM416-N417*$AM417)</f>
        <v/>
      </c>
      <c r="O407" s="47" t="str">
        <f t="shared" ref="O407" si="1566">IF(O405="","",O406-O410*$AM410-O411*$AM411-O412*$AM412-O413*$AM413-O414*$AM414-O415*$AM415-O416*$AM416-O417*$AM417)</f>
        <v/>
      </c>
      <c r="P407" s="47" t="str">
        <f t="shared" ref="P407" si="1567">IF(P405="","",P406-P410*$AM410-P411*$AM411-P412*$AM412-P413*$AM413-P414*$AM414-P415*$AM415-P416*$AM416-P417*$AM417)</f>
        <v/>
      </c>
      <c r="Q407" s="47" t="str">
        <f t="shared" ref="Q407" si="1568">IF(Q405="","",Q406-Q410*$AM410-Q411*$AM411-Q412*$AM412-Q413*$AM413-Q414*$AM414-Q415*$AM415-Q416*$AM416-Q417*$AM417)</f>
        <v/>
      </c>
      <c r="R407" s="47" t="str">
        <f t="shared" ref="R407" si="1569">IF(R405="","",R406-R410*$AM410-R411*$AM411-R412*$AM412-R413*$AM413-R414*$AM414-R415*$AM415-R416*$AM416-R417*$AM417)</f>
        <v/>
      </c>
      <c r="S407" s="47" t="str">
        <f t="shared" ref="S407" si="1570">IF(S405="","",S406-S410*$AM410-S411*$AM411-S412*$AM412-S413*$AM413-S414*$AM414-S415*$AM415-S416*$AM416-S417*$AM417)</f>
        <v/>
      </c>
      <c r="T407" s="47" t="str">
        <f t="shared" ref="T407" si="1571">IF(T405="","",T406-T410*$AM410-T411*$AM411-T412*$AM412-T413*$AM413-T414*$AM414-T415*$AM415-T416*$AM416-T417*$AM417)</f>
        <v/>
      </c>
      <c r="U407" s="47" t="str">
        <f t="shared" ref="U407" si="1572">IF(U405="","",U406-U410*$AM410-U411*$AM411-U412*$AM412-U413*$AM413-U414*$AM414-U415*$AM415-U416*$AM416-U417*$AM417)</f>
        <v/>
      </c>
      <c r="V407" s="47" t="str">
        <f t="shared" ref="V407" si="1573">IF(V405="","",V406-V410*$AM410-V411*$AM411-V412*$AM412-V413*$AM413-V414*$AM414-V415*$AM415-V416*$AM416-V417*$AM417)</f>
        <v/>
      </c>
      <c r="W407" s="47" t="str">
        <f t="shared" ref="W407" si="1574">IF(W405="","",W406-W410*$AM410-W411*$AM411-W412*$AM412-W413*$AM413-W414*$AM414-W415*$AM415-W416*$AM416-W417*$AM417)</f>
        <v/>
      </c>
      <c r="X407" s="47" t="str">
        <f t="shared" ref="X407" si="1575">IF(X405="","",X406-X410*$AM410-X411*$AM411-X412*$AM412-X413*$AM413-X414*$AM414-X415*$AM415-X416*$AM416-X417*$AM417)</f>
        <v/>
      </c>
      <c r="Y407" s="47" t="str">
        <f t="shared" ref="Y407" si="1576">IF(Y405="","",Y406-Y410*$AM410-Y411*$AM411-Y412*$AM412-Y413*$AM413-Y414*$AM414-Y415*$AM415-Y416*$AM416-Y417*$AM417)</f>
        <v/>
      </c>
      <c r="Z407" s="47" t="str">
        <f t="shared" ref="Z407" si="1577">IF(Z405="","",Z406-Z410*$AM410-Z411*$AM411-Z412*$AM412-Z413*$AM413-Z414*$AM414-Z415*$AM415-Z416*$AM416-Z417*$AM417)</f>
        <v/>
      </c>
      <c r="AA407" s="47" t="str">
        <f t="shared" ref="AA407" si="1578">IF(AA405="","",AA406-AA410*$AM410-AA411*$AM411-AA412*$AM412-AA413*$AM413-AA414*$AM414-AA415*$AM415-AA416*$AM416-AA417*$AM417)</f>
        <v/>
      </c>
      <c r="AB407" s="47" t="str">
        <f t="shared" ref="AB407" si="1579">IF(AB405="","",AB406-AB410*$AM410-AB411*$AM411-AB412*$AM412-AB413*$AM413-AB414*$AM414-AB415*$AM415-AB416*$AM416-AB417*$AM417)</f>
        <v/>
      </c>
      <c r="AC407" s="47" t="str">
        <f t="shared" ref="AC407" si="1580">IF(AC405="","",AC406-AC410*$AM410-AC411*$AM411-AC412*$AM412-AC413*$AM413-AC414*$AM414-AC415*$AM415-AC416*$AM416-AC417*$AM417)</f>
        <v/>
      </c>
      <c r="AD407" s="47" t="str">
        <f t="shared" ref="AD407" si="1581">IF(AD405="","",AD406-AD410*$AM410-AD411*$AM411-AD412*$AM412-AD413*$AM413-AD414*$AM414-AD415*$AM415-AD416*$AM416-AD417*$AM417)</f>
        <v/>
      </c>
      <c r="AE407" s="47" t="str">
        <f t="shared" ref="AE407" si="1582">IF(AE405="","",AE406-AE410*$AM410-AE411*$AM411-AE412*$AM412-AE413*$AM413-AE414*$AM414-AE415*$AM415-AE416*$AM416-AE417*$AM417)</f>
        <v/>
      </c>
      <c r="AF407" s="47" t="str">
        <f t="shared" ref="AF407" si="1583">IF(AF405="","",AF406-AF410*$AM410-AF411*$AM411-AF412*$AM412-AF413*$AM413-AF414*$AM414-AF415*$AM415-AF416*$AM416-AF417*$AM417)</f>
        <v/>
      </c>
      <c r="AG407" s="47" t="str">
        <f t="shared" ref="AG407" si="1584">IF(AG405="","",AG406-AG410*$AM410-AG411*$AM411-AG412*$AM412-AG413*$AM413-AG414*$AM414-AG415*$AM415-AG416*$AM416-AG417*$AM417)</f>
        <v/>
      </c>
      <c r="AH407" s="47" t="str">
        <f t="shared" ref="AH407" si="1585">IF(AH405="","",AH406-AH410*$AM410-AH411*$AM411-AH412*$AM412-AH413*$AM413-AH414*$AM414-AH415*$AM415-AH416*$AM416-AH417*$AM417)</f>
        <v/>
      </c>
      <c r="AI407" s="47" t="str">
        <f t="shared" ref="AI407" si="1586">IF(AI405="","",AI406-AI410*$AM410-AI411*$AM411-AI412*$AM412-AI413*$AM413-AI414*$AM414-AI415*$AM415-AI416*$AM416-AI417*$AM417)</f>
        <v/>
      </c>
      <c r="AJ407" s="47" t="str">
        <f t="shared" ref="AJ407" si="1587">IF(AJ405="","",AJ406-AJ410*$AM410-AJ411*$AM411-AJ412*$AM412-AJ413*$AM413-AJ414*$AM414-AJ415*$AM415-AJ416*$AM416-AJ417*$AM417)</f>
        <v/>
      </c>
      <c r="AK407" s="47" t="str">
        <f>IF(AK405="","",AK406-AK410*$AM410-AK411*$AM411-AK412*$AM412-AK413*$AM413-AK414*$AM414-AK415*$AM415-AK416*$AM416-AK417*$AM417)</f>
        <v/>
      </c>
      <c r="AL407" s="47" t="str">
        <f t="shared" ref="AL407" si="1588">IF(AL405="","",AL406-AL410*$AM410-AL411*$AM411-AL412*$AM412-AL413*$AM413-AL414*$AM414-AL415*$AM415-AL416*$AM416-AL417*$AM417)</f>
        <v/>
      </c>
      <c r="AM407" s="45">
        <f>SUM(C407:AL407)</f>
        <v>0</v>
      </c>
      <c r="AN407" s="155" t="s">
        <v>33</v>
      </c>
      <c r="AO407" s="156"/>
      <c r="AP407" s="157"/>
      <c r="AQ407" s="158"/>
      <c r="AR407" s="17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</row>
    <row r="408" spans="1:81" ht="17.100000000000001" customHeight="1" outlineLevel="1">
      <c r="A408" s="177" t="s">
        <v>20</v>
      </c>
      <c r="B408" s="178"/>
      <c r="C408" s="181" t="s">
        <v>0</v>
      </c>
      <c r="D408" s="182"/>
      <c r="E408" s="182"/>
      <c r="F408" s="182"/>
      <c r="G408" s="182"/>
      <c r="H408" s="182"/>
      <c r="I408" s="182"/>
      <c r="J408" s="182"/>
      <c r="K408" s="182"/>
      <c r="L408" s="182"/>
      <c r="M408" s="182"/>
      <c r="N408" s="182"/>
      <c r="O408" s="182"/>
      <c r="P408" s="182"/>
      <c r="Q408" s="182"/>
      <c r="R408" s="182"/>
      <c r="S408" s="182"/>
      <c r="T408" s="182"/>
      <c r="U408" s="182"/>
      <c r="V408" s="182"/>
      <c r="W408" s="182"/>
      <c r="X408" s="182"/>
      <c r="Y408" s="182"/>
      <c r="Z408" s="182"/>
      <c r="AA408" s="182"/>
      <c r="AB408" s="182"/>
      <c r="AC408" s="182"/>
      <c r="AD408" s="182"/>
      <c r="AE408" s="182"/>
      <c r="AF408" s="182"/>
      <c r="AG408" s="182"/>
      <c r="AH408" s="182"/>
      <c r="AI408" s="182"/>
      <c r="AJ408" s="182"/>
      <c r="AK408" s="182"/>
      <c r="AL408" s="183"/>
      <c r="AM408" s="187" t="s">
        <v>1</v>
      </c>
      <c r="AN408" s="200" t="s">
        <v>11</v>
      </c>
      <c r="AO408" s="196" t="s">
        <v>12</v>
      </c>
      <c r="AP408" s="197"/>
      <c r="AQ408" s="193" t="s">
        <v>6</v>
      </c>
      <c r="AR408" s="24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</row>
    <row r="409" spans="1:81" ht="17.100000000000001" customHeight="1" outlineLevel="1">
      <c r="A409" s="179"/>
      <c r="B409" s="180"/>
      <c r="C409" s="184"/>
      <c r="D409" s="185"/>
      <c r="E409" s="185"/>
      <c r="F409" s="185"/>
      <c r="G409" s="185"/>
      <c r="H409" s="185"/>
      <c r="I409" s="185"/>
      <c r="J409" s="185"/>
      <c r="K409" s="185"/>
      <c r="L409" s="185"/>
      <c r="M409" s="185"/>
      <c r="N409" s="185"/>
      <c r="O409" s="185"/>
      <c r="P409" s="185"/>
      <c r="Q409" s="185"/>
      <c r="R409" s="185"/>
      <c r="S409" s="185"/>
      <c r="T409" s="185"/>
      <c r="U409" s="185"/>
      <c r="V409" s="185"/>
      <c r="W409" s="185"/>
      <c r="X409" s="185"/>
      <c r="Y409" s="185"/>
      <c r="Z409" s="185"/>
      <c r="AA409" s="185"/>
      <c r="AB409" s="185"/>
      <c r="AC409" s="185"/>
      <c r="AD409" s="185"/>
      <c r="AE409" s="185"/>
      <c r="AF409" s="185"/>
      <c r="AG409" s="185"/>
      <c r="AH409" s="185"/>
      <c r="AI409" s="185"/>
      <c r="AJ409" s="185"/>
      <c r="AK409" s="185"/>
      <c r="AL409" s="186"/>
      <c r="AM409" s="188"/>
      <c r="AN409" s="190"/>
      <c r="AO409" s="18" t="s">
        <v>3</v>
      </c>
      <c r="AP409" s="19" t="s">
        <v>13</v>
      </c>
      <c r="AQ409" s="172"/>
      <c r="AR409" s="27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</row>
    <row r="410" spans="1:81" ht="17.100000000000001" customHeight="1" outlineLevel="1">
      <c r="A410" s="173"/>
      <c r="B410" s="30" t="s">
        <v>21</v>
      </c>
      <c r="C410" s="39"/>
      <c r="D410" s="39"/>
      <c r="E410" s="39"/>
      <c r="F410" s="39"/>
      <c r="G410" s="39"/>
      <c r="H410" s="39"/>
      <c r="I410" s="39"/>
      <c r="J410" s="39"/>
      <c r="K410" s="39"/>
      <c r="L410" s="39"/>
      <c r="M410" s="39"/>
      <c r="N410" s="39"/>
      <c r="O410" s="39"/>
      <c r="P410" s="39"/>
      <c r="Q410" s="39"/>
      <c r="R410" s="39"/>
      <c r="S410" s="39"/>
      <c r="T410" s="39"/>
      <c r="U410" s="39"/>
      <c r="V410" s="39"/>
      <c r="W410" s="39"/>
      <c r="X410" s="39"/>
      <c r="Y410" s="39"/>
      <c r="Z410" s="39"/>
      <c r="AA410" s="39"/>
      <c r="AB410" s="39"/>
      <c r="AC410" s="39"/>
      <c r="AD410" s="39"/>
      <c r="AE410" s="39"/>
      <c r="AF410" s="39"/>
      <c r="AG410" s="39"/>
      <c r="AH410" s="39"/>
      <c r="AI410" s="39"/>
      <c r="AJ410" s="39"/>
      <c r="AK410" s="39"/>
      <c r="AL410" s="39"/>
      <c r="AM410" s="39"/>
      <c r="AN410" s="40" t="str">
        <f>IF(AM410="","",SUM(C410:AL410)*AM410)</f>
        <v/>
      </c>
      <c r="AO410" s="39"/>
      <c r="AP410" s="39"/>
      <c r="AQ410" s="42">
        <f>(AO410+AR410)*AM410</f>
        <v>0</v>
      </c>
      <c r="AR410" s="25">
        <f>AP410/36</f>
        <v>0</v>
      </c>
      <c r="AT410" s="3" t="str">
        <f t="shared" ref="AT410:CA410" si="1589">IF(C410=0,"",ROUNDUP(C407/C410,0))</f>
        <v/>
      </c>
      <c r="AU410" s="3" t="str">
        <f t="shared" si="1589"/>
        <v/>
      </c>
      <c r="AV410" s="3" t="str">
        <f t="shared" si="1589"/>
        <v/>
      </c>
      <c r="AW410" s="3" t="str">
        <f t="shared" si="1589"/>
        <v/>
      </c>
      <c r="AX410" s="3" t="str">
        <f t="shared" si="1589"/>
        <v/>
      </c>
      <c r="AY410" s="3" t="str">
        <f t="shared" si="1589"/>
        <v/>
      </c>
      <c r="AZ410" s="3" t="str">
        <f t="shared" si="1589"/>
        <v/>
      </c>
      <c r="BA410" s="3" t="str">
        <f t="shared" si="1589"/>
        <v/>
      </c>
      <c r="BB410" s="3" t="str">
        <f t="shared" si="1589"/>
        <v/>
      </c>
      <c r="BC410" s="3" t="str">
        <f t="shared" si="1589"/>
        <v/>
      </c>
      <c r="BD410" s="3" t="str">
        <f t="shared" si="1589"/>
        <v/>
      </c>
      <c r="BE410" s="3" t="str">
        <f t="shared" si="1589"/>
        <v/>
      </c>
      <c r="BF410" s="3" t="str">
        <f t="shared" si="1589"/>
        <v/>
      </c>
      <c r="BG410" s="3" t="str">
        <f t="shared" si="1589"/>
        <v/>
      </c>
      <c r="BH410" s="3" t="str">
        <f t="shared" si="1589"/>
        <v/>
      </c>
      <c r="BI410" s="3" t="str">
        <f t="shared" si="1589"/>
        <v/>
      </c>
      <c r="BJ410" s="3" t="str">
        <f t="shared" si="1589"/>
        <v/>
      </c>
      <c r="BK410" s="3" t="str">
        <f t="shared" si="1589"/>
        <v/>
      </c>
      <c r="BL410" s="3" t="str">
        <f t="shared" si="1589"/>
        <v/>
      </c>
      <c r="BM410" s="3" t="str">
        <f t="shared" si="1589"/>
        <v/>
      </c>
      <c r="BN410" s="3" t="str">
        <f t="shared" si="1589"/>
        <v/>
      </c>
      <c r="BO410" s="3" t="str">
        <f t="shared" si="1589"/>
        <v/>
      </c>
      <c r="BP410" s="3" t="str">
        <f t="shared" si="1589"/>
        <v/>
      </c>
      <c r="BQ410" s="3" t="str">
        <f t="shared" si="1589"/>
        <v/>
      </c>
      <c r="BR410" s="3" t="str">
        <f t="shared" si="1589"/>
        <v/>
      </c>
      <c r="BS410" s="3" t="str">
        <f t="shared" si="1589"/>
        <v/>
      </c>
      <c r="BT410" s="3" t="str">
        <f t="shared" si="1589"/>
        <v/>
      </c>
      <c r="BU410" s="3" t="str">
        <f t="shared" si="1589"/>
        <v/>
      </c>
      <c r="BV410" s="3" t="str">
        <f t="shared" si="1589"/>
        <v/>
      </c>
      <c r="BW410" s="3" t="str">
        <f t="shared" si="1589"/>
        <v/>
      </c>
      <c r="BX410" s="3" t="str">
        <f t="shared" si="1589"/>
        <v/>
      </c>
      <c r="BY410" s="3" t="str">
        <f t="shared" si="1589"/>
        <v/>
      </c>
      <c r="BZ410" s="3" t="str">
        <f t="shared" si="1589"/>
        <v/>
      </c>
      <c r="CA410" s="3" t="str">
        <f t="shared" si="1589"/>
        <v/>
      </c>
      <c r="CB410" s="3" t="str">
        <f t="shared" ref="CB410" si="1590">IF(AK410=0,"",ROUNDUP(AK407/AK410,0))</f>
        <v/>
      </c>
      <c r="CC410" s="3" t="str">
        <f t="shared" ref="CC410" si="1591">IF(AL410=0,"",ROUNDUP(AL407/AL410,0))</f>
        <v/>
      </c>
    </row>
    <row r="411" spans="1:81" ht="17.100000000000001" customHeight="1" outlineLevel="1">
      <c r="A411" s="174"/>
      <c r="B411" s="30" t="s">
        <v>22</v>
      </c>
      <c r="C411" s="39"/>
      <c r="D411" s="39"/>
      <c r="E411" s="39"/>
      <c r="F411" s="39"/>
      <c r="G411" s="39"/>
      <c r="H411" s="39"/>
      <c r="I411" s="39"/>
      <c r="J411" s="39"/>
      <c r="K411" s="39"/>
      <c r="L411" s="39"/>
      <c r="M411" s="39"/>
      <c r="N411" s="39"/>
      <c r="O411" s="39"/>
      <c r="P411" s="39"/>
      <c r="Q411" s="39"/>
      <c r="R411" s="39"/>
      <c r="S411" s="39"/>
      <c r="T411" s="39"/>
      <c r="U411" s="39"/>
      <c r="V411" s="39"/>
      <c r="W411" s="39"/>
      <c r="X411" s="39"/>
      <c r="Y411" s="39"/>
      <c r="Z411" s="39"/>
      <c r="AA411" s="39"/>
      <c r="AB411" s="39"/>
      <c r="AC411" s="39"/>
      <c r="AD411" s="39"/>
      <c r="AE411" s="39"/>
      <c r="AF411" s="39"/>
      <c r="AG411" s="39"/>
      <c r="AH411" s="39"/>
      <c r="AI411" s="39"/>
      <c r="AJ411" s="39"/>
      <c r="AK411" s="39"/>
      <c r="AL411" s="39"/>
      <c r="AM411" s="39"/>
      <c r="AN411" s="40" t="str">
        <f t="shared" ref="AN411:AN414" si="1592">IF(AM411="","",SUM(C411:AL411)*AM411)</f>
        <v/>
      </c>
      <c r="AO411" s="39"/>
      <c r="AP411" s="39"/>
      <c r="AQ411" s="42">
        <f t="shared" ref="AQ411:AQ417" si="1593">(AO411+AR411)*AM411</f>
        <v>0</v>
      </c>
      <c r="AR411" s="25">
        <f t="shared" ref="AR411:AR417" si="1594">AP411/36</f>
        <v>0</v>
      </c>
      <c r="AT411" s="3" t="str">
        <f t="shared" ref="AT411:CA411" si="1595">IF(C411=0,"",ROUNDUP(C407/C411,0))</f>
        <v/>
      </c>
      <c r="AU411" s="3" t="str">
        <f t="shared" si="1595"/>
        <v/>
      </c>
      <c r="AV411" s="3" t="str">
        <f t="shared" si="1595"/>
        <v/>
      </c>
      <c r="AW411" s="3" t="str">
        <f t="shared" si="1595"/>
        <v/>
      </c>
      <c r="AX411" s="3" t="str">
        <f t="shared" si="1595"/>
        <v/>
      </c>
      <c r="AY411" s="3" t="str">
        <f t="shared" si="1595"/>
        <v/>
      </c>
      <c r="AZ411" s="3" t="str">
        <f t="shared" si="1595"/>
        <v/>
      </c>
      <c r="BA411" s="3" t="str">
        <f t="shared" si="1595"/>
        <v/>
      </c>
      <c r="BB411" s="3" t="str">
        <f t="shared" si="1595"/>
        <v/>
      </c>
      <c r="BC411" s="3" t="str">
        <f t="shared" si="1595"/>
        <v/>
      </c>
      <c r="BD411" s="3" t="str">
        <f t="shared" si="1595"/>
        <v/>
      </c>
      <c r="BE411" s="3" t="str">
        <f t="shared" si="1595"/>
        <v/>
      </c>
      <c r="BF411" s="3" t="str">
        <f t="shared" si="1595"/>
        <v/>
      </c>
      <c r="BG411" s="3" t="str">
        <f t="shared" si="1595"/>
        <v/>
      </c>
      <c r="BH411" s="3" t="str">
        <f t="shared" si="1595"/>
        <v/>
      </c>
      <c r="BI411" s="3" t="str">
        <f t="shared" si="1595"/>
        <v/>
      </c>
      <c r="BJ411" s="3" t="str">
        <f t="shared" si="1595"/>
        <v/>
      </c>
      <c r="BK411" s="3" t="str">
        <f t="shared" si="1595"/>
        <v/>
      </c>
      <c r="BL411" s="3" t="str">
        <f t="shared" si="1595"/>
        <v/>
      </c>
      <c r="BM411" s="3" t="str">
        <f t="shared" si="1595"/>
        <v/>
      </c>
      <c r="BN411" s="3" t="str">
        <f t="shared" si="1595"/>
        <v/>
      </c>
      <c r="BO411" s="3" t="str">
        <f t="shared" si="1595"/>
        <v/>
      </c>
      <c r="BP411" s="3" t="str">
        <f t="shared" si="1595"/>
        <v/>
      </c>
      <c r="BQ411" s="3" t="str">
        <f t="shared" si="1595"/>
        <v/>
      </c>
      <c r="BR411" s="3" t="str">
        <f t="shared" si="1595"/>
        <v/>
      </c>
      <c r="BS411" s="3" t="str">
        <f t="shared" si="1595"/>
        <v/>
      </c>
      <c r="BT411" s="3" t="str">
        <f t="shared" si="1595"/>
        <v/>
      </c>
      <c r="BU411" s="3" t="str">
        <f t="shared" si="1595"/>
        <v/>
      </c>
      <c r="BV411" s="3" t="str">
        <f t="shared" si="1595"/>
        <v/>
      </c>
      <c r="BW411" s="3" t="str">
        <f t="shared" si="1595"/>
        <v/>
      </c>
      <c r="BX411" s="3" t="str">
        <f t="shared" si="1595"/>
        <v/>
      </c>
      <c r="BY411" s="3" t="str">
        <f t="shared" si="1595"/>
        <v/>
      </c>
      <c r="BZ411" s="3" t="str">
        <f t="shared" si="1595"/>
        <v/>
      </c>
      <c r="CA411" s="3" t="str">
        <f t="shared" si="1595"/>
        <v/>
      </c>
      <c r="CB411" s="3" t="str">
        <f t="shared" ref="CB411" si="1596">IF(AK411=0,"",ROUNDUP(AK407/AK411,0))</f>
        <v/>
      </c>
      <c r="CC411" s="3" t="str">
        <f t="shared" ref="CC411" si="1597">IF(AL411=0,"",ROUNDUP(AL407/AL411,0))</f>
        <v/>
      </c>
    </row>
    <row r="412" spans="1:81" ht="17.100000000000001" customHeight="1" outlineLevel="1">
      <c r="A412" s="174"/>
      <c r="B412" s="30" t="s">
        <v>23</v>
      </c>
      <c r="C412" s="39"/>
      <c r="D412" s="39"/>
      <c r="E412" s="39"/>
      <c r="F412" s="39"/>
      <c r="G412" s="39"/>
      <c r="H412" s="39"/>
      <c r="I412" s="39"/>
      <c r="J412" s="39"/>
      <c r="K412" s="39"/>
      <c r="L412" s="39"/>
      <c r="M412" s="39"/>
      <c r="N412" s="39"/>
      <c r="O412" s="39"/>
      <c r="P412" s="39"/>
      <c r="Q412" s="39"/>
      <c r="R412" s="39"/>
      <c r="S412" s="39"/>
      <c r="T412" s="39"/>
      <c r="U412" s="39"/>
      <c r="V412" s="39"/>
      <c r="W412" s="39"/>
      <c r="X412" s="39"/>
      <c r="Y412" s="39"/>
      <c r="Z412" s="39"/>
      <c r="AA412" s="39"/>
      <c r="AB412" s="39"/>
      <c r="AC412" s="39"/>
      <c r="AD412" s="39"/>
      <c r="AE412" s="39"/>
      <c r="AF412" s="39"/>
      <c r="AG412" s="39"/>
      <c r="AH412" s="39"/>
      <c r="AI412" s="39"/>
      <c r="AJ412" s="39"/>
      <c r="AK412" s="39"/>
      <c r="AL412" s="39"/>
      <c r="AM412" s="39"/>
      <c r="AN412" s="40" t="str">
        <f t="shared" si="1592"/>
        <v/>
      </c>
      <c r="AO412" s="39"/>
      <c r="AP412" s="39"/>
      <c r="AQ412" s="42">
        <f t="shared" si="1593"/>
        <v>0</v>
      </c>
      <c r="AR412" s="25">
        <f t="shared" si="1594"/>
        <v>0</v>
      </c>
      <c r="AT412" s="3" t="str">
        <f t="shared" ref="AT412:CA412" si="1598">IF(C412=0,"",ROUNDUP(C407/C412,0))</f>
        <v/>
      </c>
      <c r="AU412" s="3" t="str">
        <f t="shared" si="1598"/>
        <v/>
      </c>
      <c r="AV412" s="3" t="str">
        <f t="shared" si="1598"/>
        <v/>
      </c>
      <c r="AW412" s="3" t="str">
        <f t="shared" si="1598"/>
        <v/>
      </c>
      <c r="AX412" s="3" t="str">
        <f t="shared" si="1598"/>
        <v/>
      </c>
      <c r="AY412" s="3" t="str">
        <f t="shared" si="1598"/>
        <v/>
      </c>
      <c r="AZ412" s="3" t="str">
        <f t="shared" si="1598"/>
        <v/>
      </c>
      <c r="BA412" s="3" t="str">
        <f t="shared" si="1598"/>
        <v/>
      </c>
      <c r="BB412" s="3" t="str">
        <f t="shared" si="1598"/>
        <v/>
      </c>
      <c r="BC412" s="3" t="str">
        <f t="shared" si="1598"/>
        <v/>
      </c>
      <c r="BD412" s="3" t="str">
        <f t="shared" si="1598"/>
        <v/>
      </c>
      <c r="BE412" s="3" t="str">
        <f t="shared" si="1598"/>
        <v/>
      </c>
      <c r="BF412" s="3" t="str">
        <f t="shared" si="1598"/>
        <v/>
      </c>
      <c r="BG412" s="3" t="str">
        <f t="shared" si="1598"/>
        <v/>
      </c>
      <c r="BH412" s="3" t="str">
        <f t="shared" si="1598"/>
        <v/>
      </c>
      <c r="BI412" s="3" t="str">
        <f t="shared" si="1598"/>
        <v/>
      </c>
      <c r="BJ412" s="3" t="str">
        <f t="shared" si="1598"/>
        <v/>
      </c>
      <c r="BK412" s="3" t="str">
        <f t="shared" si="1598"/>
        <v/>
      </c>
      <c r="BL412" s="3" t="str">
        <f t="shared" si="1598"/>
        <v/>
      </c>
      <c r="BM412" s="3" t="str">
        <f t="shared" si="1598"/>
        <v/>
      </c>
      <c r="BN412" s="3" t="str">
        <f t="shared" si="1598"/>
        <v/>
      </c>
      <c r="BO412" s="3" t="str">
        <f t="shared" si="1598"/>
        <v/>
      </c>
      <c r="BP412" s="3" t="str">
        <f t="shared" si="1598"/>
        <v/>
      </c>
      <c r="BQ412" s="3" t="str">
        <f t="shared" si="1598"/>
        <v/>
      </c>
      <c r="BR412" s="3" t="str">
        <f t="shared" si="1598"/>
        <v/>
      </c>
      <c r="BS412" s="3" t="str">
        <f t="shared" si="1598"/>
        <v/>
      </c>
      <c r="BT412" s="3" t="str">
        <f t="shared" si="1598"/>
        <v/>
      </c>
      <c r="BU412" s="3" t="str">
        <f t="shared" si="1598"/>
        <v/>
      </c>
      <c r="BV412" s="3" t="str">
        <f t="shared" si="1598"/>
        <v/>
      </c>
      <c r="BW412" s="3" t="str">
        <f t="shared" si="1598"/>
        <v/>
      </c>
      <c r="BX412" s="3" t="str">
        <f t="shared" si="1598"/>
        <v/>
      </c>
      <c r="BY412" s="3" t="str">
        <f t="shared" si="1598"/>
        <v/>
      </c>
      <c r="BZ412" s="3" t="str">
        <f t="shared" si="1598"/>
        <v/>
      </c>
      <c r="CA412" s="3" t="str">
        <f t="shared" si="1598"/>
        <v/>
      </c>
      <c r="CB412" s="3" t="str">
        <f t="shared" ref="CB412" si="1599">IF(AK412=0,"",ROUNDUP(AK407/AK412,0))</f>
        <v/>
      </c>
      <c r="CC412" s="3" t="str">
        <f t="shared" ref="CC412" si="1600">IF(AL412=0,"",ROUNDUP(AL407/AL412,0))</f>
        <v/>
      </c>
    </row>
    <row r="413" spans="1:81" ht="17.100000000000001" customHeight="1" outlineLevel="1">
      <c r="A413" s="174"/>
      <c r="B413" s="30" t="s">
        <v>24</v>
      </c>
      <c r="C413" s="39"/>
      <c r="D413" s="39"/>
      <c r="E413" s="39"/>
      <c r="F413" s="39"/>
      <c r="G413" s="39"/>
      <c r="H413" s="39"/>
      <c r="I413" s="39"/>
      <c r="J413" s="39"/>
      <c r="K413" s="39"/>
      <c r="L413" s="39"/>
      <c r="M413" s="39"/>
      <c r="N413" s="39"/>
      <c r="O413" s="39"/>
      <c r="P413" s="39"/>
      <c r="Q413" s="39"/>
      <c r="R413" s="39"/>
      <c r="S413" s="39"/>
      <c r="T413" s="39"/>
      <c r="U413" s="39"/>
      <c r="V413" s="39"/>
      <c r="W413" s="39"/>
      <c r="X413" s="39"/>
      <c r="Y413" s="39"/>
      <c r="Z413" s="39"/>
      <c r="AA413" s="39"/>
      <c r="AB413" s="39"/>
      <c r="AC413" s="39"/>
      <c r="AD413" s="39"/>
      <c r="AE413" s="39"/>
      <c r="AF413" s="39"/>
      <c r="AG413" s="39"/>
      <c r="AH413" s="39"/>
      <c r="AI413" s="39"/>
      <c r="AJ413" s="39"/>
      <c r="AK413" s="39"/>
      <c r="AL413" s="39"/>
      <c r="AM413" s="39"/>
      <c r="AN413" s="40" t="str">
        <f t="shared" si="1592"/>
        <v/>
      </c>
      <c r="AO413" s="39"/>
      <c r="AP413" s="39"/>
      <c r="AQ413" s="42">
        <f t="shared" si="1593"/>
        <v>0</v>
      </c>
      <c r="AR413" s="25">
        <f t="shared" si="1594"/>
        <v>0</v>
      </c>
      <c r="AT413" s="3" t="str">
        <f t="shared" ref="AT413:CA413" si="1601">IF(C413=0,"",ROUNDUP(C407/C413,0))</f>
        <v/>
      </c>
      <c r="AU413" s="3" t="str">
        <f t="shared" si="1601"/>
        <v/>
      </c>
      <c r="AV413" s="3" t="str">
        <f t="shared" si="1601"/>
        <v/>
      </c>
      <c r="AW413" s="3" t="str">
        <f t="shared" si="1601"/>
        <v/>
      </c>
      <c r="AX413" s="3" t="str">
        <f t="shared" si="1601"/>
        <v/>
      </c>
      <c r="AY413" s="3" t="str">
        <f t="shared" si="1601"/>
        <v/>
      </c>
      <c r="AZ413" s="3" t="str">
        <f t="shared" si="1601"/>
        <v/>
      </c>
      <c r="BA413" s="3" t="str">
        <f t="shared" si="1601"/>
        <v/>
      </c>
      <c r="BB413" s="3" t="str">
        <f t="shared" si="1601"/>
        <v/>
      </c>
      <c r="BC413" s="3" t="str">
        <f t="shared" si="1601"/>
        <v/>
      </c>
      <c r="BD413" s="3" t="str">
        <f t="shared" si="1601"/>
        <v/>
      </c>
      <c r="BE413" s="3" t="str">
        <f t="shared" si="1601"/>
        <v/>
      </c>
      <c r="BF413" s="3" t="str">
        <f t="shared" si="1601"/>
        <v/>
      </c>
      <c r="BG413" s="3" t="str">
        <f t="shared" si="1601"/>
        <v/>
      </c>
      <c r="BH413" s="3" t="str">
        <f t="shared" si="1601"/>
        <v/>
      </c>
      <c r="BI413" s="3" t="str">
        <f t="shared" si="1601"/>
        <v/>
      </c>
      <c r="BJ413" s="3" t="str">
        <f t="shared" si="1601"/>
        <v/>
      </c>
      <c r="BK413" s="3" t="str">
        <f t="shared" si="1601"/>
        <v/>
      </c>
      <c r="BL413" s="3" t="str">
        <f t="shared" si="1601"/>
        <v/>
      </c>
      <c r="BM413" s="3" t="str">
        <f t="shared" si="1601"/>
        <v/>
      </c>
      <c r="BN413" s="3" t="str">
        <f t="shared" si="1601"/>
        <v/>
      </c>
      <c r="BO413" s="3" t="str">
        <f t="shared" si="1601"/>
        <v/>
      </c>
      <c r="BP413" s="3" t="str">
        <f t="shared" si="1601"/>
        <v/>
      </c>
      <c r="BQ413" s="3" t="str">
        <f t="shared" si="1601"/>
        <v/>
      </c>
      <c r="BR413" s="3" t="str">
        <f t="shared" si="1601"/>
        <v/>
      </c>
      <c r="BS413" s="3" t="str">
        <f t="shared" si="1601"/>
        <v/>
      </c>
      <c r="BT413" s="3" t="str">
        <f t="shared" si="1601"/>
        <v/>
      </c>
      <c r="BU413" s="3" t="str">
        <f t="shared" si="1601"/>
        <v/>
      </c>
      <c r="BV413" s="3" t="str">
        <f t="shared" si="1601"/>
        <v/>
      </c>
      <c r="BW413" s="3" t="str">
        <f t="shared" si="1601"/>
        <v/>
      </c>
      <c r="BX413" s="3" t="str">
        <f t="shared" si="1601"/>
        <v/>
      </c>
      <c r="BY413" s="3" t="str">
        <f t="shared" si="1601"/>
        <v/>
      </c>
      <c r="BZ413" s="3" t="str">
        <f t="shared" si="1601"/>
        <v/>
      </c>
      <c r="CA413" s="3" t="str">
        <f t="shared" si="1601"/>
        <v/>
      </c>
      <c r="CB413" s="3" t="str">
        <f t="shared" ref="CB413" si="1602">IF(AK413=0,"",ROUNDUP(AK407/AK413,0))</f>
        <v/>
      </c>
      <c r="CC413" s="3" t="str">
        <f t="shared" ref="CC413" si="1603">IF(AL413=0,"",ROUNDUP(AL407/AL413,0))</f>
        <v/>
      </c>
    </row>
    <row r="414" spans="1:81" ht="17.100000000000001" customHeight="1" outlineLevel="1">
      <c r="A414" s="174"/>
      <c r="B414" s="30" t="s">
        <v>25</v>
      </c>
      <c r="C414" s="39"/>
      <c r="D414" s="39"/>
      <c r="E414" s="39"/>
      <c r="F414" s="39"/>
      <c r="G414" s="39"/>
      <c r="H414" s="39"/>
      <c r="I414" s="39"/>
      <c r="J414" s="39"/>
      <c r="K414" s="39"/>
      <c r="L414" s="39"/>
      <c r="M414" s="39"/>
      <c r="N414" s="39"/>
      <c r="O414" s="39"/>
      <c r="P414" s="39"/>
      <c r="Q414" s="39"/>
      <c r="R414" s="39"/>
      <c r="S414" s="39"/>
      <c r="T414" s="39"/>
      <c r="U414" s="39"/>
      <c r="V414" s="39"/>
      <c r="W414" s="39"/>
      <c r="X414" s="39"/>
      <c r="Y414" s="39"/>
      <c r="Z414" s="39"/>
      <c r="AA414" s="39"/>
      <c r="AB414" s="39"/>
      <c r="AC414" s="39"/>
      <c r="AD414" s="39"/>
      <c r="AE414" s="39"/>
      <c r="AF414" s="39"/>
      <c r="AG414" s="39"/>
      <c r="AH414" s="39"/>
      <c r="AI414" s="39"/>
      <c r="AJ414" s="39"/>
      <c r="AK414" s="39"/>
      <c r="AL414" s="39"/>
      <c r="AM414" s="39"/>
      <c r="AN414" s="40" t="str">
        <f t="shared" si="1592"/>
        <v/>
      </c>
      <c r="AO414" s="39"/>
      <c r="AP414" s="39"/>
      <c r="AQ414" s="42">
        <f t="shared" si="1593"/>
        <v>0</v>
      </c>
      <c r="AR414" s="25">
        <f t="shared" si="1594"/>
        <v>0</v>
      </c>
      <c r="AT414" s="3" t="str">
        <f t="shared" ref="AT414:CA414" si="1604">IF(C414=0,"",ROUNDUP(C407/C414,0))</f>
        <v/>
      </c>
      <c r="AU414" s="3" t="str">
        <f t="shared" si="1604"/>
        <v/>
      </c>
      <c r="AV414" s="3" t="str">
        <f t="shared" si="1604"/>
        <v/>
      </c>
      <c r="AW414" s="3" t="str">
        <f t="shared" si="1604"/>
        <v/>
      </c>
      <c r="AX414" s="3" t="str">
        <f t="shared" si="1604"/>
        <v/>
      </c>
      <c r="AY414" s="3" t="str">
        <f t="shared" si="1604"/>
        <v/>
      </c>
      <c r="AZ414" s="3" t="str">
        <f t="shared" si="1604"/>
        <v/>
      </c>
      <c r="BA414" s="3" t="str">
        <f t="shared" si="1604"/>
        <v/>
      </c>
      <c r="BB414" s="3" t="str">
        <f t="shared" si="1604"/>
        <v/>
      </c>
      <c r="BC414" s="3" t="str">
        <f t="shared" si="1604"/>
        <v/>
      </c>
      <c r="BD414" s="3" t="str">
        <f t="shared" si="1604"/>
        <v/>
      </c>
      <c r="BE414" s="3" t="str">
        <f t="shared" si="1604"/>
        <v/>
      </c>
      <c r="BF414" s="3" t="str">
        <f t="shared" si="1604"/>
        <v/>
      </c>
      <c r="BG414" s="3" t="str">
        <f t="shared" si="1604"/>
        <v/>
      </c>
      <c r="BH414" s="3" t="str">
        <f t="shared" si="1604"/>
        <v/>
      </c>
      <c r="BI414" s="3" t="str">
        <f t="shared" si="1604"/>
        <v/>
      </c>
      <c r="BJ414" s="3" t="str">
        <f t="shared" si="1604"/>
        <v/>
      </c>
      <c r="BK414" s="3" t="str">
        <f t="shared" si="1604"/>
        <v/>
      </c>
      <c r="BL414" s="3" t="str">
        <f t="shared" si="1604"/>
        <v/>
      </c>
      <c r="BM414" s="3" t="str">
        <f t="shared" si="1604"/>
        <v/>
      </c>
      <c r="BN414" s="3" t="str">
        <f t="shared" si="1604"/>
        <v/>
      </c>
      <c r="BO414" s="3" t="str">
        <f t="shared" si="1604"/>
        <v/>
      </c>
      <c r="BP414" s="3" t="str">
        <f t="shared" si="1604"/>
        <v/>
      </c>
      <c r="BQ414" s="3" t="str">
        <f t="shared" si="1604"/>
        <v/>
      </c>
      <c r="BR414" s="3" t="str">
        <f t="shared" si="1604"/>
        <v/>
      </c>
      <c r="BS414" s="3" t="str">
        <f t="shared" si="1604"/>
        <v/>
      </c>
      <c r="BT414" s="3" t="str">
        <f t="shared" si="1604"/>
        <v/>
      </c>
      <c r="BU414" s="3" t="str">
        <f t="shared" si="1604"/>
        <v/>
      </c>
      <c r="BV414" s="3" t="str">
        <f t="shared" si="1604"/>
        <v/>
      </c>
      <c r="BW414" s="3" t="str">
        <f t="shared" si="1604"/>
        <v/>
      </c>
      <c r="BX414" s="3" t="str">
        <f t="shared" si="1604"/>
        <v/>
      </c>
      <c r="BY414" s="3" t="str">
        <f t="shared" si="1604"/>
        <v/>
      </c>
      <c r="BZ414" s="3" t="str">
        <f t="shared" si="1604"/>
        <v/>
      </c>
      <c r="CA414" s="3" t="str">
        <f t="shared" si="1604"/>
        <v/>
      </c>
      <c r="CB414" s="3" t="str">
        <f t="shared" ref="CB414" si="1605">IF(AK414=0,"",ROUNDUP(AK407/AK414,0))</f>
        <v/>
      </c>
      <c r="CC414" s="3" t="str">
        <f t="shared" ref="CC414" si="1606">IF(AL414=0,"",ROUNDUP(AL407/AL414,0))</f>
        <v/>
      </c>
    </row>
    <row r="415" spans="1:81" ht="17.100000000000001" customHeight="1" outlineLevel="1">
      <c r="A415" s="174"/>
      <c r="B415" s="30" t="s">
        <v>26</v>
      </c>
      <c r="C415" s="39"/>
      <c r="D415" s="39"/>
      <c r="E415" s="39"/>
      <c r="F415" s="39"/>
      <c r="G415" s="39"/>
      <c r="H415" s="39"/>
      <c r="I415" s="39"/>
      <c r="J415" s="39"/>
      <c r="K415" s="39"/>
      <c r="L415" s="39"/>
      <c r="M415" s="39"/>
      <c r="N415" s="39"/>
      <c r="O415" s="39"/>
      <c r="P415" s="39"/>
      <c r="Q415" s="39"/>
      <c r="R415" s="39"/>
      <c r="S415" s="39"/>
      <c r="T415" s="39"/>
      <c r="U415" s="39"/>
      <c r="V415" s="39"/>
      <c r="W415" s="39"/>
      <c r="X415" s="39"/>
      <c r="Y415" s="39"/>
      <c r="Z415" s="39"/>
      <c r="AA415" s="39"/>
      <c r="AB415" s="39"/>
      <c r="AC415" s="39"/>
      <c r="AD415" s="39"/>
      <c r="AE415" s="39"/>
      <c r="AF415" s="39"/>
      <c r="AG415" s="39"/>
      <c r="AH415" s="39"/>
      <c r="AI415" s="39"/>
      <c r="AJ415" s="39"/>
      <c r="AK415" s="39"/>
      <c r="AL415" s="39"/>
      <c r="AM415" s="39"/>
      <c r="AN415" s="40" t="str">
        <f>IF(AM415="","",SUM(C415:AL415)*AM415)</f>
        <v/>
      </c>
      <c r="AO415" s="39"/>
      <c r="AP415" s="39"/>
      <c r="AQ415" s="42">
        <f t="shared" si="1593"/>
        <v>0</v>
      </c>
      <c r="AR415" s="25">
        <f t="shared" si="1594"/>
        <v>0</v>
      </c>
      <c r="AT415" s="3" t="str">
        <f t="shared" ref="AT415:CA415" si="1607">IF(C415=0,"",ROUNDUP(C407/C415,0))</f>
        <v/>
      </c>
      <c r="AU415" s="3" t="str">
        <f t="shared" si="1607"/>
        <v/>
      </c>
      <c r="AV415" s="3" t="str">
        <f t="shared" si="1607"/>
        <v/>
      </c>
      <c r="AW415" s="3" t="str">
        <f t="shared" si="1607"/>
        <v/>
      </c>
      <c r="AX415" s="3" t="str">
        <f t="shared" si="1607"/>
        <v/>
      </c>
      <c r="AY415" s="3" t="str">
        <f t="shared" si="1607"/>
        <v/>
      </c>
      <c r="AZ415" s="3" t="str">
        <f t="shared" si="1607"/>
        <v/>
      </c>
      <c r="BA415" s="3" t="str">
        <f t="shared" si="1607"/>
        <v/>
      </c>
      <c r="BB415" s="3" t="str">
        <f t="shared" si="1607"/>
        <v/>
      </c>
      <c r="BC415" s="3" t="str">
        <f t="shared" si="1607"/>
        <v/>
      </c>
      <c r="BD415" s="3" t="str">
        <f t="shared" si="1607"/>
        <v/>
      </c>
      <c r="BE415" s="3" t="str">
        <f t="shared" si="1607"/>
        <v/>
      </c>
      <c r="BF415" s="3" t="str">
        <f t="shared" si="1607"/>
        <v/>
      </c>
      <c r="BG415" s="3" t="str">
        <f t="shared" si="1607"/>
        <v/>
      </c>
      <c r="BH415" s="3" t="str">
        <f t="shared" si="1607"/>
        <v/>
      </c>
      <c r="BI415" s="3" t="str">
        <f t="shared" si="1607"/>
        <v/>
      </c>
      <c r="BJ415" s="3" t="str">
        <f t="shared" si="1607"/>
        <v/>
      </c>
      <c r="BK415" s="3" t="str">
        <f t="shared" si="1607"/>
        <v/>
      </c>
      <c r="BL415" s="3" t="str">
        <f t="shared" si="1607"/>
        <v/>
      </c>
      <c r="BM415" s="3" t="str">
        <f t="shared" si="1607"/>
        <v/>
      </c>
      <c r="BN415" s="3" t="str">
        <f t="shared" si="1607"/>
        <v/>
      </c>
      <c r="BO415" s="3" t="str">
        <f t="shared" si="1607"/>
        <v/>
      </c>
      <c r="BP415" s="3" t="str">
        <f t="shared" si="1607"/>
        <v/>
      </c>
      <c r="BQ415" s="3" t="str">
        <f t="shared" si="1607"/>
        <v/>
      </c>
      <c r="BR415" s="3" t="str">
        <f t="shared" si="1607"/>
        <v/>
      </c>
      <c r="BS415" s="3" t="str">
        <f t="shared" si="1607"/>
        <v/>
      </c>
      <c r="BT415" s="3" t="str">
        <f t="shared" si="1607"/>
        <v/>
      </c>
      <c r="BU415" s="3" t="str">
        <f t="shared" si="1607"/>
        <v/>
      </c>
      <c r="BV415" s="3" t="str">
        <f t="shared" si="1607"/>
        <v/>
      </c>
      <c r="BW415" s="3" t="str">
        <f t="shared" si="1607"/>
        <v/>
      </c>
      <c r="BX415" s="3" t="str">
        <f t="shared" si="1607"/>
        <v/>
      </c>
      <c r="BY415" s="3" t="str">
        <f t="shared" si="1607"/>
        <v/>
      </c>
      <c r="BZ415" s="3" t="str">
        <f t="shared" si="1607"/>
        <v/>
      </c>
      <c r="CA415" s="3" t="str">
        <f t="shared" si="1607"/>
        <v/>
      </c>
      <c r="CB415" s="3" t="str">
        <f t="shared" ref="CB415" si="1608">IF(AK415=0,"",ROUNDUP(AK407/AK415,0))</f>
        <v/>
      </c>
      <c r="CC415" s="3" t="str">
        <f t="shared" ref="CC415" si="1609">IF(AL415=0,"",ROUNDUP(AL407/AL415,0))</f>
        <v/>
      </c>
    </row>
    <row r="416" spans="1:81" ht="17.100000000000001" customHeight="1" outlineLevel="1">
      <c r="A416" s="174"/>
      <c r="B416" s="30" t="s">
        <v>27</v>
      </c>
      <c r="C416" s="39"/>
      <c r="D416" s="39"/>
      <c r="E416" s="39"/>
      <c r="F416" s="39"/>
      <c r="G416" s="39"/>
      <c r="H416" s="39"/>
      <c r="I416" s="39"/>
      <c r="J416" s="39"/>
      <c r="K416" s="39"/>
      <c r="L416" s="39"/>
      <c r="M416" s="39"/>
      <c r="N416" s="39"/>
      <c r="O416" s="39"/>
      <c r="P416" s="39"/>
      <c r="Q416" s="39"/>
      <c r="R416" s="39"/>
      <c r="S416" s="39"/>
      <c r="T416" s="39"/>
      <c r="U416" s="39"/>
      <c r="V416" s="39"/>
      <c r="W416" s="39"/>
      <c r="X416" s="39"/>
      <c r="Y416" s="39"/>
      <c r="Z416" s="39"/>
      <c r="AA416" s="39"/>
      <c r="AB416" s="39"/>
      <c r="AC416" s="39"/>
      <c r="AD416" s="39"/>
      <c r="AE416" s="39"/>
      <c r="AF416" s="39"/>
      <c r="AG416" s="39"/>
      <c r="AH416" s="39"/>
      <c r="AI416" s="39"/>
      <c r="AJ416" s="39"/>
      <c r="AK416" s="39"/>
      <c r="AL416" s="39"/>
      <c r="AM416" s="39"/>
      <c r="AN416" s="40" t="str">
        <f t="shared" ref="AN416:AN417" si="1610">IF(AM416="","",SUM(C416:AL416)*AM416)</f>
        <v/>
      </c>
      <c r="AO416" s="39"/>
      <c r="AP416" s="39"/>
      <c r="AQ416" s="42">
        <f t="shared" si="1593"/>
        <v>0</v>
      </c>
      <c r="AR416" s="25">
        <f t="shared" si="1594"/>
        <v>0</v>
      </c>
      <c r="AT416" s="3" t="str">
        <f t="shared" ref="AT416:CA416" si="1611">IF(C416=0,"",ROUNDUP(C407/C416,0))</f>
        <v/>
      </c>
      <c r="AU416" s="3" t="str">
        <f t="shared" si="1611"/>
        <v/>
      </c>
      <c r="AV416" s="3" t="str">
        <f t="shared" si="1611"/>
        <v/>
      </c>
      <c r="AW416" s="3" t="str">
        <f t="shared" si="1611"/>
        <v/>
      </c>
      <c r="AX416" s="3" t="str">
        <f t="shared" si="1611"/>
        <v/>
      </c>
      <c r="AY416" s="3" t="str">
        <f t="shared" si="1611"/>
        <v/>
      </c>
      <c r="AZ416" s="3" t="str">
        <f t="shared" si="1611"/>
        <v/>
      </c>
      <c r="BA416" s="3" t="str">
        <f t="shared" si="1611"/>
        <v/>
      </c>
      <c r="BB416" s="3" t="str">
        <f t="shared" si="1611"/>
        <v/>
      </c>
      <c r="BC416" s="3" t="str">
        <f t="shared" si="1611"/>
        <v/>
      </c>
      <c r="BD416" s="3" t="str">
        <f t="shared" si="1611"/>
        <v/>
      </c>
      <c r="BE416" s="3" t="str">
        <f t="shared" si="1611"/>
        <v/>
      </c>
      <c r="BF416" s="3" t="str">
        <f t="shared" si="1611"/>
        <v/>
      </c>
      <c r="BG416" s="3" t="str">
        <f t="shared" si="1611"/>
        <v/>
      </c>
      <c r="BH416" s="3" t="str">
        <f t="shared" si="1611"/>
        <v/>
      </c>
      <c r="BI416" s="3" t="str">
        <f t="shared" si="1611"/>
        <v/>
      </c>
      <c r="BJ416" s="3" t="str">
        <f t="shared" si="1611"/>
        <v/>
      </c>
      <c r="BK416" s="3" t="str">
        <f t="shared" si="1611"/>
        <v/>
      </c>
      <c r="BL416" s="3" t="str">
        <f t="shared" si="1611"/>
        <v/>
      </c>
      <c r="BM416" s="3" t="str">
        <f t="shared" si="1611"/>
        <v/>
      </c>
      <c r="BN416" s="3" t="str">
        <f t="shared" si="1611"/>
        <v/>
      </c>
      <c r="BO416" s="3" t="str">
        <f t="shared" si="1611"/>
        <v/>
      </c>
      <c r="BP416" s="3" t="str">
        <f t="shared" si="1611"/>
        <v/>
      </c>
      <c r="BQ416" s="3" t="str">
        <f t="shared" si="1611"/>
        <v/>
      </c>
      <c r="BR416" s="3" t="str">
        <f t="shared" si="1611"/>
        <v/>
      </c>
      <c r="BS416" s="3" t="str">
        <f t="shared" si="1611"/>
        <v/>
      </c>
      <c r="BT416" s="3" t="str">
        <f t="shared" si="1611"/>
        <v/>
      </c>
      <c r="BU416" s="3" t="str">
        <f t="shared" si="1611"/>
        <v/>
      </c>
      <c r="BV416" s="3" t="str">
        <f t="shared" si="1611"/>
        <v/>
      </c>
      <c r="BW416" s="3" t="str">
        <f t="shared" si="1611"/>
        <v/>
      </c>
      <c r="BX416" s="3" t="str">
        <f t="shared" si="1611"/>
        <v/>
      </c>
      <c r="BY416" s="3" t="str">
        <f t="shared" si="1611"/>
        <v/>
      </c>
      <c r="BZ416" s="3" t="str">
        <f t="shared" si="1611"/>
        <v/>
      </c>
      <c r="CA416" s="3" t="str">
        <f t="shared" si="1611"/>
        <v/>
      </c>
      <c r="CB416" s="3" t="str">
        <f t="shared" ref="CB416" si="1612">IF(AK416=0,"",ROUNDUP(AK407/AK416,0))</f>
        <v/>
      </c>
      <c r="CC416" s="3" t="str">
        <f t="shared" ref="CC416" si="1613">IF(AL416=0,"",ROUNDUP(AL407/AL416,0))</f>
        <v/>
      </c>
    </row>
    <row r="417" spans="1:81" ht="17.100000000000001" customHeight="1" outlineLevel="1">
      <c r="A417" s="175"/>
      <c r="B417" s="30" t="s">
        <v>28</v>
      </c>
      <c r="C417" s="39"/>
      <c r="D417" s="39"/>
      <c r="E417" s="39"/>
      <c r="F417" s="39"/>
      <c r="G417" s="39"/>
      <c r="H417" s="39"/>
      <c r="I417" s="39"/>
      <c r="J417" s="39"/>
      <c r="K417" s="39"/>
      <c r="L417" s="39"/>
      <c r="M417" s="39"/>
      <c r="N417" s="39"/>
      <c r="O417" s="39"/>
      <c r="P417" s="39"/>
      <c r="Q417" s="39"/>
      <c r="R417" s="39"/>
      <c r="S417" s="39"/>
      <c r="T417" s="39"/>
      <c r="U417" s="39"/>
      <c r="V417" s="39"/>
      <c r="W417" s="39"/>
      <c r="X417" s="39"/>
      <c r="Y417" s="39"/>
      <c r="Z417" s="39"/>
      <c r="AA417" s="39"/>
      <c r="AB417" s="39"/>
      <c r="AC417" s="39"/>
      <c r="AD417" s="39"/>
      <c r="AE417" s="39"/>
      <c r="AF417" s="39"/>
      <c r="AG417" s="39"/>
      <c r="AH417" s="39"/>
      <c r="AI417" s="39"/>
      <c r="AJ417" s="39"/>
      <c r="AK417" s="39"/>
      <c r="AL417" s="39"/>
      <c r="AM417" s="39"/>
      <c r="AN417" s="41" t="str">
        <f t="shared" si="1610"/>
        <v/>
      </c>
      <c r="AO417" s="39"/>
      <c r="AP417" s="39"/>
      <c r="AQ417" s="42">
        <f t="shared" si="1593"/>
        <v>0</v>
      </c>
      <c r="AR417" s="25">
        <f t="shared" si="1594"/>
        <v>0</v>
      </c>
      <c r="AT417" s="3" t="str">
        <f t="shared" ref="AT417:CA417" si="1614">IF(C417=0,"",ROUNDUP(C407/C417,0))</f>
        <v/>
      </c>
      <c r="AU417" s="3" t="str">
        <f t="shared" si="1614"/>
        <v/>
      </c>
      <c r="AV417" s="3" t="str">
        <f t="shared" si="1614"/>
        <v/>
      </c>
      <c r="AW417" s="3" t="str">
        <f t="shared" si="1614"/>
        <v/>
      </c>
      <c r="AX417" s="3" t="str">
        <f t="shared" si="1614"/>
        <v/>
      </c>
      <c r="AY417" s="3" t="str">
        <f t="shared" si="1614"/>
        <v/>
      </c>
      <c r="AZ417" s="3" t="str">
        <f t="shared" si="1614"/>
        <v/>
      </c>
      <c r="BA417" s="3" t="str">
        <f t="shared" si="1614"/>
        <v/>
      </c>
      <c r="BB417" s="3" t="str">
        <f t="shared" si="1614"/>
        <v/>
      </c>
      <c r="BC417" s="3" t="str">
        <f t="shared" si="1614"/>
        <v/>
      </c>
      <c r="BD417" s="3" t="str">
        <f t="shared" si="1614"/>
        <v/>
      </c>
      <c r="BE417" s="3" t="str">
        <f t="shared" si="1614"/>
        <v/>
      </c>
      <c r="BF417" s="3" t="str">
        <f t="shared" si="1614"/>
        <v/>
      </c>
      <c r="BG417" s="3" t="str">
        <f t="shared" si="1614"/>
        <v/>
      </c>
      <c r="BH417" s="3" t="str">
        <f t="shared" si="1614"/>
        <v/>
      </c>
      <c r="BI417" s="3" t="str">
        <f t="shared" si="1614"/>
        <v/>
      </c>
      <c r="BJ417" s="3" t="str">
        <f t="shared" si="1614"/>
        <v/>
      </c>
      <c r="BK417" s="3" t="str">
        <f t="shared" si="1614"/>
        <v/>
      </c>
      <c r="BL417" s="3" t="str">
        <f t="shared" si="1614"/>
        <v/>
      </c>
      <c r="BM417" s="3" t="str">
        <f t="shared" si="1614"/>
        <v/>
      </c>
      <c r="BN417" s="3" t="str">
        <f t="shared" si="1614"/>
        <v/>
      </c>
      <c r="BO417" s="3" t="str">
        <f t="shared" si="1614"/>
        <v/>
      </c>
      <c r="BP417" s="3" t="str">
        <f t="shared" si="1614"/>
        <v/>
      </c>
      <c r="BQ417" s="3" t="str">
        <f t="shared" si="1614"/>
        <v/>
      </c>
      <c r="BR417" s="3" t="str">
        <f t="shared" si="1614"/>
        <v/>
      </c>
      <c r="BS417" s="3" t="str">
        <f t="shared" si="1614"/>
        <v/>
      </c>
      <c r="BT417" s="3" t="str">
        <f t="shared" si="1614"/>
        <v/>
      </c>
      <c r="BU417" s="3" t="str">
        <f t="shared" si="1614"/>
        <v/>
      </c>
      <c r="BV417" s="3" t="str">
        <f t="shared" si="1614"/>
        <v/>
      </c>
      <c r="BW417" s="3" t="str">
        <f t="shared" si="1614"/>
        <v/>
      </c>
      <c r="BX417" s="3" t="str">
        <f t="shared" si="1614"/>
        <v/>
      </c>
      <c r="BY417" s="3" t="str">
        <f t="shared" si="1614"/>
        <v/>
      </c>
      <c r="BZ417" s="3" t="str">
        <f t="shared" si="1614"/>
        <v/>
      </c>
      <c r="CA417" s="3" t="str">
        <f t="shared" si="1614"/>
        <v/>
      </c>
      <c r="CB417" s="3" t="str">
        <f t="shared" ref="CB417" si="1615">IF(AK417=0,"",ROUNDUP(AK407/AK417,0))</f>
        <v/>
      </c>
      <c r="CC417" s="3" t="str">
        <f t="shared" ref="CC417" si="1616">IF(AL417=0,"",ROUNDUP(AL407/AL417,0))</f>
        <v/>
      </c>
    </row>
  </sheetData>
  <sheetProtection algorithmName="SHA-512" hashValue="DNRHDoekVgJiyvFeJk+hREE3Xm7sgqUQUOlqLcocy+NcmyC0C9cx73iMruTFdiryTHXFkcHW2ny31iwAhyEIKQ==" saltValue="m135cmhmnttMMr6mNamxzw==" spinCount="100000" sheet="1" objects="1" scenarios="1"/>
  <mergeCells count="423">
    <mergeCell ref="AQ408:AQ409"/>
    <mergeCell ref="A410:A417"/>
    <mergeCell ref="A406:A407"/>
    <mergeCell ref="B406:B407"/>
    <mergeCell ref="AP406:AQ406"/>
    <mergeCell ref="AN407:AO407"/>
    <mergeCell ref="AP407:AQ407"/>
    <mergeCell ref="A408:B409"/>
    <mergeCell ref="C408:AL409"/>
    <mergeCell ref="AM408:AM409"/>
    <mergeCell ref="AN408:AN409"/>
    <mergeCell ref="AO408:AP408"/>
    <mergeCell ref="AQ392:AQ393"/>
    <mergeCell ref="A394:A401"/>
    <mergeCell ref="A403:C403"/>
    <mergeCell ref="C404:AL404"/>
    <mergeCell ref="AP404:AQ404"/>
    <mergeCell ref="AP405:AQ405"/>
    <mergeCell ref="A390:A391"/>
    <mergeCell ref="B390:B391"/>
    <mergeCell ref="AP390:AQ390"/>
    <mergeCell ref="AN391:AO391"/>
    <mergeCell ref="AP391:AQ391"/>
    <mergeCell ref="A392:B393"/>
    <mergeCell ref="C392:AL393"/>
    <mergeCell ref="AM392:AM393"/>
    <mergeCell ref="AN392:AN393"/>
    <mergeCell ref="AO392:AP392"/>
    <mergeCell ref="AQ376:AQ377"/>
    <mergeCell ref="A378:A385"/>
    <mergeCell ref="A387:C387"/>
    <mergeCell ref="C388:AL388"/>
    <mergeCell ref="AP388:AQ388"/>
    <mergeCell ref="AP389:AQ389"/>
    <mergeCell ref="A374:A375"/>
    <mergeCell ref="B374:B375"/>
    <mergeCell ref="AP374:AQ374"/>
    <mergeCell ref="AN375:AO375"/>
    <mergeCell ref="AP375:AQ375"/>
    <mergeCell ref="A376:B377"/>
    <mergeCell ref="C376:AL377"/>
    <mergeCell ref="AM376:AM377"/>
    <mergeCell ref="AN376:AN377"/>
    <mergeCell ref="AO376:AP376"/>
    <mergeCell ref="AQ360:AQ361"/>
    <mergeCell ref="A362:A369"/>
    <mergeCell ref="A371:C371"/>
    <mergeCell ref="C372:AL372"/>
    <mergeCell ref="AP372:AQ372"/>
    <mergeCell ref="AP373:AQ373"/>
    <mergeCell ref="A358:A359"/>
    <mergeCell ref="B358:B359"/>
    <mergeCell ref="AP358:AQ358"/>
    <mergeCell ref="AN359:AO359"/>
    <mergeCell ref="AP359:AQ359"/>
    <mergeCell ref="A360:B361"/>
    <mergeCell ref="C360:AL361"/>
    <mergeCell ref="AM360:AM361"/>
    <mergeCell ref="AN360:AN361"/>
    <mergeCell ref="AO360:AP360"/>
    <mergeCell ref="AQ344:AQ345"/>
    <mergeCell ref="A346:A353"/>
    <mergeCell ref="A355:C355"/>
    <mergeCell ref="C356:AL356"/>
    <mergeCell ref="AP356:AQ356"/>
    <mergeCell ref="AP357:AQ357"/>
    <mergeCell ref="A342:A343"/>
    <mergeCell ref="B342:B343"/>
    <mergeCell ref="AP342:AQ342"/>
    <mergeCell ref="AN343:AO343"/>
    <mergeCell ref="AP343:AQ343"/>
    <mergeCell ref="A344:B345"/>
    <mergeCell ref="C344:AL345"/>
    <mergeCell ref="AM344:AM345"/>
    <mergeCell ref="AN344:AN345"/>
    <mergeCell ref="AO344:AP344"/>
    <mergeCell ref="AQ328:AQ329"/>
    <mergeCell ref="A330:A337"/>
    <mergeCell ref="A339:C339"/>
    <mergeCell ref="C340:AL340"/>
    <mergeCell ref="AP340:AQ340"/>
    <mergeCell ref="AP341:AQ341"/>
    <mergeCell ref="A326:A327"/>
    <mergeCell ref="B326:B327"/>
    <mergeCell ref="AP326:AQ326"/>
    <mergeCell ref="AN327:AO327"/>
    <mergeCell ref="AP327:AQ327"/>
    <mergeCell ref="A328:B329"/>
    <mergeCell ref="C328:AL329"/>
    <mergeCell ref="AM328:AM329"/>
    <mergeCell ref="AN328:AN329"/>
    <mergeCell ref="AO328:AP328"/>
    <mergeCell ref="AQ312:AQ313"/>
    <mergeCell ref="A314:A321"/>
    <mergeCell ref="A323:C323"/>
    <mergeCell ref="C324:AL324"/>
    <mergeCell ref="AP324:AQ324"/>
    <mergeCell ref="AP325:AQ325"/>
    <mergeCell ref="A310:A311"/>
    <mergeCell ref="B310:B311"/>
    <mergeCell ref="AP310:AQ310"/>
    <mergeCell ref="AN311:AO311"/>
    <mergeCell ref="AP311:AQ311"/>
    <mergeCell ref="A312:B313"/>
    <mergeCell ref="C312:AL313"/>
    <mergeCell ref="AM312:AM313"/>
    <mergeCell ref="AN312:AN313"/>
    <mergeCell ref="AO312:AP312"/>
    <mergeCell ref="AQ296:AQ297"/>
    <mergeCell ref="A298:A305"/>
    <mergeCell ref="A307:C307"/>
    <mergeCell ref="C308:AL308"/>
    <mergeCell ref="AP308:AQ308"/>
    <mergeCell ref="AP309:AQ309"/>
    <mergeCell ref="A294:A295"/>
    <mergeCell ref="B294:B295"/>
    <mergeCell ref="AP294:AQ294"/>
    <mergeCell ref="AN295:AO295"/>
    <mergeCell ref="AP295:AQ295"/>
    <mergeCell ref="A296:B297"/>
    <mergeCell ref="C296:AL297"/>
    <mergeCell ref="AM296:AM297"/>
    <mergeCell ref="AN296:AN297"/>
    <mergeCell ref="AO296:AP296"/>
    <mergeCell ref="AQ280:AQ281"/>
    <mergeCell ref="A282:A289"/>
    <mergeCell ref="A291:C291"/>
    <mergeCell ref="C292:AL292"/>
    <mergeCell ref="AP292:AQ292"/>
    <mergeCell ref="AP293:AQ293"/>
    <mergeCell ref="A278:A279"/>
    <mergeCell ref="B278:B279"/>
    <mergeCell ref="AP278:AQ278"/>
    <mergeCell ref="AN279:AO279"/>
    <mergeCell ref="AP279:AQ279"/>
    <mergeCell ref="A280:B281"/>
    <mergeCell ref="C280:AL281"/>
    <mergeCell ref="AM280:AM281"/>
    <mergeCell ref="AN280:AN281"/>
    <mergeCell ref="AO280:AP280"/>
    <mergeCell ref="AQ264:AQ265"/>
    <mergeCell ref="A266:A273"/>
    <mergeCell ref="A275:C275"/>
    <mergeCell ref="C276:AL276"/>
    <mergeCell ref="AP276:AQ276"/>
    <mergeCell ref="AP277:AQ277"/>
    <mergeCell ref="A262:A263"/>
    <mergeCell ref="B262:B263"/>
    <mergeCell ref="AP262:AQ262"/>
    <mergeCell ref="AN263:AO263"/>
    <mergeCell ref="AP263:AQ263"/>
    <mergeCell ref="A264:B265"/>
    <mergeCell ref="C264:AL265"/>
    <mergeCell ref="AM264:AM265"/>
    <mergeCell ref="AN264:AN265"/>
    <mergeCell ref="AO264:AP264"/>
    <mergeCell ref="AQ248:AQ249"/>
    <mergeCell ref="A250:A257"/>
    <mergeCell ref="A259:C259"/>
    <mergeCell ref="C260:AL260"/>
    <mergeCell ref="AP260:AQ260"/>
    <mergeCell ref="AP261:AQ261"/>
    <mergeCell ref="A246:A247"/>
    <mergeCell ref="B246:B247"/>
    <mergeCell ref="AP246:AQ246"/>
    <mergeCell ref="AN247:AO247"/>
    <mergeCell ref="AP247:AQ247"/>
    <mergeCell ref="A248:B249"/>
    <mergeCell ref="C248:AL249"/>
    <mergeCell ref="AM248:AM249"/>
    <mergeCell ref="AN248:AN249"/>
    <mergeCell ref="AO248:AP248"/>
    <mergeCell ref="AQ232:AQ233"/>
    <mergeCell ref="A234:A241"/>
    <mergeCell ref="A243:C243"/>
    <mergeCell ref="C244:AL244"/>
    <mergeCell ref="AP244:AQ244"/>
    <mergeCell ref="AP245:AQ245"/>
    <mergeCell ref="A230:A231"/>
    <mergeCell ref="B230:B231"/>
    <mergeCell ref="AP230:AQ230"/>
    <mergeCell ref="AN231:AO231"/>
    <mergeCell ref="AP231:AQ231"/>
    <mergeCell ref="A232:B233"/>
    <mergeCell ref="C232:AL233"/>
    <mergeCell ref="AM232:AM233"/>
    <mergeCell ref="AN232:AN233"/>
    <mergeCell ref="AO232:AP232"/>
    <mergeCell ref="AQ216:AQ217"/>
    <mergeCell ref="A218:A225"/>
    <mergeCell ref="A227:C227"/>
    <mergeCell ref="C228:AL228"/>
    <mergeCell ref="AP228:AQ228"/>
    <mergeCell ref="AP229:AQ229"/>
    <mergeCell ref="A214:A215"/>
    <mergeCell ref="B214:B215"/>
    <mergeCell ref="AP214:AQ214"/>
    <mergeCell ref="AN215:AO215"/>
    <mergeCell ref="AP215:AQ215"/>
    <mergeCell ref="A216:B217"/>
    <mergeCell ref="C216:AL217"/>
    <mergeCell ref="AM216:AM217"/>
    <mergeCell ref="AN216:AN217"/>
    <mergeCell ref="AO216:AP216"/>
    <mergeCell ref="AQ200:AQ201"/>
    <mergeCell ref="A202:A209"/>
    <mergeCell ref="A211:C211"/>
    <mergeCell ref="C212:AL212"/>
    <mergeCell ref="AP212:AQ212"/>
    <mergeCell ref="AP213:AQ213"/>
    <mergeCell ref="A198:A199"/>
    <mergeCell ref="B198:B199"/>
    <mergeCell ref="AP198:AQ198"/>
    <mergeCell ref="AN199:AO199"/>
    <mergeCell ref="AP199:AQ199"/>
    <mergeCell ref="A200:B201"/>
    <mergeCell ref="C200:AL201"/>
    <mergeCell ref="AM200:AM201"/>
    <mergeCell ref="AN200:AN201"/>
    <mergeCell ref="AO200:AP200"/>
    <mergeCell ref="AQ184:AQ185"/>
    <mergeCell ref="A186:A193"/>
    <mergeCell ref="A195:C195"/>
    <mergeCell ref="C196:AL196"/>
    <mergeCell ref="AP196:AQ196"/>
    <mergeCell ref="AP197:AQ197"/>
    <mergeCell ref="A182:A183"/>
    <mergeCell ref="B182:B183"/>
    <mergeCell ref="AP182:AQ182"/>
    <mergeCell ref="AN183:AO183"/>
    <mergeCell ref="AP183:AQ183"/>
    <mergeCell ref="A184:B185"/>
    <mergeCell ref="C184:AL185"/>
    <mergeCell ref="AM184:AM185"/>
    <mergeCell ref="AN184:AN185"/>
    <mergeCell ref="AO184:AP184"/>
    <mergeCell ref="AQ168:AQ169"/>
    <mergeCell ref="A170:A177"/>
    <mergeCell ref="A179:C179"/>
    <mergeCell ref="C180:AL180"/>
    <mergeCell ref="AP180:AQ180"/>
    <mergeCell ref="AP181:AQ181"/>
    <mergeCell ref="A166:A167"/>
    <mergeCell ref="B166:B167"/>
    <mergeCell ref="AP166:AQ166"/>
    <mergeCell ref="AN167:AO167"/>
    <mergeCell ref="AP167:AQ167"/>
    <mergeCell ref="A168:B169"/>
    <mergeCell ref="C168:AL169"/>
    <mergeCell ref="AM168:AM169"/>
    <mergeCell ref="AN168:AN169"/>
    <mergeCell ref="AO168:AP168"/>
    <mergeCell ref="AQ152:AQ153"/>
    <mergeCell ref="A154:A161"/>
    <mergeCell ref="A163:C163"/>
    <mergeCell ref="C164:AL164"/>
    <mergeCell ref="AP164:AQ164"/>
    <mergeCell ref="AP165:AQ165"/>
    <mergeCell ref="A150:A151"/>
    <mergeCell ref="B150:B151"/>
    <mergeCell ref="AP150:AQ150"/>
    <mergeCell ref="AN151:AO151"/>
    <mergeCell ref="AP151:AQ151"/>
    <mergeCell ref="A152:B153"/>
    <mergeCell ref="C152:AL153"/>
    <mergeCell ref="AM152:AM153"/>
    <mergeCell ref="AN152:AN153"/>
    <mergeCell ref="AO152:AP152"/>
    <mergeCell ref="AQ136:AQ137"/>
    <mergeCell ref="A138:A145"/>
    <mergeCell ref="A147:C147"/>
    <mergeCell ref="C148:AL148"/>
    <mergeCell ref="AP148:AQ148"/>
    <mergeCell ref="AP149:AQ149"/>
    <mergeCell ref="A134:A135"/>
    <mergeCell ref="B134:B135"/>
    <mergeCell ref="AP134:AQ134"/>
    <mergeCell ref="AN135:AO135"/>
    <mergeCell ref="AP135:AQ135"/>
    <mergeCell ref="A136:B137"/>
    <mergeCell ref="C136:AL137"/>
    <mergeCell ref="AM136:AM137"/>
    <mergeCell ref="AN136:AN137"/>
    <mergeCell ref="AO136:AP136"/>
    <mergeCell ref="AQ120:AQ121"/>
    <mergeCell ref="A122:A129"/>
    <mergeCell ref="A131:C131"/>
    <mergeCell ref="C132:AL132"/>
    <mergeCell ref="AP132:AQ132"/>
    <mergeCell ref="AP133:AQ133"/>
    <mergeCell ref="A118:A119"/>
    <mergeCell ref="B118:B119"/>
    <mergeCell ref="AP118:AQ118"/>
    <mergeCell ref="AN119:AO119"/>
    <mergeCell ref="AP119:AQ119"/>
    <mergeCell ref="A120:B121"/>
    <mergeCell ref="C120:AL121"/>
    <mergeCell ref="AM120:AM121"/>
    <mergeCell ref="AN120:AN121"/>
    <mergeCell ref="AO120:AP120"/>
    <mergeCell ref="AQ104:AQ105"/>
    <mergeCell ref="A106:A113"/>
    <mergeCell ref="A115:C115"/>
    <mergeCell ref="C116:AL116"/>
    <mergeCell ref="AP116:AQ116"/>
    <mergeCell ref="AP117:AQ117"/>
    <mergeCell ref="A102:A103"/>
    <mergeCell ref="B102:B103"/>
    <mergeCell ref="AP102:AQ102"/>
    <mergeCell ref="AN103:AO103"/>
    <mergeCell ref="AP103:AQ103"/>
    <mergeCell ref="A104:B105"/>
    <mergeCell ref="C104:AL105"/>
    <mergeCell ref="AM104:AM105"/>
    <mergeCell ref="AN104:AN105"/>
    <mergeCell ref="AO104:AP104"/>
    <mergeCell ref="AQ88:AQ89"/>
    <mergeCell ref="A90:A97"/>
    <mergeCell ref="A99:C99"/>
    <mergeCell ref="C100:AL100"/>
    <mergeCell ref="AP100:AQ100"/>
    <mergeCell ref="AP101:AQ101"/>
    <mergeCell ref="A86:A87"/>
    <mergeCell ref="B86:B87"/>
    <mergeCell ref="AP86:AQ86"/>
    <mergeCell ref="AN87:AO87"/>
    <mergeCell ref="AP87:AQ87"/>
    <mergeCell ref="A88:B89"/>
    <mergeCell ref="C88:AL89"/>
    <mergeCell ref="AM88:AM89"/>
    <mergeCell ref="AN88:AN89"/>
    <mergeCell ref="AO88:AP88"/>
    <mergeCell ref="AQ72:AQ73"/>
    <mergeCell ref="A74:A81"/>
    <mergeCell ref="A83:C83"/>
    <mergeCell ref="C84:AL84"/>
    <mergeCell ref="AP84:AQ84"/>
    <mergeCell ref="AP85:AQ85"/>
    <mergeCell ref="A70:A71"/>
    <mergeCell ref="B70:B71"/>
    <mergeCell ref="AP70:AQ70"/>
    <mergeCell ref="AN71:AO71"/>
    <mergeCell ref="AP71:AQ71"/>
    <mergeCell ref="A72:B73"/>
    <mergeCell ref="C72:AL73"/>
    <mergeCell ref="AM72:AM73"/>
    <mergeCell ref="AN72:AN73"/>
    <mergeCell ref="AO72:AP72"/>
    <mergeCell ref="AQ56:AQ57"/>
    <mergeCell ref="A58:A65"/>
    <mergeCell ref="A67:C67"/>
    <mergeCell ref="C68:AL68"/>
    <mergeCell ref="AP68:AQ68"/>
    <mergeCell ref="AP69:AQ69"/>
    <mergeCell ref="A54:A55"/>
    <mergeCell ref="B54:B55"/>
    <mergeCell ref="AP54:AQ54"/>
    <mergeCell ref="AN55:AO55"/>
    <mergeCell ref="AP55:AQ55"/>
    <mergeCell ref="A56:B57"/>
    <mergeCell ref="C56:AL57"/>
    <mergeCell ref="AM56:AM57"/>
    <mergeCell ref="AN56:AN57"/>
    <mergeCell ref="AO56:AP56"/>
    <mergeCell ref="AQ40:AQ41"/>
    <mergeCell ref="A42:A49"/>
    <mergeCell ref="A51:C51"/>
    <mergeCell ref="C52:AL52"/>
    <mergeCell ref="AP52:AQ52"/>
    <mergeCell ref="AP53:AQ53"/>
    <mergeCell ref="A38:A39"/>
    <mergeCell ref="B38:B39"/>
    <mergeCell ref="AP38:AQ38"/>
    <mergeCell ref="AN39:AO39"/>
    <mergeCell ref="AP39:AQ39"/>
    <mergeCell ref="A40:B41"/>
    <mergeCell ref="C40:AL41"/>
    <mergeCell ref="AM40:AM41"/>
    <mergeCell ref="AN40:AN41"/>
    <mergeCell ref="AO40:AP40"/>
    <mergeCell ref="AQ24:AQ25"/>
    <mergeCell ref="A26:A33"/>
    <mergeCell ref="A35:C35"/>
    <mergeCell ref="C36:AL36"/>
    <mergeCell ref="AP36:AQ36"/>
    <mergeCell ref="AP37:AQ37"/>
    <mergeCell ref="A22:A23"/>
    <mergeCell ref="B22:B23"/>
    <mergeCell ref="AP22:AQ22"/>
    <mergeCell ref="AN23:AO23"/>
    <mergeCell ref="AP23:AQ23"/>
    <mergeCell ref="A24:B25"/>
    <mergeCell ref="C24:AL25"/>
    <mergeCell ref="AM24:AM25"/>
    <mergeCell ref="AN24:AN25"/>
    <mergeCell ref="AO24:AP24"/>
    <mergeCell ref="C20:AL20"/>
    <mergeCell ref="AP20:AQ20"/>
    <mergeCell ref="AP21:AQ21"/>
    <mergeCell ref="A8:B9"/>
    <mergeCell ref="C8:AL9"/>
    <mergeCell ref="AM8:AM9"/>
    <mergeCell ref="AN8:AN9"/>
    <mergeCell ref="AO8:AP8"/>
    <mergeCell ref="AQ8:AQ9"/>
    <mergeCell ref="AP5:AQ5"/>
    <mergeCell ref="A6:A7"/>
    <mergeCell ref="B6:B7"/>
    <mergeCell ref="AP6:AQ6"/>
    <mergeCell ref="AN7:AO7"/>
    <mergeCell ref="AP7:AQ7"/>
    <mergeCell ref="A10:A17"/>
    <mergeCell ref="CI12:CJ12"/>
    <mergeCell ref="A19:C19"/>
    <mergeCell ref="A1:AM1"/>
    <mergeCell ref="AO1:AQ1"/>
    <mergeCell ref="B2:E2"/>
    <mergeCell ref="G2:J2"/>
    <mergeCell ref="L2:AM2"/>
    <mergeCell ref="AN2:AQ2"/>
    <mergeCell ref="A3:C3"/>
    <mergeCell ref="C4:AL4"/>
    <mergeCell ref="AP4:AQ4"/>
  </mergeCells>
  <phoneticPr fontId="34" type="noConversion"/>
  <conditionalFormatting sqref="A3:C3">
    <cfRule type="notContainsBlanks" dxfId="523" priority="802">
      <formula>LEN(TRIM(A3))&gt;0</formula>
    </cfRule>
  </conditionalFormatting>
  <conditionalFormatting sqref="A19:C19">
    <cfRule type="notContainsBlanks" dxfId="522" priority="788">
      <formula>LEN(TRIM(A19))&gt;0</formula>
    </cfRule>
  </conditionalFormatting>
  <conditionalFormatting sqref="A35:C35">
    <cfRule type="notContainsBlanks" dxfId="521" priority="787">
      <formula>LEN(TRIM(A35))&gt;0</formula>
    </cfRule>
  </conditionalFormatting>
  <conditionalFormatting sqref="A51:C51">
    <cfRule type="notContainsBlanks" dxfId="520" priority="786">
      <formula>LEN(TRIM(A51))&gt;0</formula>
    </cfRule>
  </conditionalFormatting>
  <conditionalFormatting sqref="A67:C67">
    <cfRule type="notContainsBlanks" dxfId="519" priority="785">
      <formula>LEN(TRIM(A67))&gt;0</formula>
    </cfRule>
  </conditionalFormatting>
  <conditionalFormatting sqref="A83:C83">
    <cfRule type="notContainsBlanks" dxfId="518" priority="784">
      <formula>LEN(TRIM(A83))&gt;0</formula>
    </cfRule>
  </conditionalFormatting>
  <conditionalFormatting sqref="A99:C99">
    <cfRule type="notContainsBlanks" dxfId="517" priority="783">
      <formula>LEN(TRIM(A99))&gt;0</formula>
    </cfRule>
  </conditionalFormatting>
  <conditionalFormatting sqref="A115:C115">
    <cfRule type="notContainsBlanks" dxfId="516" priority="782">
      <formula>LEN(TRIM(A115))&gt;0</formula>
    </cfRule>
  </conditionalFormatting>
  <conditionalFormatting sqref="B4">
    <cfRule type="notContainsBlanks" dxfId="515" priority="781">
      <formula>LEN(TRIM(B4))&gt;0</formula>
    </cfRule>
  </conditionalFormatting>
  <conditionalFormatting sqref="B6">
    <cfRule type="notContainsBlanks" dxfId="514" priority="801">
      <formula>LEN(TRIM(B6))&gt;0</formula>
    </cfRule>
  </conditionalFormatting>
  <conditionalFormatting sqref="C21:AL21">
    <cfRule type="containsBlanks" dxfId="513" priority="776">
      <formula>LEN(TRIM(C21))=0</formula>
    </cfRule>
  </conditionalFormatting>
  <conditionalFormatting sqref="C37:AL37">
    <cfRule type="containsBlanks" dxfId="512" priority="775">
      <formula>LEN(TRIM(C37))=0</formula>
    </cfRule>
  </conditionalFormatting>
  <conditionalFormatting sqref="C53:AL53">
    <cfRule type="containsBlanks" dxfId="511" priority="774">
      <formula>LEN(TRIM(C53))=0</formula>
    </cfRule>
  </conditionalFormatting>
  <conditionalFormatting sqref="AP6:AQ6">
    <cfRule type="cellIs" dxfId="510" priority="798" operator="greaterThanOrEqual">
      <formula>20</formula>
    </cfRule>
    <cfRule type="cellIs" dxfId="509" priority="799" operator="greaterThanOrEqual">
      <formula>1</formula>
    </cfRule>
    <cfRule type="cellIs" dxfId="508" priority="800" operator="lessThanOrEqual">
      <formula>0</formula>
    </cfRule>
  </conditionalFormatting>
  <conditionalFormatting sqref="A131:C131">
    <cfRule type="notContainsBlanks" dxfId="507" priority="771">
      <formula>LEN(TRIM(A131))&gt;0</formula>
    </cfRule>
  </conditionalFormatting>
  <conditionalFormatting sqref="AN10:AN17">
    <cfRule type="notContainsBlanks" dxfId="506" priority="803">
      <formula>LEN(TRIM(AN10))&gt;0</formula>
    </cfRule>
  </conditionalFormatting>
  <conditionalFormatting sqref="A147:C147">
    <cfRule type="notContainsBlanks" dxfId="505" priority="767">
      <formula>LEN(TRIM(A147))&gt;0</formula>
    </cfRule>
  </conditionalFormatting>
  <conditionalFormatting sqref="A163:C163">
    <cfRule type="notContainsBlanks" dxfId="504" priority="763">
      <formula>LEN(TRIM(A163))&gt;0</formula>
    </cfRule>
  </conditionalFormatting>
  <conditionalFormatting sqref="A179:C179">
    <cfRule type="notContainsBlanks" dxfId="503" priority="759">
      <formula>LEN(TRIM(A179))&gt;0</formula>
    </cfRule>
  </conditionalFormatting>
  <conditionalFormatting sqref="A195:C195">
    <cfRule type="notContainsBlanks" dxfId="502" priority="755">
      <formula>LEN(TRIM(A195))&gt;0</formula>
    </cfRule>
  </conditionalFormatting>
  <conditionalFormatting sqref="A211:C211">
    <cfRule type="notContainsBlanks" dxfId="501" priority="751">
      <formula>LEN(TRIM(A211))&gt;0</formula>
    </cfRule>
  </conditionalFormatting>
  <conditionalFormatting sqref="A227:C227">
    <cfRule type="notContainsBlanks" dxfId="500" priority="747">
      <formula>LEN(TRIM(A227))&gt;0</formula>
    </cfRule>
  </conditionalFormatting>
  <conditionalFormatting sqref="A243:C243">
    <cfRule type="notContainsBlanks" dxfId="499" priority="743">
      <formula>LEN(TRIM(A243))&gt;0</formula>
    </cfRule>
  </conditionalFormatting>
  <conditionalFormatting sqref="A259:C259">
    <cfRule type="notContainsBlanks" dxfId="498" priority="739">
      <formula>LEN(TRIM(A259))&gt;0</formula>
    </cfRule>
  </conditionalFormatting>
  <conditionalFormatting sqref="A275:C275">
    <cfRule type="notContainsBlanks" dxfId="497" priority="735">
      <formula>LEN(TRIM(A275))&gt;0</formula>
    </cfRule>
  </conditionalFormatting>
  <conditionalFormatting sqref="A291:C291">
    <cfRule type="notContainsBlanks" dxfId="496" priority="731">
      <formula>LEN(TRIM(A291))&gt;0</formula>
    </cfRule>
  </conditionalFormatting>
  <conditionalFormatting sqref="A307:C307">
    <cfRule type="notContainsBlanks" dxfId="495" priority="727">
      <formula>LEN(TRIM(A307))&gt;0</formula>
    </cfRule>
  </conditionalFormatting>
  <conditionalFormatting sqref="AP4:AQ4">
    <cfRule type="containsBlanks" dxfId="494" priority="720">
      <formula>LEN(TRIM(AP4))=0</formula>
    </cfRule>
    <cfRule type="notContainsBlanks" dxfId="493" priority="725">
      <formula>LEN(TRIM(AP4))&gt;0</formula>
    </cfRule>
  </conditionalFormatting>
  <conditionalFormatting sqref="CI12:CJ12">
    <cfRule type="notContainsBlanks" dxfId="492" priority="724">
      <formula>LEN(TRIM(CI12))&gt;0</formula>
    </cfRule>
  </conditionalFormatting>
  <conditionalFormatting sqref="C10:AI17 AK10:AL17">
    <cfRule type="notContainsBlanks" dxfId="491" priority="723">
      <formula>LEN(TRIM(C10))&gt;0</formula>
    </cfRule>
    <cfRule type="containsBlanks" dxfId="490" priority="804">
      <formula>LEN(TRIM(C10))=0</formula>
    </cfRule>
  </conditionalFormatting>
  <conditionalFormatting sqref="C6:AI6 AK6:AL6 C5:AL5">
    <cfRule type="containsBlanks" dxfId="489" priority="722">
      <formula>LEN(TRIM(C5))=0</formula>
    </cfRule>
  </conditionalFormatting>
  <conditionalFormatting sqref="AT5:BZ5 CB5:CC5">
    <cfRule type="containsBlanks" dxfId="488" priority="721">
      <formula>LEN(TRIM(AT5))=0</formula>
    </cfRule>
  </conditionalFormatting>
  <conditionalFormatting sqref="AM10:AM17">
    <cfRule type="notContainsBlanks" dxfId="487" priority="718">
      <formula>LEN(TRIM(AM10))&gt;0</formula>
    </cfRule>
  </conditionalFormatting>
  <conditionalFormatting sqref="AO10:AP17">
    <cfRule type="notContainsBlanks" dxfId="486" priority="716">
      <formula>LEN(TRIM(AO10))&gt;0</formula>
    </cfRule>
  </conditionalFormatting>
  <conditionalFormatting sqref="C31:AI33 I26:AI30 AK26:AL33">
    <cfRule type="notContainsBlanks" dxfId="485" priority="713">
      <formula>LEN(TRIM(C26))&gt;0</formula>
    </cfRule>
    <cfRule type="containsBlanks" dxfId="484" priority="715">
      <formula>LEN(TRIM(C26))=0</formula>
    </cfRule>
  </conditionalFormatting>
  <conditionalFormatting sqref="C42:AI49 AK42:AL49">
    <cfRule type="notContainsBlanks" dxfId="483" priority="706">
      <formula>LEN(TRIM(C42))&gt;0</formula>
    </cfRule>
    <cfRule type="containsBlanks" dxfId="482" priority="708">
      <formula>LEN(TRIM(C42))=0</formula>
    </cfRule>
  </conditionalFormatting>
  <conditionalFormatting sqref="C58:AI65 AK58:AL65">
    <cfRule type="notContainsBlanks" dxfId="481" priority="699">
      <formula>LEN(TRIM(C58))&gt;0</formula>
    </cfRule>
    <cfRule type="containsBlanks" dxfId="480" priority="701">
      <formula>LEN(TRIM(C58))=0</formula>
    </cfRule>
  </conditionalFormatting>
  <conditionalFormatting sqref="C74:AI81 AK74:AL81">
    <cfRule type="notContainsBlanks" dxfId="479" priority="692">
      <formula>LEN(TRIM(C74))&gt;0</formula>
    </cfRule>
    <cfRule type="containsBlanks" dxfId="478" priority="694">
      <formula>LEN(TRIM(C74))=0</formula>
    </cfRule>
  </conditionalFormatting>
  <conditionalFormatting sqref="C90:AI97 AK90:AL97">
    <cfRule type="notContainsBlanks" dxfId="477" priority="685">
      <formula>LEN(TRIM(C90))&gt;0</formula>
    </cfRule>
    <cfRule type="containsBlanks" dxfId="476" priority="687">
      <formula>LEN(TRIM(C90))=0</formula>
    </cfRule>
  </conditionalFormatting>
  <conditionalFormatting sqref="C106:AI113 AK106:AL113">
    <cfRule type="notContainsBlanks" dxfId="475" priority="678">
      <formula>LEN(TRIM(C106))&gt;0</formula>
    </cfRule>
    <cfRule type="containsBlanks" dxfId="474" priority="680">
      <formula>LEN(TRIM(C106))=0</formula>
    </cfRule>
  </conditionalFormatting>
  <conditionalFormatting sqref="C122:AI129 AK122:AL129">
    <cfRule type="notContainsBlanks" dxfId="473" priority="671">
      <formula>LEN(TRIM(C122))&gt;0</formula>
    </cfRule>
    <cfRule type="containsBlanks" dxfId="472" priority="673">
      <formula>LEN(TRIM(C122))=0</formula>
    </cfRule>
  </conditionalFormatting>
  <conditionalFormatting sqref="C138:AI145 AK138:AL145">
    <cfRule type="notContainsBlanks" dxfId="471" priority="664">
      <formula>LEN(TRIM(C138))&gt;0</formula>
    </cfRule>
    <cfRule type="containsBlanks" dxfId="470" priority="666">
      <formula>LEN(TRIM(C138))=0</formula>
    </cfRule>
  </conditionalFormatting>
  <conditionalFormatting sqref="C154:AI161 AK154:AL161">
    <cfRule type="notContainsBlanks" dxfId="469" priority="657">
      <formula>LEN(TRIM(C154))&gt;0</formula>
    </cfRule>
    <cfRule type="containsBlanks" dxfId="468" priority="659">
      <formula>LEN(TRIM(C154))=0</formula>
    </cfRule>
  </conditionalFormatting>
  <conditionalFormatting sqref="C170:AI177 AK170:AL177">
    <cfRule type="notContainsBlanks" dxfId="467" priority="650">
      <formula>LEN(TRIM(C170))&gt;0</formula>
    </cfRule>
    <cfRule type="containsBlanks" dxfId="466" priority="652">
      <formula>LEN(TRIM(C170))=0</formula>
    </cfRule>
  </conditionalFormatting>
  <conditionalFormatting sqref="C186:AI193 AK186:AL193">
    <cfRule type="notContainsBlanks" dxfId="465" priority="643">
      <formula>LEN(TRIM(C186))&gt;0</formula>
    </cfRule>
    <cfRule type="containsBlanks" dxfId="464" priority="645">
      <formula>LEN(TRIM(C186))=0</formula>
    </cfRule>
  </conditionalFormatting>
  <conditionalFormatting sqref="C202:AI209 AK202:AL209">
    <cfRule type="notContainsBlanks" dxfId="463" priority="636">
      <formula>LEN(TRIM(C202))&gt;0</formula>
    </cfRule>
    <cfRule type="containsBlanks" dxfId="462" priority="638">
      <formula>LEN(TRIM(C202))=0</formula>
    </cfRule>
  </conditionalFormatting>
  <conditionalFormatting sqref="C218:AI225 AK218:AL225">
    <cfRule type="notContainsBlanks" dxfId="461" priority="629">
      <formula>LEN(TRIM(C218))&gt;0</formula>
    </cfRule>
    <cfRule type="containsBlanks" dxfId="460" priority="631">
      <formula>LEN(TRIM(C218))=0</formula>
    </cfRule>
  </conditionalFormatting>
  <conditionalFormatting sqref="C234:AI241 AK234:AL241">
    <cfRule type="notContainsBlanks" dxfId="459" priority="622">
      <formula>LEN(TRIM(C234))&gt;0</formula>
    </cfRule>
    <cfRule type="containsBlanks" dxfId="458" priority="624">
      <formula>LEN(TRIM(C234))=0</formula>
    </cfRule>
  </conditionalFormatting>
  <conditionalFormatting sqref="C250:AI257 AK250:AL257">
    <cfRule type="notContainsBlanks" dxfId="457" priority="615">
      <formula>LEN(TRIM(C250))&gt;0</formula>
    </cfRule>
    <cfRule type="containsBlanks" dxfId="456" priority="617">
      <formula>LEN(TRIM(C250))=0</formula>
    </cfRule>
  </conditionalFormatting>
  <conditionalFormatting sqref="C266:AI273 AK266:AL273">
    <cfRule type="notContainsBlanks" dxfId="455" priority="608">
      <formula>LEN(TRIM(C266))&gt;0</formula>
    </cfRule>
    <cfRule type="containsBlanks" dxfId="454" priority="610">
      <formula>LEN(TRIM(C266))=0</formula>
    </cfRule>
  </conditionalFormatting>
  <conditionalFormatting sqref="C282:AI289 AK282:AL289">
    <cfRule type="notContainsBlanks" dxfId="453" priority="601">
      <formula>LEN(TRIM(C282))&gt;0</formula>
    </cfRule>
    <cfRule type="containsBlanks" dxfId="452" priority="603">
      <formula>LEN(TRIM(C282))=0</formula>
    </cfRule>
  </conditionalFormatting>
  <conditionalFormatting sqref="C298:AI305 AK298:AL305">
    <cfRule type="notContainsBlanks" dxfId="451" priority="594">
      <formula>LEN(TRIM(C298))&gt;0</formula>
    </cfRule>
    <cfRule type="containsBlanks" dxfId="450" priority="596">
      <formula>LEN(TRIM(C298))=0</formula>
    </cfRule>
  </conditionalFormatting>
  <conditionalFormatting sqref="C314:AI321 AK314:AL321">
    <cfRule type="notContainsBlanks" dxfId="449" priority="587">
      <formula>LEN(TRIM(C314))&gt;0</formula>
    </cfRule>
    <cfRule type="containsBlanks" dxfId="448" priority="589">
      <formula>LEN(TRIM(C314))=0</formula>
    </cfRule>
  </conditionalFormatting>
  <conditionalFormatting sqref="AP22:AQ22">
    <cfRule type="cellIs" dxfId="447" priority="580" operator="greaterThanOrEqual">
      <formula>20</formula>
    </cfRule>
    <cfRule type="cellIs" dxfId="446" priority="581" operator="greaterThanOrEqual">
      <formula>1</formula>
    </cfRule>
    <cfRule type="cellIs" dxfId="445" priority="582" operator="lessThanOrEqual">
      <formula>0</formula>
    </cfRule>
  </conditionalFormatting>
  <conditionalFormatting sqref="AP20:AQ20">
    <cfRule type="containsBlanks" dxfId="444" priority="578">
      <formula>LEN(TRIM(AP20))=0</formula>
    </cfRule>
    <cfRule type="notContainsBlanks" dxfId="443" priority="579">
      <formula>LEN(TRIM(AP20))&gt;0</formula>
    </cfRule>
  </conditionalFormatting>
  <conditionalFormatting sqref="AP38:AQ38">
    <cfRule type="cellIs" dxfId="442" priority="575" operator="greaterThanOrEqual">
      <formula>20</formula>
    </cfRule>
    <cfRule type="cellIs" dxfId="441" priority="576" operator="greaterThanOrEqual">
      <formula>1</formula>
    </cfRule>
    <cfRule type="cellIs" dxfId="440" priority="577" operator="lessThanOrEqual">
      <formula>0</formula>
    </cfRule>
  </conditionalFormatting>
  <conditionalFormatting sqref="AP36:AQ36">
    <cfRule type="containsBlanks" dxfId="439" priority="573">
      <formula>LEN(TRIM(AP36))=0</formula>
    </cfRule>
    <cfRule type="notContainsBlanks" dxfId="438" priority="574">
      <formula>LEN(TRIM(AP36))&gt;0</formula>
    </cfRule>
  </conditionalFormatting>
  <conditionalFormatting sqref="AP54:AQ54">
    <cfRule type="cellIs" dxfId="437" priority="570" operator="greaterThanOrEqual">
      <formula>20</formula>
    </cfRule>
    <cfRule type="cellIs" dxfId="436" priority="571" operator="greaterThanOrEqual">
      <formula>1</formula>
    </cfRule>
    <cfRule type="cellIs" dxfId="435" priority="572" operator="lessThanOrEqual">
      <formula>0</formula>
    </cfRule>
  </conditionalFormatting>
  <conditionalFormatting sqref="AP52:AQ52">
    <cfRule type="containsBlanks" dxfId="434" priority="568">
      <formula>LEN(TRIM(AP52))=0</formula>
    </cfRule>
    <cfRule type="notContainsBlanks" dxfId="433" priority="569">
      <formula>LEN(TRIM(AP52))&gt;0</formula>
    </cfRule>
  </conditionalFormatting>
  <conditionalFormatting sqref="AP70:AQ70">
    <cfRule type="cellIs" dxfId="432" priority="565" operator="greaterThanOrEqual">
      <formula>20</formula>
    </cfRule>
    <cfRule type="cellIs" dxfId="431" priority="566" operator="greaterThanOrEqual">
      <formula>1</formula>
    </cfRule>
    <cfRule type="cellIs" dxfId="430" priority="567" operator="lessThanOrEqual">
      <formula>0</formula>
    </cfRule>
  </conditionalFormatting>
  <conditionalFormatting sqref="AP68:AQ68">
    <cfRule type="containsBlanks" dxfId="429" priority="563">
      <formula>LEN(TRIM(AP68))=0</formula>
    </cfRule>
    <cfRule type="notContainsBlanks" dxfId="428" priority="564">
      <formula>LEN(TRIM(AP68))&gt;0</formula>
    </cfRule>
  </conditionalFormatting>
  <conditionalFormatting sqref="AP86:AQ86">
    <cfRule type="cellIs" dxfId="427" priority="560" operator="greaterThanOrEqual">
      <formula>20</formula>
    </cfRule>
    <cfRule type="cellIs" dxfId="426" priority="561" operator="greaterThanOrEqual">
      <formula>1</formula>
    </cfRule>
    <cfRule type="cellIs" dxfId="425" priority="562" operator="lessThanOrEqual">
      <formula>0</formula>
    </cfRule>
  </conditionalFormatting>
  <conditionalFormatting sqref="AP84:AQ84">
    <cfRule type="containsBlanks" dxfId="424" priority="558">
      <formula>LEN(TRIM(AP84))=0</formula>
    </cfRule>
    <cfRule type="notContainsBlanks" dxfId="423" priority="559">
      <formula>LEN(TRIM(AP84))&gt;0</formula>
    </cfRule>
  </conditionalFormatting>
  <conditionalFormatting sqref="AP102:AQ102">
    <cfRule type="cellIs" dxfId="422" priority="555" operator="greaterThanOrEqual">
      <formula>20</formula>
    </cfRule>
    <cfRule type="cellIs" dxfId="421" priority="556" operator="greaterThanOrEqual">
      <formula>1</formula>
    </cfRule>
    <cfRule type="cellIs" dxfId="420" priority="557" operator="lessThanOrEqual">
      <formula>0</formula>
    </cfRule>
  </conditionalFormatting>
  <conditionalFormatting sqref="AP100:AQ100">
    <cfRule type="containsBlanks" dxfId="419" priority="553">
      <formula>LEN(TRIM(AP100))=0</formula>
    </cfRule>
    <cfRule type="notContainsBlanks" dxfId="418" priority="554">
      <formula>LEN(TRIM(AP100))&gt;0</formula>
    </cfRule>
  </conditionalFormatting>
  <conditionalFormatting sqref="AP118:AQ118">
    <cfRule type="cellIs" dxfId="417" priority="550" operator="greaterThanOrEqual">
      <formula>20</formula>
    </cfRule>
    <cfRule type="cellIs" dxfId="416" priority="551" operator="greaterThanOrEqual">
      <formula>1</formula>
    </cfRule>
    <cfRule type="cellIs" dxfId="415" priority="552" operator="lessThanOrEqual">
      <formula>0</formula>
    </cfRule>
  </conditionalFormatting>
  <conditionalFormatting sqref="AP116:AQ116">
    <cfRule type="containsBlanks" dxfId="414" priority="548">
      <formula>LEN(TRIM(AP116))=0</formula>
    </cfRule>
    <cfRule type="notContainsBlanks" dxfId="413" priority="549">
      <formula>LEN(TRIM(AP116))&gt;0</formula>
    </cfRule>
  </conditionalFormatting>
  <conditionalFormatting sqref="AP134:AQ134">
    <cfRule type="cellIs" dxfId="412" priority="545" operator="greaterThanOrEqual">
      <formula>20</formula>
    </cfRule>
    <cfRule type="cellIs" dxfId="411" priority="546" operator="greaterThanOrEqual">
      <formula>1</formula>
    </cfRule>
    <cfRule type="cellIs" dxfId="410" priority="547" operator="lessThanOrEqual">
      <formula>0</formula>
    </cfRule>
  </conditionalFormatting>
  <conditionalFormatting sqref="AP132:AQ132">
    <cfRule type="containsBlanks" dxfId="409" priority="543">
      <formula>LEN(TRIM(AP132))=0</formula>
    </cfRule>
    <cfRule type="notContainsBlanks" dxfId="408" priority="544">
      <formula>LEN(TRIM(AP132))&gt;0</formula>
    </cfRule>
  </conditionalFormatting>
  <conditionalFormatting sqref="AP150:AQ150">
    <cfRule type="cellIs" dxfId="407" priority="540" operator="greaterThanOrEqual">
      <formula>20</formula>
    </cfRule>
    <cfRule type="cellIs" dxfId="406" priority="541" operator="greaterThanOrEqual">
      <formula>1</formula>
    </cfRule>
    <cfRule type="cellIs" dxfId="405" priority="542" operator="lessThanOrEqual">
      <formula>0</formula>
    </cfRule>
  </conditionalFormatting>
  <conditionalFormatting sqref="AP148:AQ148">
    <cfRule type="containsBlanks" dxfId="404" priority="538">
      <formula>LEN(TRIM(AP148))=0</formula>
    </cfRule>
    <cfRule type="notContainsBlanks" dxfId="403" priority="539">
      <formula>LEN(TRIM(AP148))&gt;0</formula>
    </cfRule>
  </conditionalFormatting>
  <conditionalFormatting sqref="AP166:AQ166">
    <cfRule type="cellIs" dxfId="402" priority="535" operator="greaterThanOrEqual">
      <formula>20</formula>
    </cfRule>
    <cfRule type="cellIs" dxfId="401" priority="536" operator="greaterThanOrEqual">
      <formula>1</formula>
    </cfRule>
    <cfRule type="cellIs" dxfId="400" priority="537" operator="lessThanOrEqual">
      <formula>0</formula>
    </cfRule>
  </conditionalFormatting>
  <conditionalFormatting sqref="AP164:AQ164">
    <cfRule type="containsBlanks" dxfId="399" priority="533">
      <formula>LEN(TRIM(AP164))=0</formula>
    </cfRule>
    <cfRule type="notContainsBlanks" dxfId="398" priority="534">
      <formula>LEN(TRIM(AP164))&gt;0</formula>
    </cfRule>
  </conditionalFormatting>
  <conditionalFormatting sqref="AP182:AQ182">
    <cfRule type="cellIs" dxfId="397" priority="530" operator="greaterThanOrEqual">
      <formula>20</formula>
    </cfRule>
    <cfRule type="cellIs" dxfId="396" priority="531" operator="greaterThanOrEqual">
      <formula>1</formula>
    </cfRule>
    <cfRule type="cellIs" dxfId="395" priority="532" operator="lessThanOrEqual">
      <formula>0</formula>
    </cfRule>
  </conditionalFormatting>
  <conditionalFormatting sqref="AP180:AQ180">
    <cfRule type="containsBlanks" dxfId="394" priority="528">
      <formula>LEN(TRIM(AP180))=0</formula>
    </cfRule>
    <cfRule type="notContainsBlanks" dxfId="393" priority="529">
      <formula>LEN(TRIM(AP180))&gt;0</formula>
    </cfRule>
  </conditionalFormatting>
  <conditionalFormatting sqref="AP198:AQ198">
    <cfRule type="cellIs" dxfId="392" priority="525" operator="greaterThanOrEqual">
      <formula>20</formula>
    </cfRule>
    <cfRule type="cellIs" dxfId="391" priority="526" operator="greaterThanOrEqual">
      <formula>1</formula>
    </cfRule>
    <cfRule type="cellIs" dxfId="390" priority="527" operator="lessThanOrEqual">
      <formula>0</formula>
    </cfRule>
  </conditionalFormatting>
  <conditionalFormatting sqref="AP196:AQ196">
    <cfRule type="containsBlanks" dxfId="389" priority="523">
      <formula>LEN(TRIM(AP196))=0</formula>
    </cfRule>
    <cfRule type="notContainsBlanks" dxfId="388" priority="524">
      <formula>LEN(TRIM(AP196))&gt;0</formula>
    </cfRule>
  </conditionalFormatting>
  <conditionalFormatting sqref="AP214:AQ214">
    <cfRule type="cellIs" dxfId="387" priority="520" operator="greaterThanOrEqual">
      <formula>20</formula>
    </cfRule>
    <cfRule type="cellIs" dxfId="386" priority="521" operator="greaterThanOrEqual">
      <formula>1</formula>
    </cfRule>
    <cfRule type="cellIs" dxfId="385" priority="522" operator="lessThanOrEqual">
      <formula>0</formula>
    </cfRule>
  </conditionalFormatting>
  <conditionalFormatting sqref="AP212:AQ212">
    <cfRule type="containsBlanks" dxfId="384" priority="518">
      <formula>LEN(TRIM(AP212))=0</formula>
    </cfRule>
    <cfRule type="notContainsBlanks" dxfId="383" priority="519">
      <formula>LEN(TRIM(AP212))&gt;0</formula>
    </cfRule>
  </conditionalFormatting>
  <conditionalFormatting sqref="AP230:AQ230">
    <cfRule type="cellIs" dxfId="382" priority="515" operator="greaterThanOrEqual">
      <formula>20</formula>
    </cfRule>
    <cfRule type="cellIs" dxfId="381" priority="516" operator="greaterThanOrEqual">
      <formula>1</formula>
    </cfRule>
    <cfRule type="cellIs" dxfId="380" priority="517" operator="lessThanOrEqual">
      <formula>0</formula>
    </cfRule>
  </conditionalFormatting>
  <conditionalFormatting sqref="AP228:AQ228">
    <cfRule type="containsBlanks" dxfId="379" priority="513">
      <formula>LEN(TRIM(AP228))=0</formula>
    </cfRule>
    <cfRule type="notContainsBlanks" dxfId="378" priority="514">
      <formula>LEN(TRIM(AP228))&gt;0</formula>
    </cfRule>
  </conditionalFormatting>
  <conditionalFormatting sqref="AP246:AQ246">
    <cfRule type="cellIs" dxfId="377" priority="510" operator="greaterThanOrEqual">
      <formula>20</formula>
    </cfRule>
    <cfRule type="cellIs" dxfId="376" priority="511" operator="greaterThanOrEqual">
      <formula>1</formula>
    </cfRule>
    <cfRule type="cellIs" dxfId="375" priority="512" operator="lessThanOrEqual">
      <formula>0</formula>
    </cfRule>
  </conditionalFormatting>
  <conditionalFormatting sqref="AP244:AQ244">
    <cfRule type="containsBlanks" dxfId="374" priority="508">
      <formula>LEN(TRIM(AP244))=0</formula>
    </cfRule>
    <cfRule type="notContainsBlanks" dxfId="373" priority="509">
      <formula>LEN(TRIM(AP244))&gt;0</formula>
    </cfRule>
  </conditionalFormatting>
  <conditionalFormatting sqref="AP262:AQ262">
    <cfRule type="cellIs" dxfId="372" priority="505" operator="greaterThanOrEqual">
      <formula>20</formula>
    </cfRule>
    <cfRule type="cellIs" dxfId="371" priority="506" operator="greaterThanOrEqual">
      <formula>1</formula>
    </cfRule>
    <cfRule type="cellIs" dxfId="370" priority="507" operator="lessThanOrEqual">
      <formula>0</formula>
    </cfRule>
  </conditionalFormatting>
  <conditionalFormatting sqref="AP260:AQ260">
    <cfRule type="containsBlanks" dxfId="369" priority="503">
      <formula>LEN(TRIM(AP260))=0</formula>
    </cfRule>
    <cfRule type="notContainsBlanks" dxfId="368" priority="504">
      <formula>LEN(TRIM(AP260))&gt;0</formula>
    </cfRule>
  </conditionalFormatting>
  <conditionalFormatting sqref="AP278:AQ278">
    <cfRule type="cellIs" dxfId="367" priority="500" operator="greaterThanOrEqual">
      <formula>20</formula>
    </cfRule>
    <cfRule type="cellIs" dxfId="366" priority="501" operator="greaterThanOrEqual">
      <formula>1</formula>
    </cfRule>
    <cfRule type="cellIs" dxfId="365" priority="502" operator="lessThanOrEqual">
      <formula>0</formula>
    </cfRule>
  </conditionalFormatting>
  <conditionalFormatting sqref="AP276:AQ276">
    <cfRule type="containsBlanks" dxfId="364" priority="498">
      <formula>LEN(TRIM(AP276))=0</formula>
    </cfRule>
    <cfRule type="notContainsBlanks" dxfId="363" priority="499">
      <formula>LEN(TRIM(AP276))&gt;0</formula>
    </cfRule>
  </conditionalFormatting>
  <conditionalFormatting sqref="AP294:AQ294">
    <cfRule type="cellIs" dxfId="362" priority="495" operator="greaterThanOrEqual">
      <formula>20</formula>
    </cfRule>
    <cfRule type="cellIs" dxfId="361" priority="496" operator="greaterThanOrEqual">
      <formula>1</formula>
    </cfRule>
    <cfRule type="cellIs" dxfId="360" priority="497" operator="lessThanOrEqual">
      <formula>0</formula>
    </cfRule>
  </conditionalFormatting>
  <conditionalFormatting sqref="AP292:AQ292">
    <cfRule type="containsBlanks" dxfId="359" priority="493">
      <formula>LEN(TRIM(AP292))=0</formula>
    </cfRule>
    <cfRule type="notContainsBlanks" dxfId="358" priority="494">
      <formula>LEN(TRIM(AP292))&gt;0</formula>
    </cfRule>
  </conditionalFormatting>
  <conditionalFormatting sqref="AP310:AQ310">
    <cfRule type="cellIs" dxfId="357" priority="490" operator="greaterThanOrEqual">
      <formula>20</formula>
    </cfRule>
    <cfRule type="cellIs" dxfId="356" priority="491" operator="greaterThanOrEqual">
      <formula>1</formula>
    </cfRule>
    <cfRule type="cellIs" dxfId="355" priority="492" operator="lessThanOrEqual">
      <formula>0</formula>
    </cfRule>
  </conditionalFormatting>
  <conditionalFormatting sqref="AP308:AQ308">
    <cfRule type="containsBlanks" dxfId="354" priority="488">
      <formula>LEN(TRIM(AP308))=0</formula>
    </cfRule>
    <cfRule type="notContainsBlanks" dxfId="353" priority="489">
      <formula>LEN(TRIM(AP308))&gt;0</formula>
    </cfRule>
  </conditionalFormatting>
  <conditionalFormatting sqref="D3">
    <cfRule type="containsBlanks" dxfId="352" priority="487">
      <formula>LEN(TRIM(D3))=0</formula>
    </cfRule>
  </conditionalFormatting>
  <conditionalFormatting sqref="B5">
    <cfRule type="notContainsBlanks" dxfId="351" priority="486">
      <formula>LEN(TRIM(B5))&gt;0</formula>
    </cfRule>
  </conditionalFormatting>
  <conditionalFormatting sqref="B20">
    <cfRule type="notContainsBlanks" dxfId="350" priority="484">
      <formula>LEN(TRIM(B20))&gt;0</formula>
    </cfRule>
  </conditionalFormatting>
  <conditionalFormatting sqref="B22">
    <cfRule type="notContainsBlanks" dxfId="349" priority="485">
      <formula>LEN(TRIM(B22))&gt;0</formula>
    </cfRule>
  </conditionalFormatting>
  <conditionalFormatting sqref="B21">
    <cfRule type="notContainsBlanks" dxfId="348" priority="483">
      <formula>LEN(TRIM(B21))&gt;0</formula>
    </cfRule>
  </conditionalFormatting>
  <conditionalFormatting sqref="B36">
    <cfRule type="notContainsBlanks" dxfId="347" priority="481">
      <formula>LEN(TRIM(B36))&gt;0</formula>
    </cfRule>
  </conditionalFormatting>
  <conditionalFormatting sqref="B38">
    <cfRule type="notContainsBlanks" dxfId="346" priority="482">
      <formula>LEN(TRIM(B38))&gt;0</formula>
    </cfRule>
  </conditionalFormatting>
  <conditionalFormatting sqref="B37">
    <cfRule type="notContainsBlanks" dxfId="345" priority="480">
      <formula>LEN(TRIM(B37))&gt;0</formula>
    </cfRule>
  </conditionalFormatting>
  <conditionalFormatting sqref="B68">
    <cfRule type="notContainsBlanks" dxfId="344" priority="479">
      <formula>LEN(TRIM(B68))&gt;0</formula>
    </cfRule>
  </conditionalFormatting>
  <conditionalFormatting sqref="B69">
    <cfRule type="notContainsBlanks" dxfId="343" priority="478">
      <formula>LEN(TRIM(B69))&gt;0</formula>
    </cfRule>
  </conditionalFormatting>
  <conditionalFormatting sqref="B84">
    <cfRule type="notContainsBlanks" dxfId="342" priority="477">
      <formula>LEN(TRIM(B84))&gt;0</formula>
    </cfRule>
  </conditionalFormatting>
  <conditionalFormatting sqref="B85">
    <cfRule type="notContainsBlanks" dxfId="341" priority="476">
      <formula>LEN(TRIM(B85))&gt;0</formula>
    </cfRule>
  </conditionalFormatting>
  <conditionalFormatting sqref="B100">
    <cfRule type="notContainsBlanks" dxfId="340" priority="475">
      <formula>LEN(TRIM(B100))&gt;0</formula>
    </cfRule>
  </conditionalFormatting>
  <conditionalFormatting sqref="B101">
    <cfRule type="notContainsBlanks" dxfId="339" priority="474">
      <formula>LEN(TRIM(B101))&gt;0</formula>
    </cfRule>
  </conditionalFormatting>
  <conditionalFormatting sqref="B116">
    <cfRule type="notContainsBlanks" dxfId="338" priority="473">
      <formula>LEN(TRIM(B116))&gt;0</formula>
    </cfRule>
  </conditionalFormatting>
  <conditionalFormatting sqref="B117">
    <cfRule type="notContainsBlanks" dxfId="337" priority="472">
      <formula>LEN(TRIM(B117))&gt;0</formula>
    </cfRule>
  </conditionalFormatting>
  <conditionalFormatting sqref="B132">
    <cfRule type="notContainsBlanks" dxfId="336" priority="470">
      <formula>LEN(TRIM(B132))&gt;0</formula>
    </cfRule>
  </conditionalFormatting>
  <conditionalFormatting sqref="B134">
    <cfRule type="notContainsBlanks" dxfId="335" priority="471">
      <formula>LEN(TRIM(B134))&gt;0</formula>
    </cfRule>
  </conditionalFormatting>
  <conditionalFormatting sqref="B133">
    <cfRule type="notContainsBlanks" dxfId="334" priority="469">
      <formula>LEN(TRIM(B133))&gt;0</formula>
    </cfRule>
  </conditionalFormatting>
  <conditionalFormatting sqref="B148">
    <cfRule type="notContainsBlanks" dxfId="333" priority="467">
      <formula>LEN(TRIM(B148))&gt;0</formula>
    </cfRule>
  </conditionalFormatting>
  <conditionalFormatting sqref="B150">
    <cfRule type="notContainsBlanks" dxfId="332" priority="468">
      <formula>LEN(TRIM(B150))&gt;0</formula>
    </cfRule>
  </conditionalFormatting>
  <conditionalFormatting sqref="B149">
    <cfRule type="notContainsBlanks" dxfId="331" priority="466">
      <formula>LEN(TRIM(B149))&gt;0</formula>
    </cfRule>
  </conditionalFormatting>
  <conditionalFormatting sqref="B164">
    <cfRule type="notContainsBlanks" dxfId="330" priority="464">
      <formula>LEN(TRIM(B164))&gt;0</formula>
    </cfRule>
  </conditionalFormatting>
  <conditionalFormatting sqref="B166">
    <cfRule type="notContainsBlanks" dxfId="329" priority="465">
      <formula>LEN(TRIM(B166))&gt;0</formula>
    </cfRule>
  </conditionalFormatting>
  <conditionalFormatting sqref="B165">
    <cfRule type="notContainsBlanks" dxfId="328" priority="463">
      <formula>LEN(TRIM(B165))&gt;0</formula>
    </cfRule>
  </conditionalFormatting>
  <conditionalFormatting sqref="B180">
    <cfRule type="notContainsBlanks" dxfId="327" priority="461">
      <formula>LEN(TRIM(B180))&gt;0</formula>
    </cfRule>
  </conditionalFormatting>
  <conditionalFormatting sqref="B182">
    <cfRule type="notContainsBlanks" dxfId="326" priority="462">
      <formula>LEN(TRIM(B182))&gt;0</formula>
    </cfRule>
  </conditionalFormatting>
  <conditionalFormatting sqref="B181">
    <cfRule type="notContainsBlanks" dxfId="325" priority="460">
      <formula>LEN(TRIM(B181))&gt;0</formula>
    </cfRule>
  </conditionalFormatting>
  <conditionalFormatting sqref="B196">
    <cfRule type="notContainsBlanks" dxfId="324" priority="458">
      <formula>LEN(TRIM(B196))&gt;0</formula>
    </cfRule>
  </conditionalFormatting>
  <conditionalFormatting sqref="B198">
    <cfRule type="notContainsBlanks" dxfId="323" priority="459">
      <formula>LEN(TRIM(B198))&gt;0</formula>
    </cfRule>
  </conditionalFormatting>
  <conditionalFormatting sqref="B197">
    <cfRule type="notContainsBlanks" dxfId="322" priority="457">
      <formula>LEN(TRIM(B197))&gt;0</formula>
    </cfRule>
  </conditionalFormatting>
  <conditionalFormatting sqref="B212">
    <cfRule type="notContainsBlanks" dxfId="321" priority="455">
      <formula>LEN(TRIM(B212))&gt;0</formula>
    </cfRule>
  </conditionalFormatting>
  <conditionalFormatting sqref="B214">
    <cfRule type="notContainsBlanks" dxfId="320" priority="456">
      <formula>LEN(TRIM(B214))&gt;0</formula>
    </cfRule>
  </conditionalFormatting>
  <conditionalFormatting sqref="B213">
    <cfRule type="notContainsBlanks" dxfId="319" priority="454">
      <formula>LEN(TRIM(B213))&gt;0</formula>
    </cfRule>
  </conditionalFormatting>
  <conditionalFormatting sqref="B228">
    <cfRule type="notContainsBlanks" dxfId="318" priority="452">
      <formula>LEN(TRIM(B228))&gt;0</formula>
    </cfRule>
  </conditionalFormatting>
  <conditionalFormatting sqref="B230">
    <cfRule type="notContainsBlanks" dxfId="317" priority="453">
      <formula>LEN(TRIM(B230))&gt;0</formula>
    </cfRule>
  </conditionalFormatting>
  <conditionalFormatting sqref="B229">
    <cfRule type="notContainsBlanks" dxfId="316" priority="451">
      <formula>LEN(TRIM(B229))&gt;0</formula>
    </cfRule>
  </conditionalFormatting>
  <conditionalFormatting sqref="B244">
    <cfRule type="notContainsBlanks" dxfId="315" priority="449">
      <formula>LEN(TRIM(B244))&gt;0</formula>
    </cfRule>
  </conditionalFormatting>
  <conditionalFormatting sqref="B246">
    <cfRule type="notContainsBlanks" dxfId="314" priority="450">
      <formula>LEN(TRIM(B246))&gt;0</formula>
    </cfRule>
  </conditionalFormatting>
  <conditionalFormatting sqref="B245">
    <cfRule type="notContainsBlanks" dxfId="313" priority="448">
      <formula>LEN(TRIM(B245))&gt;0</formula>
    </cfRule>
  </conditionalFormatting>
  <conditionalFormatting sqref="B260">
    <cfRule type="notContainsBlanks" dxfId="312" priority="446">
      <formula>LEN(TRIM(B260))&gt;0</formula>
    </cfRule>
  </conditionalFormatting>
  <conditionalFormatting sqref="B262">
    <cfRule type="notContainsBlanks" dxfId="311" priority="447">
      <formula>LEN(TRIM(B262))&gt;0</formula>
    </cfRule>
  </conditionalFormatting>
  <conditionalFormatting sqref="B261">
    <cfRule type="notContainsBlanks" dxfId="310" priority="445">
      <formula>LEN(TRIM(B261))&gt;0</formula>
    </cfRule>
  </conditionalFormatting>
  <conditionalFormatting sqref="B276">
    <cfRule type="notContainsBlanks" dxfId="309" priority="443">
      <formula>LEN(TRIM(B276))&gt;0</formula>
    </cfRule>
  </conditionalFormatting>
  <conditionalFormatting sqref="B278">
    <cfRule type="notContainsBlanks" dxfId="308" priority="444">
      <formula>LEN(TRIM(B278))&gt;0</formula>
    </cfRule>
  </conditionalFormatting>
  <conditionalFormatting sqref="B277">
    <cfRule type="notContainsBlanks" dxfId="307" priority="442">
      <formula>LEN(TRIM(B277))&gt;0</formula>
    </cfRule>
  </conditionalFormatting>
  <conditionalFormatting sqref="B292">
    <cfRule type="notContainsBlanks" dxfId="306" priority="440">
      <formula>LEN(TRIM(B292))&gt;0</formula>
    </cfRule>
  </conditionalFormatting>
  <conditionalFormatting sqref="B294">
    <cfRule type="notContainsBlanks" dxfId="305" priority="441">
      <formula>LEN(TRIM(B294))&gt;0</formula>
    </cfRule>
  </conditionalFormatting>
  <conditionalFormatting sqref="B293">
    <cfRule type="notContainsBlanks" dxfId="304" priority="439">
      <formula>LEN(TRIM(B293))&gt;0</formula>
    </cfRule>
  </conditionalFormatting>
  <conditionalFormatting sqref="B308">
    <cfRule type="notContainsBlanks" dxfId="303" priority="437">
      <formula>LEN(TRIM(B308))&gt;0</formula>
    </cfRule>
  </conditionalFormatting>
  <conditionalFormatting sqref="B310">
    <cfRule type="notContainsBlanks" dxfId="302" priority="438">
      <formula>LEN(TRIM(B310))&gt;0</formula>
    </cfRule>
  </conditionalFormatting>
  <conditionalFormatting sqref="B309">
    <cfRule type="notContainsBlanks" dxfId="301" priority="436">
      <formula>LEN(TRIM(B309))&gt;0</formula>
    </cfRule>
  </conditionalFormatting>
  <conditionalFormatting sqref="B52">
    <cfRule type="notContainsBlanks" dxfId="300" priority="434">
      <formula>LEN(TRIM(B52))&gt;0</formula>
    </cfRule>
  </conditionalFormatting>
  <conditionalFormatting sqref="B54">
    <cfRule type="notContainsBlanks" dxfId="299" priority="435">
      <formula>LEN(TRIM(B54))&gt;0</formula>
    </cfRule>
  </conditionalFormatting>
  <conditionalFormatting sqref="B53">
    <cfRule type="notContainsBlanks" dxfId="298" priority="433">
      <formula>LEN(TRIM(B53))&gt;0</formula>
    </cfRule>
  </conditionalFormatting>
  <conditionalFormatting sqref="B86">
    <cfRule type="notContainsBlanks" dxfId="297" priority="432">
      <formula>LEN(TRIM(B86))&gt;0</formula>
    </cfRule>
  </conditionalFormatting>
  <conditionalFormatting sqref="B70">
    <cfRule type="notContainsBlanks" dxfId="296" priority="431">
      <formula>LEN(TRIM(B70))&gt;0</formula>
    </cfRule>
  </conditionalFormatting>
  <conditionalFormatting sqref="B102">
    <cfRule type="notContainsBlanks" dxfId="295" priority="430">
      <formula>LEN(TRIM(B102))&gt;0</formula>
    </cfRule>
  </conditionalFormatting>
  <conditionalFormatting sqref="B118">
    <cfRule type="notContainsBlanks" dxfId="294" priority="429">
      <formula>LEN(TRIM(B118))&gt;0</formula>
    </cfRule>
  </conditionalFormatting>
  <conditionalFormatting sqref="C22:AI22 AK22:AL22">
    <cfRule type="containsBlanks" dxfId="293" priority="428">
      <formula>LEN(TRIM(C22))=0</formula>
    </cfRule>
  </conditionalFormatting>
  <conditionalFormatting sqref="C38:AL38">
    <cfRule type="containsBlanks" dxfId="292" priority="427">
      <formula>LEN(TRIM(C38))=0</formula>
    </cfRule>
  </conditionalFormatting>
  <conditionalFormatting sqref="C54:AL54">
    <cfRule type="containsBlanks" dxfId="291" priority="426">
      <formula>LEN(TRIM(C54))=0</formula>
    </cfRule>
  </conditionalFormatting>
  <conditionalFormatting sqref="AN378:AN385">
    <cfRule type="notContainsBlanks" dxfId="290" priority="262">
      <formula>LEN(TRIM(AN378))&gt;0</formula>
    </cfRule>
  </conditionalFormatting>
  <conditionalFormatting sqref="C26:H30">
    <cfRule type="notContainsBlanks" dxfId="289" priority="389">
      <formula>LEN(TRIM(C26))&gt;0</formula>
    </cfRule>
    <cfRule type="containsBlanks" dxfId="288" priority="390">
      <formula>LEN(TRIM(C26))=0</formula>
    </cfRule>
  </conditionalFormatting>
  <conditionalFormatting sqref="AN26:AN33">
    <cfRule type="notContainsBlanks" dxfId="287" priority="384">
      <formula>LEN(TRIM(AN26))&gt;0</formula>
    </cfRule>
  </conditionalFormatting>
  <conditionalFormatting sqref="AM26:AM33">
    <cfRule type="notContainsBlanks" dxfId="286" priority="383">
      <formula>LEN(TRIM(AM26))&gt;0</formula>
    </cfRule>
  </conditionalFormatting>
  <conditionalFormatting sqref="AO26:AP33">
    <cfRule type="notContainsBlanks" dxfId="285" priority="382">
      <formula>LEN(TRIM(AO26))&gt;0</formula>
    </cfRule>
  </conditionalFormatting>
  <conditionalFormatting sqref="AN42:AN49">
    <cfRule type="notContainsBlanks" dxfId="284" priority="381">
      <formula>LEN(TRIM(AN42))&gt;0</formula>
    </cfRule>
  </conditionalFormatting>
  <conditionalFormatting sqref="AM42:AM49">
    <cfRule type="notContainsBlanks" dxfId="283" priority="380">
      <formula>LEN(TRIM(AM42))&gt;0</formula>
    </cfRule>
  </conditionalFormatting>
  <conditionalFormatting sqref="AO42:AP49">
    <cfRule type="notContainsBlanks" dxfId="282" priority="379">
      <formula>LEN(TRIM(AO42))&gt;0</formula>
    </cfRule>
  </conditionalFormatting>
  <conditionalFormatting sqref="AN58:AN65">
    <cfRule type="notContainsBlanks" dxfId="281" priority="378">
      <formula>LEN(TRIM(AN58))&gt;0</formula>
    </cfRule>
  </conditionalFormatting>
  <conditionalFormatting sqref="AM58:AM65">
    <cfRule type="notContainsBlanks" dxfId="280" priority="377">
      <formula>LEN(TRIM(AM58))&gt;0</formula>
    </cfRule>
  </conditionalFormatting>
  <conditionalFormatting sqref="AO58:AP65">
    <cfRule type="notContainsBlanks" dxfId="279" priority="376">
      <formula>LEN(TRIM(AO58))&gt;0</formula>
    </cfRule>
  </conditionalFormatting>
  <conditionalFormatting sqref="AN74:AN81">
    <cfRule type="notContainsBlanks" dxfId="278" priority="375">
      <formula>LEN(TRIM(AN74))&gt;0</formula>
    </cfRule>
  </conditionalFormatting>
  <conditionalFormatting sqref="AM74:AM81">
    <cfRule type="notContainsBlanks" dxfId="277" priority="374">
      <formula>LEN(TRIM(AM74))&gt;0</formula>
    </cfRule>
  </conditionalFormatting>
  <conditionalFormatting sqref="AO74:AP81">
    <cfRule type="notContainsBlanks" dxfId="276" priority="373">
      <formula>LEN(TRIM(AO74))&gt;0</formula>
    </cfRule>
  </conditionalFormatting>
  <conditionalFormatting sqref="AN90:AN97">
    <cfRule type="notContainsBlanks" dxfId="275" priority="372">
      <formula>LEN(TRIM(AN90))&gt;0</formula>
    </cfRule>
  </conditionalFormatting>
  <conditionalFormatting sqref="AM90:AM97">
    <cfRule type="notContainsBlanks" dxfId="274" priority="371">
      <formula>LEN(TRIM(AM90))&gt;0</formula>
    </cfRule>
  </conditionalFormatting>
  <conditionalFormatting sqref="AO90:AP97">
    <cfRule type="notContainsBlanks" dxfId="273" priority="370">
      <formula>LEN(TRIM(AO90))&gt;0</formula>
    </cfRule>
  </conditionalFormatting>
  <conditionalFormatting sqref="AN106:AN113">
    <cfRule type="notContainsBlanks" dxfId="272" priority="369">
      <formula>LEN(TRIM(AN106))&gt;0</formula>
    </cfRule>
  </conditionalFormatting>
  <conditionalFormatting sqref="AM106:AM113">
    <cfRule type="notContainsBlanks" dxfId="271" priority="368">
      <formula>LEN(TRIM(AM106))&gt;0</formula>
    </cfRule>
  </conditionalFormatting>
  <conditionalFormatting sqref="AO106:AP113">
    <cfRule type="notContainsBlanks" dxfId="270" priority="367">
      <formula>LEN(TRIM(AO106))&gt;0</formula>
    </cfRule>
  </conditionalFormatting>
  <conditionalFormatting sqref="AN122:AN129">
    <cfRule type="notContainsBlanks" dxfId="269" priority="366">
      <formula>LEN(TRIM(AN122))&gt;0</formula>
    </cfRule>
  </conditionalFormatting>
  <conditionalFormatting sqref="AM122:AM129">
    <cfRule type="notContainsBlanks" dxfId="268" priority="365">
      <formula>LEN(TRIM(AM122))&gt;0</formula>
    </cfRule>
  </conditionalFormatting>
  <conditionalFormatting sqref="AO122:AP129">
    <cfRule type="notContainsBlanks" dxfId="267" priority="364">
      <formula>LEN(TRIM(AO122))&gt;0</formula>
    </cfRule>
  </conditionalFormatting>
  <conditionalFormatting sqref="AN138:AN145">
    <cfRule type="notContainsBlanks" dxfId="266" priority="363">
      <formula>LEN(TRIM(AN138))&gt;0</formula>
    </cfRule>
  </conditionalFormatting>
  <conditionalFormatting sqref="AM138:AM145">
    <cfRule type="notContainsBlanks" dxfId="265" priority="362">
      <formula>LEN(TRIM(AM138))&gt;0</formula>
    </cfRule>
  </conditionalFormatting>
  <conditionalFormatting sqref="AO138:AP145">
    <cfRule type="notContainsBlanks" dxfId="264" priority="361">
      <formula>LEN(TRIM(AO138))&gt;0</formula>
    </cfRule>
  </conditionalFormatting>
  <conditionalFormatting sqref="AN154:AN161">
    <cfRule type="notContainsBlanks" dxfId="263" priority="360">
      <formula>LEN(TRIM(AN154))&gt;0</formula>
    </cfRule>
  </conditionalFormatting>
  <conditionalFormatting sqref="AM154:AM161">
    <cfRule type="notContainsBlanks" dxfId="262" priority="359">
      <formula>LEN(TRIM(AM154))&gt;0</formula>
    </cfRule>
  </conditionalFormatting>
  <conditionalFormatting sqref="AO154:AP161">
    <cfRule type="notContainsBlanks" dxfId="261" priority="358">
      <formula>LEN(TRIM(AO154))&gt;0</formula>
    </cfRule>
  </conditionalFormatting>
  <conditionalFormatting sqref="AN170:AN177">
    <cfRule type="notContainsBlanks" dxfId="260" priority="357">
      <formula>LEN(TRIM(AN170))&gt;0</formula>
    </cfRule>
  </conditionalFormatting>
  <conditionalFormatting sqref="AM170:AM177">
    <cfRule type="notContainsBlanks" dxfId="259" priority="356">
      <formula>LEN(TRIM(AM170))&gt;0</formula>
    </cfRule>
  </conditionalFormatting>
  <conditionalFormatting sqref="AO170:AP177">
    <cfRule type="notContainsBlanks" dxfId="258" priority="355">
      <formula>LEN(TRIM(AO170))&gt;0</formula>
    </cfRule>
  </conditionalFormatting>
  <conditionalFormatting sqref="AN186:AN193">
    <cfRule type="notContainsBlanks" dxfId="257" priority="354">
      <formula>LEN(TRIM(AN186))&gt;0</formula>
    </cfRule>
  </conditionalFormatting>
  <conditionalFormatting sqref="AM186:AM193">
    <cfRule type="notContainsBlanks" dxfId="256" priority="353">
      <formula>LEN(TRIM(AM186))&gt;0</formula>
    </cfRule>
  </conditionalFormatting>
  <conditionalFormatting sqref="AO186:AP193">
    <cfRule type="notContainsBlanks" dxfId="255" priority="352">
      <formula>LEN(TRIM(AO186))&gt;0</formula>
    </cfRule>
  </conditionalFormatting>
  <conditionalFormatting sqref="AN202:AN209">
    <cfRule type="notContainsBlanks" dxfId="254" priority="351">
      <formula>LEN(TRIM(AN202))&gt;0</formula>
    </cfRule>
  </conditionalFormatting>
  <conditionalFormatting sqref="AM202:AM209">
    <cfRule type="notContainsBlanks" dxfId="253" priority="350">
      <formula>LEN(TRIM(AM202))&gt;0</formula>
    </cfRule>
  </conditionalFormatting>
  <conditionalFormatting sqref="AO202:AP209">
    <cfRule type="notContainsBlanks" dxfId="252" priority="349">
      <formula>LEN(TRIM(AO202))&gt;0</formula>
    </cfRule>
  </conditionalFormatting>
  <conditionalFormatting sqref="AN218:AN225">
    <cfRule type="notContainsBlanks" dxfId="251" priority="348">
      <formula>LEN(TRIM(AN218))&gt;0</formula>
    </cfRule>
  </conditionalFormatting>
  <conditionalFormatting sqref="AM218:AM225">
    <cfRule type="notContainsBlanks" dxfId="250" priority="347">
      <formula>LEN(TRIM(AM218))&gt;0</formula>
    </cfRule>
  </conditionalFormatting>
  <conditionalFormatting sqref="AO218:AP225">
    <cfRule type="notContainsBlanks" dxfId="249" priority="346">
      <formula>LEN(TRIM(AO218))&gt;0</formula>
    </cfRule>
  </conditionalFormatting>
  <conditionalFormatting sqref="AN234:AN241">
    <cfRule type="notContainsBlanks" dxfId="248" priority="345">
      <formula>LEN(TRIM(AN234))&gt;0</formula>
    </cfRule>
  </conditionalFormatting>
  <conditionalFormatting sqref="AM234:AM241">
    <cfRule type="notContainsBlanks" dxfId="247" priority="344">
      <formula>LEN(TRIM(AM234))&gt;0</formula>
    </cfRule>
  </conditionalFormatting>
  <conditionalFormatting sqref="AO234:AP241">
    <cfRule type="notContainsBlanks" dxfId="246" priority="343">
      <formula>LEN(TRIM(AO234))&gt;0</formula>
    </cfRule>
  </conditionalFormatting>
  <conditionalFormatting sqref="AN250:AN257">
    <cfRule type="notContainsBlanks" dxfId="245" priority="342">
      <formula>LEN(TRIM(AN250))&gt;0</formula>
    </cfRule>
  </conditionalFormatting>
  <conditionalFormatting sqref="AM250:AM257">
    <cfRule type="notContainsBlanks" dxfId="244" priority="341">
      <formula>LEN(TRIM(AM250))&gt;0</formula>
    </cfRule>
  </conditionalFormatting>
  <conditionalFormatting sqref="AO250:AP257">
    <cfRule type="notContainsBlanks" dxfId="243" priority="340">
      <formula>LEN(TRIM(AO250))&gt;0</formula>
    </cfRule>
  </conditionalFormatting>
  <conditionalFormatting sqref="AN266:AN273">
    <cfRule type="notContainsBlanks" dxfId="242" priority="339">
      <formula>LEN(TRIM(AN266))&gt;0</formula>
    </cfRule>
  </conditionalFormatting>
  <conditionalFormatting sqref="AM266:AM273">
    <cfRule type="notContainsBlanks" dxfId="241" priority="338">
      <formula>LEN(TRIM(AM266))&gt;0</formula>
    </cfRule>
  </conditionalFormatting>
  <conditionalFormatting sqref="AO266:AP273">
    <cfRule type="notContainsBlanks" dxfId="240" priority="337">
      <formula>LEN(TRIM(AO266))&gt;0</formula>
    </cfRule>
  </conditionalFormatting>
  <conditionalFormatting sqref="AN282:AN289">
    <cfRule type="notContainsBlanks" dxfId="239" priority="336">
      <formula>LEN(TRIM(AN282))&gt;0</formula>
    </cfRule>
  </conditionalFormatting>
  <conditionalFormatting sqref="AM282:AM289">
    <cfRule type="notContainsBlanks" dxfId="238" priority="335">
      <formula>LEN(TRIM(AM282))&gt;0</formula>
    </cfRule>
  </conditionalFormatting>
  <conditionalFormatting sqref="AO282:AP289">
    <cfRule type="notContainsBlanks" dxfId="237" priority="334">
      <formula>LEN(TRIM(AO282))&gt;0</formula>
    </cfRule>
  </conditionalFormatting>
  <conditionalFormatting sqref="AN298:AN305">
    <cfRule type="notContainsBlanks" dxfId="236" priority="333">
      <formula>LEN(TRIM(AN298))&gt;0</formula>
    </cfRule>
  </conditionalFormatting>
  <conditionalFormatting sqref="AM298:AM305">
    <cfRule type="notContainsBlanks" dxfId="235" priority="332">
      <formula>LEN(TRIM(AM298))&gt;0</formula>
    </cfRule>
  </conditionalFormatting>
  <conditionalFormatting sqref="AO298:AP305">
    <cfRule type="notContainsBlanks" dxfId="234" priority="331">
      <formula>LEN(TRIM(AO298))&gt;0</formula>
    </cfRule>
  </conditionalFormatting>
  <conditionalFormatting sqref="AN314:AN321">
    <cfRule type="notContainsBlanks" dxfId="233" priority="330">
      <formula>LEN(TRIM(AN314))&gt;0</formula>
    </cfRule>
  </conditionalFormatting>
  <conditionalFormatting sqref="AM314:AM321">
    <cfRule type="notContainsBlanks" dxfId="232" priority="329">
      <formula>LEN(TRIM(AM314))&gt;0</formula>
    </cfRule>
  </conditionalFormatting>
  <conditionalFormatting sqref="AO314:AP321">
    <cfRule type="notContainsBlanks" dxfId="231" priority="328">
      <formula>LEN(TRIM(AO314))&gt;0</formula>
    </cfRule>
  </conditionalFormatting>
  <conditionalFormatting sqref="A323:C323">
    <cfRule type="notContainsBlanks" dxfId="230" priority="325">
      <formula>LEN(TRIM(A323))&gt;0</formula>
    </cfRule>
  </conditionalFormatting>
  <conditionalFormatting sqref="C330:AI337 AK330:AL337">
    <cfRule type="notContainsBlanks" dxfId="229" priority="323">
      <formula>LEN(TRIM(C330))&gt;0</formula>
    </cfRule>
    <cfRule type="containsBlanks" dxfId="228" priority="324">
      <formula>LEN(TRIM(C330))=0</formula>
    </cfRule>
  </conditionalFormatting>
  <conditionalFormatting sqref="AP326:AQ326">
    <cfRule type="cellIs" dxfId="227" priority="320" operator="greaterThanOrEqual">
      <formula>20</formula>
    </cfRule>
    <cfRule type="cellIs" dxfId="226" priority="321" operator="greaterThanOrEqual">
      <formula>1</formula>
    </cfRule>
    <cfRule type="cellIs" dxfId="225" priority="322" operator="lessThanOrEqual">
      <formula>0</formula>
    </cfRule>
  </conditionalFormatting>
  <conditionalFormatting sqref="AP324:AQ324">
    <cfRule type="containsBlanks" dxfId="224" priority="318">
      <formula>LEN(TRIM(AP324))=0</formula>
    </cfRule>
    <cfRule type="notContainsBlanks" dxfId="223" priority="319">
      <formula>LEN(TRIM(AP324))&gt;0</formula>
    </cfRule>
  </conditionalFormatting>
  <conditionalFormatting sqref="B324">
    <cfRule type="notContainsBlanks" dxfId="222" priority="316">
      <formula>LEN(TRIM(B324))&gt;0</formula>
    </cfRule>
  </conditionalFormatting>
  <conditionalFormatting sqref="B326">
    <cfRule type="notContainsBlanks" dxfId="221" priority="317">
      <formula>LEN(TRIM(B326))&gt;0</formula>
    </cfRule>
  </conditionalFormatting>
  <conditionalFormatting sqref="B325">
    <cfRule type="notContainsBlanks" dxfId="220" priority="315">
      <formula>LEN(TRIM(B325))&gt;0</formula>
    </cfRule>
  </conditionalFormatting>
  <conditionalFormatting sqref="AN330:AN337">
    <cfRule type="notContainsBlanks" dxfId="219" priority="313">
      <formula>LEN(TRIM(AN330))&gt;0</formula>
    </cfRule>
  </conditionalFormatting>
  <conditionalFormatting sqref="AM330:AM337">
    <cfRule type="notContainsBlanks" dxfId="218" priority="312">
      <formula>LEN(TRIM(AM330))&gt;0</formula>
    </cfRule>
  </conditionalFormatting>
  <conditionalFormatting sqref="AO330:AP337">
    <cfRule type="notContainsBlanks" dxfId="217" priority="311">
      <formula>LEN(TRIM(AO330))&gt;0</formula>
    </cfRule>
  </conditionalFormatting>
  <conditionalFormatting sqref="A339:C339">
    <cfRule type="notContainsBlanks" dxfId="216" priority="308">
      <formula>LEN(TRIM(A339))&gt;0</formula>
    </cfRule>
  </conditionalFormatting>
  <conditionalFormatting sqref="C346:AI353 AK346:AL353">
    <cfRule type="notContainsBlanks" dxfId="215" priority="306">
      <formula>LEN(TRIM(C346))&gt;0</formula>
    </cfRule>
    <cfRule type="containsBlanks" dxfId="214" priority="307">
      <formula>LEN(TRIM(C346))=0</formula>
    </cfRule>
  </conditionalFormatting>
  <conditionalFormatting sqref="AP342:AQ342">
    <cfRule type="cellIs" dxfId="213" priority="303" operator="greaterThanOrEqual">
      <formula>20</formula>
    </cfRule>
    <cfRule type="cellIs" dxfId="212" priority="304" operator="greaterThanOrEqual">
      <formula>1</formula>
    </cfRule>
    <cfRule type="cellIs" dxfId="211" priority="305" operator="lessThanOrEqual">
      <formula>0</formula>
    </cfRule>
  </conditionalFormatting>
  <conditionalFormatting sqref="AP340:AQ340">
    <cfRule type="containsBlanks" dxfId="210" priority="301">
      <formula>LEN(TRIM(AP340))=0</formula>
    </cfRule>
    <cfRule type="notContainsBlanks" dxfId="209" priority="302">
      <formula>LEN(TRIM(AP340))&gt;0</formula>
    </cfRule>
  </conditionalFormatting>
  <conditionalFormatting sqref="B340">
    <cfRule type="notContainsBlanks" dxfId="208" priority="299">
      <formula>LEN(TRIM(B340))&gt;0</formula>
    </cfRule>
  </conditionalFormatting>
  <conditionalFormatting sqref="B342">
    <cfRule type="notContainsBlanks" dxfId="207" priority="300">
      <formula>LEN(TRIM(B342))&gt;0</formula>
    </cfRule>
  </conditionalFormatting>
  <conditionalFormatting sqref="B341">
    <cfRule type="notContainsBlanks" dxfId="206" priority="298">
      <formula>LEN(TRIM(B341))&gt;0</formula>
    </cfRule>
  </conditionalFormatting>
  <conditionalFormatting sqref="AN346:AN353">
    <cfRule type="notContainsBlanks" dxfId="205" priority="296">
      <formula>LEN(TRIM(AN346))&gt;0</formula>
    </cfRule>
  </conditionalFormatting>
  <conditionalFormatting sqref="AM346:AM353">
    <cfRule type="notContainsBlanks" dxfId="204" priority="295">
      <formula>LEN(TRIM(AM346))&gt;0</formula>
    </cfRule>
  </conditionalFormatting>
  <conditionalFormatting sqref="AO346:AP353">
    <cfRule type="notContainsBlanks" dxfId="203" priority="294">
      <formula>LEN(TRIM(AO346))&gt;0</formula>
    </cfRule>
  </conditionalFormatting>
  <conditionalFormatting sqref="A355:C355">
    <cfRule type="notContainsBlanks" dxfId="202" priority="291">
      <formula>LEN(TRIM(A355))&gt;0</formula>
    </cfRule>
  </conditionalFormatting>
  <conditionalFormatting sqref="C362:AI369 AK362:AL369">
    <cfRule type="notContainsBlanks" dxfId="201" priority="289">
      <formula>LEN(TRIM(C362))&gt;0</formula>
    </cfRule>
    <cfRule type="containsBlanks" dxfId="200" priority="290">
      <formula>LEN(TRIM(C362))=0</formula>
    </cfRule>
  </conditionalFormatting>
  <conditionalFormatting sqref="AP358:AQ358">
    <cfRule type="cellIs" dxfId="199" priority="286" operator="greaterThanOrEqual">
      <formula>20</formula>
    </cfRule>
    <cfRule type="cellIs" dxfId="198" priority="287" operator="greaterThanOrEqual">
      <formula>1</formula>
    </cfRule>
    <cfRule type="cellIs" dxfId="197" priority="288" operator="lessThanOrEqual">
      <formula>0</formula>
    </cfRule>
  </conditionalFormatting>
  <conditionalFormatting sqref="AP356:AQ356">
    <cfRule type="containsBlanks" dxfId="196" priority="284">
      <formula>LEN(TRIM(AP356))=0</formula>
    </cfRule>
    <cfRule type="notContainsBlanks" dxfId="195" priority="285">
      <formula>LEN(TRIM(AP356))&gt;0</formula>
    </cfRule>
  </conditionalFormatting>
  <conditionalFormatting sqref="B356">
    <cfRule type="notContainsBlanks" dxfId="194" priority="282">
      <formula>LEN(TRIM(B356))&gt;0</formula>
    </cfRule>
  </conditionalFormatting>
  <conditionalFormatting sqref="B358">
    <cfRule type="notContainsBlanks" dxfId="193" priority="283">
      <formula>LEN(TRIM(B358))&gt;0</formula>
    </cfRule>
  </conditionalFormatting>
  <conditionalFormatting sqref="B357">
    <cfRule type="notContainsBlanks" dxfId="192" priority="281">
      <formula>LEN(TRIM(B357))&gt;0</formula>
    </cfRule>
  </conditionalFormatting>
  <conditionalFormatting sqref="AN362:AN369">
    <cfRule type="notContainsBlanks" dxfId="191" priority="279">
      <formula>LEN(TRIM(AN362))&gt;0</formula>
    </cfRule>
  </conditionalFormatting>
  <conditionalFormatting sqref="AM362:AM369">
    <cfRule type="notContainsBlanks" dxfId="190" priority="278">
      <formula>LEN(TRIM(AM362))&gt;0</formula>
    </cfRule>
  </conditionalFormatting>
  <conditionalFormatting sqref="AO362:AP369">
    <cfRule type="notContainsBlanks" dxfId="189" priority="277">
      <formula>LEN(TRIM(AO362))&gt;0</formula>
    </cfRule>
  </conditionalFormatting>
  <conditionalFormatting sqref="A371:C371">
    <cfRule type="notContainsBlanks" dxfId="188" priority="274">
      <formula>LEN(TRIM(A371))&gt;0</formula>
    </cfRule>
  </conditionalFormatting>
  <conditionalFormatting sqref="C378:AI385 AK378:AL385">
    <cfRule type="notContainsBlanks" dxfId="187" priority="272">
      <formula>LEN(TRIM(C378))&gt;0</formula>
    </cfRule>
    <cfRule type="containsBlanks" dxfId="186" priority="273">
      <formula>LEN(TRIM(C378))=0</formula>
    </cfRule>
  </conditionalFormatting>
  <conditionalFormatting sqref="AP374:AQ374">
    <cfRule type="cellIs" dxfId="185" priority="269" operator="greaterThanOrEqual">
      <formula>20</formula>
    </cfRule>
    <cfRule type="cellIs" dxfId="184" priority="270" operator="greaterThanOrEqual">
      <formula>1</formula>
    </cfRule>
    <cfRule type="cellIs" dxfId="183" priority="271" operator="lessThanOrEqual">
      <formula>0</formula>
    </cfRule>
  </conditionalFormatting>
  <conditionalFormatting sqref="AP372:AQ372">
    <cfRule type="containsBlanks" dxfId="182" priority="267">
      <formula>LEN(TRIM(AP372))=0</formula>
    </cfRule>
    <cfRule type="notContainsBlanks" dxfId="181" priority="268">
      <formula>LEN(TRIM(AP372))&gt;0</formula>
    </cfRule>
  </conditionalFormatting>
  <conditionalFormatting sqref="B372">
    <cfRule type="notContainsBlanks" dxfId="180" priority="265">
      <formula>LEN(TRIM(B372))&gt;0</formula>
    </cfRule>
  </conditionalFormatting>
  <conditionalFormatting sqref="B374">
    <cfRule type="notContainsBlanks" dxfId="179" priority="266">
      <formula>LEN(TRIM(B374))&gt;0</formula>
    </cfRule>
  </conditionalFormatting>
  <conditionalFormatting sqref="B373">
    <cfRule type="notContainsBlanks" dxfId="178" priority="264">
      <formula>LEN(TRIM(B373))&gt;0</formula>
    </cfRule>
  </conditionalFormatting>
  <conditionalFormatting sqref="AM378:AM385">
    <cfRule type="notContainsBlanks" dxfId="177" priority="261">
      <formula>LEN(TRIM(AM378))&gt;0</formula>
    </cfRule>
  </conditionalFormatting>
  <conditionalFormatting sqref="AO378:AP385">
    <cfRule type="notContainsBlanks" dxfId="176" priority="260">
      <formula>LEN(TRIM(AO378))&gt;0</formula>
    </cfRule>
  </conditionalFormatting>
  <conditionalFormatting sqref="A387:C387">
    <cfRule type="notContainsBlanks" dxfId="175" priority="257">
      <formula>LEN(TRIM(A387))&gt;0</formula>
    </cfRule>
  </conditionalFormatting>
  <conditionalFormatting sqref="C394:AI401 AK394:AL401">
    <cfRule type="notContainsBlanks" dxfId="174" priority="255">
      <formula>LEN(TRIM(C394))&gt;0</formula>
    </cfRule>
    <cfRule type="containsBlanks" dxfId="173" priority="256">
      <formula>LEN(TRIM(C394))=0</formula>
    </cfRule>
  </conditionalFormatting>
  <conditionalFormatting sqref="AP390:AQ390">
    <cfRule type="cellIs" dxfId="172" priority="252" operator="greaterThanOrEqual">
      <formula>20</formula>
    </cfRule>
    <cfRule type="cellIs" dxfId="171" priority="253" operator="greaterThanOrEqual">
      <formula>1</formula>
    </cfRule>
    <cfRule type="cellIs" dxfId="170" priority="254" operator="lessThanOrEqual">
      <formula>0</formula>
    </cfRule>
  </conditionalFormatting>
  <conditionalFormatting sqref="AP388:AQ388">
    <cfRule type="containsBlanks" dxfId="169" priority="250">
      <formula>LEN(TRIM(AP388))=0</formula>
    </cfRule>
    <cfRule type="notContainsBlanks" dxfId="168" priority="251">
      <formula>LEN(TRIM(AP388))&gt;0</formula>
    </cfRule>
  </conditionalFormatting>
  <conditionalFormatting sqref="B388">
    <cfRule type="notContainsBlanks" dxfId="167" priority="248">
      <formula>LEN(TRIM(B388))&gt;0</formula>
    </cfRule>
  </conditionalFormatting>
  <conditionalFormatting sqref="B390">
    <cfRule type="notContainsBlanks" dxfId="166" priority="249">
      <formula>LEN(TRIM(B390))&gt;0</formula>
    </cfRule>
  </conditionalFormatting>
  <conditionalFormatting sqref="B389">
    <cfRule type="notContainsBlanks" dxfId="165" priority="247">
      <formula>LEN(TRIM(B389))&gt;0</formula>
    </cfRule>
  </conditionalFormatting>
  <conditionalFormatting sqref="AN394:AN401">
    <cfRule type="notContainsBlanks" dxfId="164" priority="245">
      <formula>LEN(TRIM(AN394))&gt;0</formula>
    </cfRule>
  </conditionalFormatting>
  <conditionalFormatting sqref="AM394:AM401">
    <cfRule type="notContainsBlanks" dxfId="163" priority="244">
      <formula>LEN(TRIM(AM394))&gt;0</formula>
    </cfRule>
  </conditionalFormatting>
  <conditionalFormatting sqref="AO394:AP401">
    <cfRule type="notContainsBlanks" dxfId="162" priority="243">
      <formula>LEN(TRIM(AO394))&gt;0</formula>
    </cfRule>
  </conditionalFormatting>
  <conditionalFormatting sqref="A403:C403">
    <cfRule type="notContainsBlanks" dxfId="161" priority="240">
      <formula>LEN(TRIM(A403))&gt;0</formula>
    </cfRule>
  </conditionalFormatting>
  <conditionalFormatting sqref="C410:AI417 AK410:AL417">
    <cfRule type="notContainsBlanks" dxfId="160" priority="238">
      <formula>LEN(TRIM(C410))&gt;0</formula>
    </cfRule>
    <cfRule type="containsBlanks" dxfId="159" priority="239">
      <formula>LEN(TRIM(C410))=0</formula>
    </cfRule>
  </conditionalFormatting>
  <conditionalFormatting sqref="AP406:AQ406">
    <cfRule type="cellIs" dxfId="158" priority="235" operator="greaterThanOrEqual">
      <formula>20</formula>
    </cfRule>
    <cfRule type="cellIs" dxfId="157" priority="236" operator="greaterThanOrEqual">
      <formula>1</formula>
    </cfRule>
    <cfRule type="cellIs" dxfId="156" priority="237" operator="lessThanOrEqual">
      <formula>0</formula>
    </cfRule>
  </conditionalFormatting>
  <conditionalFormatting sqref="AP404:AQ404">
    <cfRule type="containsBlanks" dxfId="155" priority="233">
      <formula>LEN(TRIM(AP404))=0</formula>
    </cfRule>
    <cfRule type="notContainsBlanks" dxfId="154" priority="234">
      <formula>LEN(TRIM(AP404))&gt;0</formula>
    </cfRule>
  </conditionalFormatting>
  <conditionalFormatting sqref="B404">
    <cfRule type="notContainsBlanks" dxfId="153" priority="231">
      <formula>LEN(TRIM(B404))&gt;0</formula>
    </cfRule>
  </conditionalFormatting>
  <conditionalFormatting sqref="B406">
    <cfRule type="notContainsBlanks" dxfId="152" priority="232">
      <formula>LEN(TRIM(B406))&gt;0</formula>
    </cfRule>
  </conditionalFormatting>
  <conditionalFormatting sqref="B405">
    <cfRule type="notContainsBlanks" dxfId="151" priority="230">
      <formula>LEN(TRIM(B405))&gt;0</formula>
    </cfRule>
  </conditionalFormatting>
  <conditionalFormatting sqref="AN410:AN417">
    <cfRule type="notContainsBlanks" dxfId="150" priority="228">
      <formula>LEN(TRIM(AN410))&gt;0</formula>
    </cfRule>
  </conditionalFormatting>
  <conditionalFormatting sqref="AM410:AM417">
    <cfRule type="notContainsBlanks" dxfId="149" priority="227">
      <formula>LEN(TRIM(AM410))&gt;0</formula>
    </cfRule>
  </conditionalFormatting>
  <conditionalFormatting sqref="AO410:AP417">
    <cfRule type="notContainsBlanks" dxfId="148" priority="226">
      <formula>LEN(TRIM(AO410))&gt;0</formula>
    </cfRule>
  </conditionalFormatting>
  <conditionalFormatting sqref="CA5">
    <cfRule type="containsBlanks" dxfId="147" priority="206">
      <formula>LEN(TRIM(CA5))=0</formula>
    </cfRule>
  </conditionalFormatting>
  <conditionalFormatting sqref="AJ10:AJ17">
    <cfRule type="notContainsBlanks" dxfId="146" priority="179">
      <formula>LEN(TRIM(AJ10))&gt;0</formula>
    </cfRule>
    <cfRule type="containsBlanks" dxfId="145" priority="199">
      <formula>LEN(TRIM(AJ10))=0</formula>
    </cfRule>
  </conditionalFormatting>
  <conditionalFormatting sqref="AJ6">
    <cfRule type="containsBlanks" dxfId="144" priority="178">
      <formula>LEN(TRIM(AJ6))=0</formula>
    </cfRule>
  </conditionalFormatting>
  <conditionalFormatting sqref="AJ26:AJ33">
    <cfRule type="notContainsBlanks" dxfId="143" priority="176">
      <formula>LEN(TRIM(AJ26))&gt;0</formula>
    </cfRule>
    <cfRule type="containsBlanks" dxfId="142" priority="177">
      <formula>LEN(TRIM(AJ26))=0</formula>
    </cfRule>
  </conditionalFormatting>
  <conditionalFormatting sqref="AJ42:AJ49">
    <cfRule type="notContainsBlanks" dxfId="141" priority="174">
      <formula>LEN(TRIM(AJ42))&gt;0</formula>
    </cfRule>
    <cfRule type="containsBlanks" dxfId="140" priority="175">
      <formula>LEN(TRIM(AJ42))=0</formula>
    </cfRule>
  </conditionalFormatting>
  <conditionalFormatting sqref="AJ58:AJ65">
    <cfRule type="notContainsBlanks" dxfId="139" priority="172">
      <formula>LEN(TRIM(AJ58))&gt;0</formula>
    </cfRule>
    <cfRule type="containsBlanks" dxfId="138" priority="173">
      <formula>LEN(TRIM(AJ58))=0</formula>
    </cfRule>
  </conditionalFormatting>
  <conditionalFormatting sqref="AJ74:AJ81">
    <cfRule type="notContainsBlanks" dxfId="137" priority="170">
      <formula>LEN(TRIM(AJ74))&gt;0</formula>
    </cfRule>
    <cfRule type="containsBlanks" dxfId="136" priority="171">
      <formula>LEN(TRIM(AJ74))=0</formula>
    </cfRule>
  </conditionalFormatting>
  <conditionalFormatting sqref="AJ90:AJ97">
    <cfRule type="notContainsBlanks" dxfId="135" priority="168">
      <formula>LEN(TRIM(AJ90))&gt;0</formula>
    </cfRule>
    <cfRule type="containsBlanks" dxfId="134" priority="169">
      <formula>LEN(TRIM(AJ90))=0</formula>
    </cfRule>
  </conditionalFormatting>
  <conditionalFormatting sqref="AJ106:AJ113">
    <cfRule type="notContainsBlanks" dxfId="133" priority="166">
      <formula>LEN(TRIM(AJ106))&gt;0</formula>
    </cfRule>
    <cfRule type="containsBlanks" dxfId="132" priority="167">
      <formula>LEN(TRIM(AJ106))=0</formula>
    </cfRule>
  </conditionalFormatting>
  <conditionalFormatting sqref="AJ122:AJ129">
    <cfRule type="notContainsBlanks" dxfId="131" priority="164">
      <formula>LEN(TRIM(AJ122))&gt;0</formula>
    </cfRule>
    <cfRule type="containsBlanks" dxfId="130" priority="165">
      <formula>LEN(TRIM(AJ122))=0</formula>
    </cfRule>
  </conditionalFormatting>
  <conditionalFormatting sqref="AJ138:AJ145">
    <cfRule type="notContainsBlanks" dxfId="129" priority="162">
      <formula>LEN(TRIM(AJ138))&gt;0</formula>
    </cfRule>
    <cfRule type="containsBlanks" dxfId="128" priority="163">
      <formula>LEN(TRIM(AJ138))=0</formula>
    </cfRule>
  </conditionalFormatting>
  <conditionalFormatting sqref="AJ154:AJ161">
    <cfRule type="notContainsBlanks" dxfId="127" priority="160">
      <formula>LEN(TRIM(AJ154))&gt;0</formula>
    </cfRule>
    <cfRule type="containsBlanks" dxfId="126" priority="161">
      <formula>LEN(TRIM(AJ154))=0</formula>
    </cfRule>
  </conditionalFormatting>
  <conditionalFormatting sqref="AJ170:AJ177">
    <cfRule type="notContainsBlanks" dxfId="125" priority="158">
      <formula>LEN(TRIM(AJ170))&gt;0</formula>
    </cfRule>
    <cfRule type="containsBlanks" dxfId="124" priority="159">
      <formula>LEN(TRIM(AJ170))=0</formula>
    </cfRule>
  </conditionalFormatting>
  <conditionalFormatting sqref="AJ186:AJ193">
    <cfRule type="notContainsBlanks" dxfId="123" priority="156">
      <formula>LEN(TRIM(AJ186))&gt;0</formula>
    </cfRule>
    <cfRule type="containsBlanks" dxfId="122" priority="157">
      <formula>LEN(TRIM(AJ186))=0</formula>
    </cfRule>
  </conditionalFormatting>
  <conditionalFormatting sqref="AJ202:AJ209">
    <cfRule type="notContainsBlanks" dxfId="121" priority="154">
      <formula>LEN(TRIM(AJ202))&gt;0</formula>
    </cfRule>
    <cfRule type="containsBlanks" dxfId="120" priority="155">
      <formula>LEN(TRIM(AJ202))=0</formula>
    </cfRule>
  </conditionalFormatting>
  <conditionalFormatting sqref="AJ218:AJ225">
    <cfRule type="notContainsBlanks" dxfId="119" priority="152">
      <formula>LEN(TRIM(AJ218))&gt;0</formula>
    </cfRule>
    <cfRule type="containsBlanks" dxfId="118" priority="153">
      <formula>LEN(TRIM(AJ218))=0</formula>
    </cfRule>
  </conditionalFormatting>
  <conditionalFormatting sqref="AJ234:AJ241">
    <cfRule type="notContainsBlanks" dxfId="117" priority="150">
      <formula>LEN(TRIM(AJ234))&gt;0</formula>
    </cfRule>
    <cfRule type="containsBlanks" dxfId="116" priority="151">
      <formula>LEN(TRIM(AJ234))=0</formula>
    </cfRule>
  </conditionalFormatting>
  <conditionalFormatting sqref="AJ250:AJ257">
    <cfRule type="notContainsBlanks" dxfId="115" priority="148">
      <formula>LEN(TRIM(AJ250))&gt;0</formula>
    </cfRule>
    <cfRule type="containsBlanks" dxfId="114" priority="149">
      <formula>LEN(TRIM(AJ250))=0</formula>
    </cfRule>
  </conditionalFormatting>
  <conditionalFormatting sqref="AJ266:AJ273">
    <cfRule type="notContainsBlanks" dxfId="113" priority="146">
      <formula>LEN(TRIM(AJ266))&gt;0</formula>
    </cfRule>
    <cfRule type="containsBlanks" dxfId="112" priority="147">
      <formula>LEN(TRIM(AJ266))=0</formula>
    </cfRule>
  </conditionalFormatting>
  <conditionalFormatting sqref="AJ282:AJ289">
    <cfRule type="notContainsBlanks" dxfId="111" priority="144">
      <formula>LEN(TRIM(AJ282))&gt;0</formula>
    </cfRule>
    <cfRule type="containsBlanks" dxfId="110" priority="145">
      <formula>LEN(TRIM(AJ282))=0</formula>
    </cfRule>
  </conditionalFormatting>
  <conditionalFormatting sqref="AJ298:AJ305">
    <cfRule type="notContainsBlanks" dxfId="109" priority="142">
      <formula>LEN(TRIM(AJ298))&gt;0</formula>
    </cfRule>
    <cfRule type="containsBlanks" dxfId="108" priority="143">
      <formula>LEN(TRIM(AJ298))=0</formula>
    </cfRule>
  </conditionalFormatting>
  <conditionalFormatting sqref="AJ314:AJ321">
    <cfRule type="notContainsBlanks" dxfId="107" priority="140">
      <formula>LEN(TRIM(AJ314))&gt;0</formula>
    </cfRule>
    <cfRule type="containsBlanks" dxfId="106" priority="141">
      <formula>LEN(TRIM(AJ314))=0</formula>
    </cfRule>
  </conditionalFormatting>
  <conditionalFormatting sqref="AJ22">
    <cfRule type="containsBlanks" dxfId="105" priority="139">
      <formula>LEN(TRIM(AJ22))=0</formula>
    </cfRule>
  </conditionalFormatting>
  <conditionalFormatting sqref="AJ330:AJ337">
    <cfRule type="notContainsBlanks" dxfId="104" priority="118">
      <formula>LEN(TRIM(AJ330))&gt;0</formula>
    </cfRule>
    <cfRule type="containsBlanks" dxfId="103" priority="119">
      <formula>LEN(TRIM(AJ330))=0</formula>
    </cfRule>
  </conditionalFormatting>
  <conditionalFormatting sqref="AJ346:AJ353">
    <cfRule type="notContainsBlanks" dxfId="102" priority="114">
      <formula>LEN(TRIM(AJ346))&gt;0</formula>
    </cfRule>
    <cfRule type="containsBlanks" dxfId="101" priority="115">
      <formula>LEN(TRIM(AJ346))=0</formula>
    </cfRule>
  </conditionalFormatting>
  <conditionalFormatting sqref="AJ362:AJ369">
    <cfRule type="notContainsBlanks" dxfId="100" priority="110">
      <formula>LEN(TRIM(AJ362))&gt;0</formula>
    </cfRule>
    <cfRule type="containsBlanks" dxfId="99" priority="111">
      <formula>LEN(TRIM(AJ362))=0</formula>
    </cfRule>
  </conditionalFormatting>
  <conditionalFormatting sqref="AJ378:AJ385">
    <cfRule type="notContainsBlanks" dxfId="98" priority="106">
      <formula>LEN(TRIM(AJ378))&gt;0</formula>
    </cfRule>
    <cfRule type="containsBlanks" dxfId="97" priority="107">
      <formula>LEN(TRIM(AJ378))=0</formula>
    </cfRule>
  </conditionalFormatting>
  <conditionalFormatting sqref="AJ394:AJ401">
    <cfRule type="notContainsBlanks" dxfId="96" priority="102">
      <formula>LEN(TRIM(AJ394))&gt;0</formula>
    </cfRule>
    <cfRule type="containsBlanks" dxfId="95" priority="103">
      <formula>LEN(TRIM(AJ394))=0</formula>
    </cfRule>
  </conditionalFormatting>
  <conditionalFormatting sqref="AJ410:AJ417">
    <cfRule type="notContainsBlanks" dxfId="94" priority="98">
      <formula>LEN(TRIM(AJ410))&gt;0</formula>
    </cfRule>
    <cfRule type="containsBlanks" dxfId="93" priority="99">
      <formula>LEN(TRIM(AJ410))=0</formula>
    </cfRule>
  </conditionalFormatting>
  <conditionalFormatting sqref="C69:AL69">
    <cfRule type="containsBlanks" dxfId="92" priority="96">
      <formula>LEN(TRIM(C69))=0</formula>
    </cfRule>
  </conditionalFormatting>
  <conditionalFormatting sqref="C70:AL70">
    <cfRule type="containsBlanks" dxfId="91" priority="95">
      <formula>LEN(TRIM(C70))=0</formula>
    </cfRule>
  </conditionalFormatting>
  <conditionalFormatting sqref="C85:AL85">
    <cfRule type="containsBlanks" dxfId="90" priority="94">
      <formula>LEN(TRIM(C85))=0</formula>
    </cfRule>
  </conditionalFormatting>
  <conditionalFormatting sqref="C86:AL86">
    <cfRule type="containsBlanks" dxfId="89" priority="93">
      <formula>LEN(TRIM(C86))=0</formula>
    </cfRule>
  </conditionalFormatting>
  <conditionalFormatting sqref="C101:AL101">
    <cfRule type="containsBlanks" dxfId="88" priority="92">
      <formula>LEN(TRIM(C101))=0</formula>
    </cfRule>
  </conditionalFormatting>
  <conditionalFormatting sqref="C102:AL102">
    <cfRule type="containsBlanks" dxfId="87" priority="91">
      <formula>LEN(TRIM(C102))=0</formula>
    </cfRule>
  </conditionalFormatting>
  <conditionalFormatting sqref="C117:AL117">
    <cfRule type="containsBlanks" dxfId="86" priority="90">
      <formula>LEN(TRIM(C117))=0</formula>
    </cfRule>
  </conditionalFormatting>
  <conditionalFormatting sqref="C118:AL118">
    <cfRule type="containsBlanks" dxfId="85" priority="89">
      <formula>LEN(TRIM(C118))=0</formula>
    </cfRule>
  </conditionalFormatting>
  <conditionalFormatting sqref="C133:AL133">
    <cfRule type="containsBlanks" dxfId="84" priority="88">
      <formula>LEN(TRIM(C133))=0</formula>
    </cfRule>
  </conditionalFormatting>
  <conditionalFormatting sqref="C134:AL134">
    <cfRule type="containsBlanks" dxfId="83" priority="87">
      <formula>LEN(TRIM(C134))=0</formula>
    </cfRule>
  </conditionalFormatting>
  <conditionalFormatting sqref="C149:AL149">
    <cfRule type="containsBlanks" dxfId="82" priority="86">
      <formula>LEN(TRIM(C149))=0</formula>
    </cfRule>
  </conditionalFormatting>
  <conditionalFormatting sqref="C150:AL150">
    <cfRule type="containsBlanks" dxfId="81" priority="85">
      <formula>LEN(TRIM(C150))=0</formula>
    </cfRule>
  </conditionalFormatting>
  <conditionalFormatting sqref="C165:AL165">
    <cfRule type="containsBlanks" dxfId="80" priority="84">
      <formula>LEN(TRIM(C165))=0</formula>
    </cfRule>
  </conditionalFormatting>
  <conditionalFormatting sqref="C166:AL166">
    <cfRule type="containsBlanks" dxfId="79" priority="83">
      <formula>LEN(TRIM(C166))=0</formula>
    </cfRule>
  </conditionalFormatting>
  <conditionalFormatting sqref="C181:AL181">
    <cfRule type="containsBlanks" dxfId="78" priority="82">
      <formula>LEN(TRIM(C181))=0</formula>
    </cfRule>
  </conditionalFormatting>
  <conditionalFormatting sqref="C182:AL182">
    <cfRule type="containsBlanks" dxfId="77" priority="81">
      <formula>LEN(TRIM(C182))=0</formula>
    </cfRule>
  </conditionalFormatting>
  <conditionalFormatting sqref="C197:AL197">
    <cfRule type="containsBlanks" dxfId="76" priority="80">
      <formula>LEN(TRIM(C197))=0</formula>
    </cfRule>
  </conditionalFormatting>
  <conditionalFormatting sqref="C198:AL198">
    <cfRule type="containsBlanks" dxfId="75" priority="79">
      <formula>LEN(TRIM(C198))=0</formula>
    </cfRule>
  </conditionalFormatting>
  <conditionalFormatting sqref="C213:AL213">
    <cfRule type="containsBlanks" dxfId="74" priority="78">
      <formula>LEN(TRIM(C213))=0</formula>
    </cfRule>
  </conditionalFormatting>
  <conditionalFormatting sqref="C214:AL214">
    <cfRule type="containsBlanks" dxfId="73" priority="77">
      <formula>LEN(TRIM(C214))=0</formula>
    </cfRule>
  </conditionalFormatting>
  <conditionalFormatting sqref="C229:AL229">
    <cfRule type="containsBlanks" dxfId="72" priority="76">
      <formula>LEN(TRIM(C229))=0</formula>
    </cfRule>
  </conditionalFormatting>
  <conditionalFormatting sqref="C230:AL230">
    <cfRule type="containsBlanks" dxfId="71" priority="75">
      <formula>LEN(TRIM(C230))=0</formula>
    </cfRule>
  </conditionalFormatting>
  <conditionalFormatting sqref="C245:AL245">
    <cfRule type="containsBlanks" dxfId="70" priority="74">
      <formula>LEN(TRIM(C245))=0</formula>
    </cfRule>
  </conditionalFormatting>
  <conditionalFormatting sqref="C246:AL246">
    <cfRule type="containsBlanks" dxfId="69" priority="73">
      <formula>LEN(TRIM(C246))=0</formula>
    </cfRule>
  </conditionalFormatting>
  <conditionalFormatting sqref="C261:AL261">
    <cfRule type="containsBlanks" dxfId="68" priority="72">
      <formula>LEN(TRIM(C261))=0</formula>
    </cfRule>
  </conditionalFormatting>
  <conditionalFormatting sqref="C262:AL262">
    <cfRule type="containsBlanks" dxfId="67" priority="71">
      <formula>LEN(TRIM(C262))=0</formula>
    </cfRule>
  </conditionalFormatting>
  <conditionalFormatting sqref="C277:AL277">
    <cfRule type="containsBlanks" dxfId="66" priority="70">
      <formula>LEN(TRIM(C277))=0</formula>
    </cfRule>
  </conditionalFormatting>
  <conditionalFormatting sqref="C278:AL278">
    <cfRule type="containsBlanks" dxfId="65" priority="69">
      <formula>LEN(TRIM(C278))=0</formula>
    </cfRule>
  </conditionalFormatting>
  <conditionalFormatting sqref="C293:AL293">
    <cfRule type="containsBlanks" dxfId="64" priority="68">
      <formula>LEN(TRIM(C293))=0</formula>
    </cfRule>
  </conditionalFormatting>
  <conditionalFormatting sqref="C294:AL294">
    <cfRule type="containsBlanks" dxfId="63" priority="67">
      <formula>LEN(TRIM(C294))=0</formula>
    </cfRule>
  </conditionalFormatting>
  <conditionalFormatting sqref="C309:AL309">
    <cfRule type="containsBlanks" dxfId="62" priority="66">
      <formula>LEN(TRIM(C309))=0</formula>
    </cfRule>
  </conditionalFormatting>
  <conditionalFormatting sqref="C310:AL310">
    <cfRule type="containsBlanks" dxfId="61" priority="65">
      <formula>LEN(TRIM(C310))=0</formula>
    </cfRule>
  </conditionalFormatting>
  <conditionalFormatting sqref="C325:AL325">
    <cfRule type="containsBlanks" dxfId="60" priority="64">
      <formula>LEN(TRIM(C325))=0</formula>
    </cfRule>
  </conditionalFormatting>
  <conditionalFormatting sqref="C326:AL326">
    <cfRule type="containsBlanks" dxfId="59" priority="63">
      <formula>LEN(TRIM(C326))=0</formula>
    </cfRule>
  </conditionalFormatting>
  <conditionalFormatting sqref="C341:AL341">
    <cfRule type="containsBlanks" dxfId="58" priority="62">
      <formula>LEN(TRIM(C341))=0</formula>
    </cfRule>
  </conditionalFormatting>
  <conditionalFormatting sqref="C342:AL342">
    <cfRule type="containsBlanks" dxfId="57" priority="61">
      <formula>LEN(TRIM(C342))=0</formula>
    </cfRule>
  </conditionalFormatting>
  <conditionalFormatting sqref="C357:AL357">
    <cfRule type="containsBlanks" dxfId="56" priority="60">
      <formula>LEN(TRIM(C357))=0</formula>
    </cfRule>
  </conditionalFormatting>
  <conditionalFormatting sqref="C358:AL358">
    <cfRule type="containsBlanks" dxfId="55" priority="59">
      <formula>LEN(TRIM(C358))=0</formula>
    </cfRule>
  </conditionalFormatting>
  <conditionalFormatting sqref="C373:AL373">
    <cfRule type="containsBlanks" dxfId="54" priority="58">
      <formula>LEN(TRIM(C373))=0</formula>
    </cfRule>
  </conditionalFormatting>
  <conditionalFormatting sqref="C374:AL374">
    <cfRule type="containsBlanks" dxfId="53" priority="57">
      <formula>LEN(TRIM(C374))=0</formula>
    </cfRule>
  </conditionalFormatting>
  <conditionalFormatting sqref="C389:AL389">
    <cfRule type="containsBlanks" dxfId="52" priority="56">
      <formula>LEN(TRIM(C389))=0</formula>
    </cfRule>
  </conditionalFormatting>
  <conditionalFormatting sqref="C390:AL390">
    <cfRule type="containsBlanks" dxfId="51" priority="55">
      <formula>LEN(TRIM(C390))=0</formula>
    </cfRule>
  </conditionalFormatting>
  <conditionalFormatting sqref="C405:AL405">
    <cfRule type="containsBlanks" dxfId="50" priority="54">
      <formula>LEN(TRIM(C405))=0</formula>
    </cfRule>
  </conditionalFormatting>
  <conditionalFormatting sqref="C406:AL406">
    <cfRule type="containsBlanks" dxfId="49" priority="53">
      <formula>LEN(TRIM(C406))=0</formula>
    </cfRule>
  </conditionalFormatting>
  <conditionalFormatting sqref="AT21:BZ21 CB21:CC21">
    <cfRule type="containsBlanks" dxfId="48" priority="50">
      <formula>LEN(TRIM(AT21))=0</formula>
    </cfRule>
  </conditionalFormatting>
  <conditionalFormatting sqref="CA21">
    <cfRule type="containsBlanks" dxfId="47" priority="49">
      <formula>LEN(TRIM(CA21))=0</formula>
    </cfRule>
  </conditionalFormatting>
  <conditionalFormatting sqref="AT37:BZ37 CB37:CC37">
    <cfRule type="containsBlanks" dxfId="46" priority="48">
      <formula>LEN(TRIM(AT37))=0</formula>
    </cfRule>
  </conditionalFormatting>
  <conditionalFormatting sqref="CA37">
    <cfRule type="containsBlanks" dxfId="45" priority="47">
      <formula>LEN(TRIM(CA37))=0</formula>
    </cfRule>
  </conditionalFormatting>
  <conditionalFormatting sqref="AT53:BZ53 CB53:CC53">
    <cfRule type="containsBlanks" dxfId="44" priority="46">
      <formula>LEN(TRIM(AT53))=0</formula>
    </cfRule>
  </conditionalFormatting>
  <conditionalFormatting sqref="CA53">
    <cfRule type="containsBlanks" dxfId="43" priority="45">
      <formula>LEN(TRIM(CA53))=0</formula>
    </cfRule>
  </conditionalFormatting>
  <conditionalFormatting sqref="AT69:BZ69 CB69:CC69">
    <cfRule type="containsBlanks" dxfId="42" priority="44">
      <formula>LEN(TRIM(AT69))=0</formula>
    </cfRule>
  </conditionalFormatting>
  <conditionalFormatting sqref="CA69">
    <cfRule type="containsBlanks" dxfId="41" priority="43">
      <formula>LEN(TRIM(CA69))=0</formula>
    </cfRule>
  </conditionalFormatting>
  <conditionalFormatting sqref="AT85:BZ85 CB85:CC85">
    <cfRule type="containsBlanks" dxfId="40" priority="42">
      <formula>LEN(TRIM(AT85))=0</formula>
    </cfRule>
  </conditionalFormatting>
  <conditionalFormatting sqref="CA85">
    <cfRule type="containsBlanks" dxfId="39" priority="41">
      <formula>LEN(TRIM(CA85))=0</formula>
    </cfRule>
  </conditionalFormatting>
  <conditionalFormatting sqref="AT101:BZ101 CB101:CC101">
    <cfRule type="containsBlanks" dxfId="38" priority="40">
      <formula>LEN(TRIM(AT101))=0</formula>
    </cfRule>
  </conditionalFormatting>
  <conditionalFormatting sqref="CA101">
    <cfRule type="containsBlanks" dxfId="37" priority="39">
      <formula>LEN(TRIM(CA101))=0</formula>
    </cfRule>
  </conditionalFormatting>
  <conditionalFormatting sqref="AT117:BZ117 CB117:CC117">
    <cfRule type="containsBlanks" dxfId="36" priority="38">
      <formula>LEN(TRIM(AT117))=0</formula>
    </cfRule>
  </conditionalFormatting>
  <conditionalFormatting sqref="CA117">
    <cfRule type="containsBlanks" dxfId="35" priority="37">
      <formula>LEN(TRIM(CA117))=0</formula>
    </cfRule>
  </conditionalFormatting>
  <conditionalFormatting sqref="AT133:BZ133 CB133:CC133">
    <cfRule type="containsBlanks" dxfId="34" priority="36">
      <formula>LEN(TRIM(AT133))=0</formula>
    </cfRule>
  </conditionalFormatting>
  <conditionalFormatting sqref="CA133">
    <cfRule type="containsBlanks" dxfId="33" priority="35">
      <formula>LEN(TRIM(CA133))=0</formula>
    </cfRule>
  </conditionalFormatting>
  <conditionalFormatting sqref="AT149:BZ149 CB149:CC149">
    <cfRule type="containsBlanks" dxfId="32" priority="34">
      <formula>LEN(TRIM(AT149))=0</formula>
    </cfRule>
  </conditionalFormatting>
  <conditionalFormatting sqref="CA149">
    <cfRule type="containsBlanks" dxfId="31" priority="33">
      <formula>LEN(TRIM(CA149))=0</formula>
    </cfRule>
  </conditionalFormatting>
  <conditionalFormatting sqref="AT165:BZ165 CB165:CC165">
    <cfRule type="containsBlanks" dxfId="30" priority="32">
      <formula>LEN(TRIM(AT165))=0</formula>
    </cfRule>
  </conditionalFormatting>
  <conditionalFormatting sqref="CA165">
    <cfRule type="containsBlanks" dxfId="29" priority="31">
      <formula>LEN(TRIM(CA165))=0</formula>
    </cfRule>
  </conditionalFormatting>
  <conditionalFormatting sqref="AT181:BZ181 CB181:CC181">
    <cfRule type="containsBlanks" dxfId="28" priority="30">
      <formula>LEN(TRIM(AT181))=0</formula>
    </cfRule>
  </conditionalFormatting>
  <conditionalFormatting sqref="CA181">
    <cfRule type="containsBlanks" dxfId="27" priority="29">
      <formula>LEN(TRIM(CA181))=0</formula>
    </cfRule>
  </conditionalFormatting>
  <conditionalFormatting sqref="AT197:BZ197 CB197:CC197">
    <cfRule type="containsBlanks" dxfId="26" priority="28">
      <formula>LEN(TRIM(AT197))=0</formula>
    </cfRule>
  </conditionalFormatting>
  <conditionalFormatting sqref="CA197">
    <cfRule type="containsBlanks" dxfId="25" priority="27">
      <formula>LEN(TRIM(CA197))=0</formula>
    </cfRule>
  </conditionalFormatting>
  <conditionalFormatting sqref="AT213:BZ213 CB213:CC213">
    <cfRule type="containsBlanks" dxfId="24" priority="26">
      <formula>LEN(TRIM(AT213))=0</formula>
    </cfRule>
  </conditionalFormatting>
  <conditionalFormatting sqref="CA213">
    <cfRule type="containsBlanks" dxfId="23" priority="25">
      <formula>LEN(TRIM(CA213))=0</formula>
    </cfRule>
  </conditionalFormatting>
  <conditionalFormatting sqref="AT229:BZ229 CB229:CC229">
    <cfRule type="containsBlanks" dxfId="22" priority="24">
      <formula>LEN(TRIM(AT229))=0</formula>
    </cfRule>
  </conditionalFormatting>
  <conditionalFormatting sqref="CA229">
    <cfRule type="containsBlanks" dxfId="21" priority="23">
      <formula>LEN(TRIM(CA229))=0</formula>
    </cfRule>
  </conditionalFormatting>
  <conditionalFormatting sqref="AT245:BZ245 CB245:CC245">
    <cfRule type="containsBlanks" dxfId="20" priority="22">
      <formula>LEN(TRIM(AT245))=0</formula>
    </cfRule>
  </conditionalFormatting>
  <conditionalFormatting sqref="CA245">
    <cfRule type="containsBlanks" dxfId="19" priority="21">
      <formula>LEN(TRIM(CA245))=0</formula>
    </cfRule>
  </conditionalFormatting>
  <conditionalFormatting sqref="AT261:BZ261 CB261:CC261">
    <cfRule type="containsBlanks" dxfId="18" priority="20">
      <formula>LEN(TRIM(AT261))=0</formula>
    </cfRule>
  </conditionalFormatting>
  <conditionalFormatting sqref="CA261">
    <cfRule type="containsBlanks" dxfId="17" priority="19">
      <formula>LEN(TRIM(CA261))=0</formula>
    </cfRule>
  </conditionalFormatting>
  <conditionalFormatting sqref="AT277:BZ277 CB277:CC277">
    <cfRule type="containsBlanks" dxfId="16" priority="18">
      <formula>LEN(TRIM(AT277))=0</formula>
    </cfRule>
  </conditionalFormatting>
  <conditionalFormatting sqref="CA277">
    <cfRule type="containsBlanks" dxfId="15" priority="17">
      <formula>LEN(TRIM(CA277))=0</formula>
    </cfRule>
  </conditionalFormatting>
  <conditionalFormatting sqref="AT309:BZ309 CB309:CC309 AT293:BZ293 CB293:CC293">
    <cfRule type="containsBlanks" dxfId="14" priority="14">
      <formula>LEN(TRIM(AT293))=0</formula>
    </cfRule>
  </conditionalFormatting>
  <conditionalFormatting sqref="CA309 CA293">
    <cfRule type="containsBlanks" dxfId="13" priority="13">
      <formula>LEN(TRIM(CA293))=0</formula>
    </cfRule>
  </conditionalFormatting>
  <conditionalFormatting sqref="AT325:BZ325 CB325:CC325">
    <cfRule type="containsBlanks" dxfId="12" priority="12">
      <formula>LEN(TRIM(AT325))=0</formula>
    </cfRule>
  </conditionalFormatting>
  <conditionalFormatting sqref="CA325">
    <cfRule type="containsBlanks" dxfId="11" priority="11">
      <formula>LEN(TRIM(CA325))=0</formula>
    </cfRule>
  </conditionalFormatting>
  <conditionalFormatting sqref="AT341:BZ341 CB341:CC341">
    <cfRule type="containsBlanks" dxfId="10" priority="10">
      <formula>LEN(TRIM(AT341))=0</formula>
    </cfRule>
  </conditionalFormatting>
  <conditionalFormatting sqref="CA341">
    <cfRule type="containsBlanks" dxfId="9" priority="9">
      <formula>LEN(TRIM(CA341))=0</formula>
    </cfRule>
  </conditionalFormatting>
  <conditionalFormatting sqref="AT357:BZ357 CB357:CC357">
    <cfRule type="containsBlanks" dxfId="8" priority="8">
      <formula>LEN(TRIM(AT357))=0</formula>
    </cfRule>
  </conditionalFormatting>
  <conditionalFormatting sqref="CA357">
    <cfRule type="containsBlanks" dxfId="7" priority="7">
      <formula>LEN(TRIM(CA357))=0</formula>
    </cfRule>
  </conditionalFormatting>
  <conditionalFormatting sqref="AT373:BZ373 CB373:CC373">
    <cfRule type="containsBlanks" dxfId="6" priority="6">
      <formula>LEN(TRIM(AT373))=0</formula>
    </cfRule>
  </conditionalFormatting>
  <conditionalFormatting sqref="CA373">
    <cfRule type="containsBlanks" dxfId="5" priority="5">
      <formula>LEN(TRIM(CA373))=0</formula>
    </cfRule>
  </conditionalFormatting>
  <conditionalFormatting sqref="AT389:BZ389 CB389:CC389">
    <cfRule type="containsBlanks" dxfId="4" priority="4">
      <formula>LEN(TRIM(AT389))=0</formula>
    </cfRule>
  </conditionalFormatting>
  <conditionalFormatting sqref="CA389">
    <cfRule type="containsBlanks" dxfId="3" priority="3">
      <formula>LEN(TRIM(CA389))=0</formula>
    </cfRule>
  </conditionalFormatting>
  <conditionalFormatting sqref="AT405:BZ405 CB405:CC405">
    <cfRule type="containsBlanks" dxfId="2" priority="2">
      <formula>LEN(TRIM(AT405))=0</formula>
    </cfRule>
  </conditionalFormatting>
  <conditionalFormatting sqref="CA405">
    <cfRule type="containsBlanks" dxfId="1" priority="1">
      <formula>LEN(TRIM(CA405))=0</formula>
    </cfRule>
  </conditionalFormatting>
  <hyperlinks>
    <hyperlink ref="F3" location="Other!A52" display="Other!A52"/>
    <hyperlink ref="G3" location="Other!A69" display="Other!A69"/>
    <hyperlink ref="H3" location="Other!A86" display="Other!A86"/>
    <hyperlink ref="I3" location="Other!A103" display="Other!A103"/>
    <hyperlink ref="J3" location="Other!A120" display="Other!A120"/>
    <hyperlink ref="K3" location="Other!A137" display="Other!A137"/>
    <hyperlink ref="D3" location="'002'!A6" display="'002'!A6"/>
    <hyperlink ref="E3" location="'002'!A35" display="'002'!A35"/>
  </hyperlink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70C0"/>
  </sheetPr>
  <dimension ref="A1:N563"/>
  <sheetViews>
    <sheetView workbookViewId="0">
      <selection activeCell="I1" sqref="I1"/>
    </sheetView>
  </sheetViews>
  <sheetFormatPr defaultColWidth="8.75" defaultRowHeight="15.75"/>
  <cols>
    <col min="1" max="7" width="8.75" style="58"/>
    <col min="8" max="8" width="11.875" style="58" bestFit="1" customWidth="1"/>
    <col min="9" max="9" width="8.75" style="58"/>
    <col min="10" max="11" width="8.75" style="63"/>
    <col min="12" max="16384" width="8.75" style="58"/>
  </cols>
  <sheetData>
    <row r="1" spans="1:11">
      <c r="A1" s="56" t="s">
        <v>14</v>
      </c>
      <c r="B1" s="57" t="s">
        <v>15</v>
      </c>
      <c r="C1" s="57" t="s">
        <v>16</v>
      </c>
      <c r="D1" s="57" t="s">
        <v>17</v>
      </c>
      <c r="E1" s="56"/>
      <c r="H1" s="58" t="s">
        <v>39</v>
      </c>
      <c r="I1" s="59">
        <v>0</v>
      </c>
      <c r="J1" s="61" t="s">
        <v>602</v>
      </c>
      <c r="K1" s="61" t="s">
        <v>603</v>
      </c>
    </row>
    <row r="2" spans="1:11">
      <c r="A2" s="60">
        <v>1</v>
      </c>
      <c r="B2" s="57">
        <f>A2*36</f>
        <v>36</v>
      </c>
      <c r="C2" s="57">
        <f>B2*2.54/100</f>
        <v>0.91439999999999999</v>
      </c>
      <c r="D2" s="57">
        <f>C2*100</f>
        <v>91.44</v>
      </c>
      <c r="E2" s="56"/>
      <c r="J2" s="62">
        <v>1</v>
      </c>
      <c r="K2" s="62" t="s">
        <v>40</v>
      </c>
    </row>
    <row r="3" spans="1:11">
      <c r="A3" s="56"/>
      <c r="B3" s="57"/>
      <c r="C3" s="57"/>
      <c r="D3" s="57"/>
      <c r="E3" s="56"/>
      <c r="J3" s="62">
        <v>2</v>
      </c>
      <c r="K3" s="62" t="s">
        <v>41</v>
      </c>
    </row>
    <row r="4" spans="1:11">
      <c r="A4" s="56" t="s">
        <v>15</v>
      </c>
      <c r="B4" s="57" t="s">
        <v>16</v>
      </c>
      <c r="C4" s="57" t="s">
        <v>17</v>
      </c>
      <c r="D4" s="57" t="s">
        <v>14</v>
      </c>
      <c r="E4" s="56"/>
      <c r="J4" s="62">
        <v>3</v>
      </c>
      <c r="K4" s="62" t="s">
        <v>42</v>
      </c>
    </row>
    <row r="5" spans="1:11">
      <c r="A5" s="60">
        <v>1</v>
      </c>
      <c r="B5" s="57">
        <f>A5*2.54/100</f>
        <v>2.5399999999999999E-2</v>
      </c>
      <c r="C5" s="57">
        <f>B5*100</f>
        <v>2.54</v>
      </c>
      <c r="D5" s="57">
        <f>A5/36</f>
        <v>2.7777777777777776E-2</v>
      </c>
      <c r="E5" s="56"/>
      <c r="J5" s="62">
        <v>4</v>
      </c>
      <c r="K5" s="62" t="s">
        <v>43</v>
      </c>
    </row>
    <row r="6" spans="1:11">
      <c r="A6" s="56"/>
      <c r="B6" s="57"/>
      <c r="C6" s="57"/>
      <c r="D6" s="57"/>
      <c r="E6" s="56"/>
      <c r="J6" s="62">
        <v>5</v>
      </c>
      <c r="K6" s="62" t="s">
        <v>44</v>
      </c>
    </row>
    <row r="7" spans="1:11">
      <c r="A7" s="56" t="s">
        <v>16</v>
      </c>
      <c r="B7" s="57" t="s">
        <v>17</v>
      </c>
      <c r="C7" s="57" t="s">
        <v>14</v>
      </c>
      <c r="D7" s="57" t="s">
        <v>15</v>
      </c>
      <c r="E7" s="56"/>
      <c r="J7" s="62">
        <v>6</v>
      </c>
      <c r="K7" s="62" t="s">
        <v>45</v>
      </c>
    </row>
    <row r="8" spans="1:11">
      <c r="A8" s="60">
        <v>1</v>
      </c>
      <c r="B8" s="57">
        <f>A8*100</f>
        <v>100</v>
      </c>
      <c r="C8" s="57">
        <f>B8/2.54/36</f>
        <v>1.0936132983377078</v>
      </c>
      <c r="D8" s="57">
        <f>C8*36</f>
        <v>39.370078740157481</v>
      </c>
      <c r="E8" s="56"/>
      <c r="J8" s="62">
        <v>7</v>
      </c>
      <c r="K8" s="62" t="s">
        <v>46</v>
      </c>
    </row>
    <row r="9" spans="1:11">
      <c r="A9" s="56"/>
      <c r="B9" s="56"/>
      <c r="C9" s="56"/>
      <c r="D9" s="56"/>
      <c r="E9" s="56"/>
      <c r="J9" s="62">
        <v>8</v>
      </c>
      <c r="K9" s="62" t="s">
        <v>47</v>
      </c>
    </row>
    <row r="10" spans="1:11">
      <c r="J10" s="62">
        <v>9</v>
      </c>
      <c r="K10" s="62" t="s">
        <v>48</v>
      </c>
    </row>
    <row r="11" spans="1:11">
      <c r="J11" s="62">
        <v>10</v>
      </c>
      <c r="K11" s="62" t="s">
        <v>49</v>
      </c>
    </row>
    <row r="12" spans="1:11">
      <c r="J12" s="62">
        <v>11</v>
      </c>
      <c r="K12" s="62" t="s">
        <v>50</v>
      </c>
    </row>
    <row r="13" spans="1:11">
      <c r="J13" s="62">
        <v>12</v>
      </c>
      <c r="K13" s="62" t="s">
        <v>51</v>
      </c>
    </row>
    <row r="14" spans="1:11">
      <c r="J14" s="62">
        <v>13</v>
      </c>
      <c r="K14" s="62" t="s">
        <v>52</v>
      </c>
    </row>
    <row r="15" spans="1:11">
      <c r="J15" s="62">
        <v>14</v>
      </c>
      <c r="K15" s="62" t="s">
        <v>53</v>
      </c>
    </row>
    <row r="16" spans="1:11">
      <c r="J16" s="62">
        <v>15</v>
      </c>
      <c r="K16" s="62" t="s">
        <v>54</v>
      </c>
    </row>
    <row r="17" spans="10:11">
      <c r="J17" s="62">
        <v>16</v>
      </c>
      <c r="K17" s="62" t="s">
        <v>55</v>
      </c>
    </row>
    <row r="18" spans="10:11">
      <c r="J18" s="62">
        <v>17</v>
      </c>
      <c r="K18" s="62" t="s">
        <v>56</v>
      </c>
    </row>
    <row r="19" spans="10:11">
      <c r="J19" s="62">
        <v>18</v>
      </c>
      <c r="K19" s="62" t="s">
        <v>57</v>
      </c>
    </row>
    <row r="20" spans="10:11">
      <c r="J20" s="62">
        <v>19</v>
      </c>
      <c r="K20" s="62" t="s">
        <v>58</v>
      </c>
    </row>
    <row r="21" spans="10:11">
      <c r="J21" s="62">
        <v>20</v>
      </c>
      <c r="K21" s="62" t="s">
        <v>59</v>
      </c>
    </row>
    <row r="22" spans="10:11">
      <c r="J22" s="62">
        <v>21</v>
      </c>
      <c r="K22" s="62" t="s">
        <v>60</v>
      </c>
    </row>
    <row r="23" spans="10:11">
      <c r="J23" s="62">
        <v>22</v>
      </c>
      <c r="K23" s="62" t="s">
        <v>61</v>
      </c>
    </row>
    <row r="24" spans="10:11">
      <c r="J24" s="62">
        <v>23</v>
      </c>
      <c r="K24" s="62" t="s">
        <v>62</v>
      </c>
    </row>
    <row r="25" spans="10:11">
      <c r="J25" s="62">
        <v>24</v>
      </c>
      <c r="K25" s="62" t="s">
        <v>63</v>
      </c>
    </row>
    <row r="26" spans="10:11">
      <c r="J26" s="62">
        <v>25</v>
      </c>
      <c r="K26" s="62" t="s">
        <v>64</v>
      </c>
    </row>
    <row r="27" spans="10:11">
      <c r="J27" s="62">
        <v>26</v>
      </c>
      <c r="K27" s="62" t="s">
        <v>65</v>
      </c>
    </row>
    <row r="28" spans="10:11">
      <c r="J28" s="62">
        <v>27</v>
      </c>
      <c r="K28" s="62" t="s">
        <v>66</v>
      </c>
    </row>
    <row r="29" spans="10:11">
      <c r="J29" s="62">
        <v>28</v>
      </c>
      <c r="K29" s="62" t="s">
        <v>67</v>
      </c>
    </row>
    <row r="30" spans="10:11">
      <c r="J30" s="62">
        <v>29</v>
      </c>
      <c r="K30" s="62" t="s">
        <v>68</v>
      </c>
    </row>
    <row r="31" spans="10:11">
      <c r="J31" s="62">
        <v>30</v>
      </c>
      <c r="K31" s="62" t="s">
        <v>69</v>
      </c>
    </row>
    <row r="32" spans="10:11">
      <c r="J32" s="62">
        <v>31</v>
      </c>
      <c r="K32" s="62" t="s">
        <v>70</v>
      </c>
    </row>
    <row r="33" spans="10:11">
      <c r="J33" s="62">
        <v>32</v>
      </c>
      <c r="K33" s="62" t="s">
        <v>71</v>
      </c>
    </row>
    <row r="34" spans="10:11">
      <c r="J34" s="62">
        <v>33</v>
      </c>
      <c r="K34" s="62" t="s">
        <v>72</v>
      </c>
    </row>
    <row r="35" spans="10:11">
      <c r="J35" s="62">
        <v>34</v>
      </c>
      <c r="K35" s="62" t="s">
        <v>73</v>
      </c>
    </row>
    <row r="36" spans="10:11">
      <c r="J36" s="62">
        <v>35</v>
      </c>
      <c r="K36" s="62" t="s">
        <v>74</v>
      </c>
    </row>
    <row r="37" spans="10:11">
      <c r="J37" s="62">
        <v>36</v>
      </c>
      <c r="K37" s="62" t="s">
        <v>75</v>
      </c>
    </row>
    <row r="38" spans="10:11">
      <c r="J38" s="62">
        <v>37</v>
      </c>
      <c r="K38" s="62" t="s">
        <v>76</v>
      </c>
    </row>
    <row r="39" spans="10:11">
      <c r="J39" s="62">
        <v>38</v>
      </c>
      <c r="K39" s="62" t="s">
        <v>77</v>
      </c>
    </row>
    <row r="40" spans="10:11">
      <c r="J40" s="62">
        <v>39</v>
      </c>
      <c r="K40" s="62" t="s">
        <v>78</v>
      </c>
    </row>
    <row r="41" spans="10:11">
      <c r="J41" s="62">
        <v>40</v>
      </c>
      <c r="K41" s="62" t="s">
        <v>79</v>
      </c>
    </row>
    <row r="42" spans="10:11">
      <c r="J42" s="62">
        <v>41</v>
      </c>
      <c r="K42" s="62" t="s">
        <v>80</v>
      </c>
    </row>
    <row r="43" spans="10:11">
      <c r="J43" s="62">
        <v>42</v>
      </c>
      <c r="K43" s="62" t="s">
        <v>81</v>
      </c>
    </row>
    <row r="44" spans="10:11">
      <c r="J44" s="62">
        <v>43</v>
      </c>
      <c r="K44" s="62" t="s">
        <v>82</v>
      </c>
    </row>
    <row r="45" spans="10:11">
      <c r="J45" s="62">
        <v>44</v>
      </c>
      <c r="K45" s="62" t="s">
        <v>83</v>
      </c>
    </row>
    <row r="46" spans="10:11">
      <c r="J46" s="62">
        <v>45</v>
      </c>
      <c r="K46" s="62" t="s">
        <v>84</v>
      </c>
    </row>
    <row r="47" spans="10:11">
      <c r="J47" s="62">
        <v>46</v>
      </c>
      <c r="K47" s="62" t="s">
        <v>85</v>
      </c>
    </row>
    <row r="48" spans="10:11">
      <c r="J48" s="62">
        <v>47</v>
      </c>
      <c r="K48" s="62" t="s">
        <v>86</v>
      </c>
    </row>
    <row r="49" spans="10:11">
      <c r="J49" s="62">
        <v>48</v>
      </c>
      <c r="K49" s="62" t="s">
        <v>87</v>
      </c>
    </row>
    <row r="50" spans="10:11">
      <c r="J50" s="62">
        <v>49</v>
      </c>
      <c r="K50" s="62" t="s">
        <v>88</v>
      </c>
    </row>
    <row r="51" spans="10:11">
      <c r="J51" s="62">
        <v>50</v>
      </c>
      <c r="K51" s="62" t="s">
        <v>89</v>
      </c>
    </row>
    <row r="52" spans="10:11">
      <c r="J52" s="62">
        <v>51</v>
      </c>
      <c r="K52" s="62" t="s">
        <v>90</v>
      </c>
    </row>
    <row r="53" spans="10:11">
      <c r="J53" s="62">
        <v>52</v>
      </c>
      <c r="K53" s="62" t="s">
        <v>91</v>
      </c>
    </row>
    <row r="54" spans="10:11">
      <c r="J54" s="62">
        <v>53</v>
      </c>
      <c r="K54" s="62" t="s">
        <v>92</v>
      </c>
    </row>
    <row r="55" spans="10:11">
      <c r="J55" s="62">
        <v>54</v>
      </c>
      <c r="K55" s="62" t="s">
        <v>93</v>
      </c>
    </row>
    <row r="56" spans="10:11">
      <c r="J56" s="62">
        <v>55</v>
      </c>
      <c r="K56" s="62" t="s">
        <v>94</v>
      </c>
    </row>
    <row r="57" spans="10:11">
      <c r="J57" s="62">
        <v>56</v>
      </c>
      <c r="K57" s="62" t="s">
        <v>95</v>
      </c>
    </row>
    <row r="58" spans="10:11">
      <c r="J58" s="62">
        <v>57</v>
      </c>
      <c r="K58" s="62" t="s">
        <v>96</v>
      </c>
    </row>
    <row r="59" spans="10:11">
      <c r="J59" s="62">
        <v>58</v>
      </c>
      <c r="K59" s="62" t="s">
        <v>97</v>
      </c>
    </row>
    <row r="60" spans="10:11">
      <c r="J60" s="62">
        <v>59</v>
      </c>
      <c r="K60" s="62" t="s">
        <v>98</v>
      </c>
    </row>
    <row r="61" spans="10:11">
      <c r="J61" s="62">
        <v>60</v>
      </c>
      <c r="K61" s="62" t="s">
        <v>99</v>
      </c>
    </row>
    <row r="62" spans="10:11">
      <c r="J62" s="62">
        <v>61</v>
      </c>
      <c r="K62" s="62" t="s">
        <v>100</v>
      </c>
    </row>
    <row r="63" spans="10:11">
      <c r="J63" s="62">
        <v>62</v>
      </c>
      <c r="K63" s="62" t="s">
        <v>101</v>
      </c>
    </row>
    <row r="64" spans="10:11">
      <c r="J64" s="62">
        <v>63</v>
      </c>
      <c r="K64" s="62" t="s">
        <v>102</v>
      </c>
    </row>
    <row r="65" spans="10:11">
      <c r="J65" s="62">
        <v>64</v>
      </c>
      <c r="K65" s="62" t="s">
        <v>103</v>
      </c>
    </row>
    <row r="66" spans="10:11">
      <c r="J66" s="62">
        <v>65</v>
      </c>
      <c r="K66" s="62" t="s">
        <v>104</v>
      </c>
    </row>
    <row r="67" spans="10:11">
      <c r="J67" s="62">
        <v>66</v>
      </c>
      <c r="K67" s="62" t="s">
        <v>105</v>
      </c>
    </row>
    <row r="68" spans="10:11">
      <c r="J68" s="62">
        <v>67</v>
      </c>
      <c r="K68" s="62" t="s">
        <v>106</v>
      </c>
    </row>
    <row r="69" spans="10:11">
      <c r="J69" s="62">
        <v>68</v>
      </c>
      <c r="K69" s="62" t="s">
        <v>107</v>
      </c>
    </row>
    <row r="70" spans="10:11">
      <c r="J70" s="62">
        <v>69</v>
      </c>
      <c r="K70" s="62" t="s">
        <v>108</v>
      </c>
    </row>
    <row r="71" spans="10:11">
      <c r="J71" s="62">
        <v>70</v>
      </c>
      <c r="K71" s="62" t="s">
        <v>109</v>
      </c>
    </row>
    <row r="72" spans="10:11">
      <c r="J72" s="62">
        <v>71</v>
      </c>
      <c r="K72" s="62" t="s">
        <v>110</v>
      </c>
    </row>
    <row r="73" spans="10:11">
      <c r="J73" s="62">
        <v>72</v>
      </c>
      <c r="K73" s="62" t="s">
        <v>111</v>
      </c>
    </row>
    <row r="74" spans="10:11">
      <c r="J74" s="62">
        <v>73</v>
      </c>
      <c r="K74" s="62" t="s">
        <v>112</v>
      </c>
    </row>
    <row r="75" spans="10:11">
      <c r="J75" s="62">
        <v>74</v>
      </c>
      <c r="K75" s="62" t="s">
        <v>113</v>
      </c>
    </row>
    <row r="76" spans="10:11">
      <c r="J76" s="62">
        <v>75</v>
      </c>
      <c r="K76" s="62" t="s">
        <v>114</v>
      </c>
    </row>
    <row r="77" spans="10:11">
      <c r="J77" s="62">
        <v>76</v>
      </c>
      <c r="K77" s="62" t="s">
        <v>115</v>
      </c>
    </row>
    <row r="78" spans="10:11">
      <c r="J78" s="62">
        <v>77</v>
      </c>
      <c r="K78" s="62" t="s">
        <v>116</v>
      </c>
    </row>
    <row r="79" spans="10:11">
      <c r="J79" s="62">
        <v>78</v>
      </c>
      <c r="K79" s="62" t="s">
        <v>117</v>
      </c>
    </row>
    <row r="80" spans="10:11">
      <c r="J80" s="62">
        <v>79</v>
      </c>
      <c r="K80" s="62" t="s">
        <v>118</v>
      </c>
    </row>
    <row r="81" spans="10:14">
      <c r="J81" s="62">
        <v>80</v>
      </c>
      <c r="K81" s="62" t="s">
        <v>119</v>
      </c>
    </row>
    <row r="82" spans="10:14">
      <c r="J82" s="62">
        <v>81</v>
      </c>
      <c r="K82" s="62" t="s">
        <v>120</v>
      </c>
    </row>
    <row r="83" spans="10:14">
      <c r="J83" s="62">
        <v>82</v>
      </c>
      <c r="K83" s="62" t="s">
        <v>121</v>
      </c>
    </row>
    <row r="84" spans="10:14">
      <c r="J84" s="62">
        <v>83</v>
      </c>
      <c r="K84" s="62" t="s">
        <v>122</v>
      </c>
      <c r="N84" s="58">
        <f>15*26</f>
        <v>390</v>
      </c>
    </row>
    <row r="85" spans="10:14">
      <c r="J85" s="62">
        <v>84</v>
      </c>
      <c r="K85" s="62" t="s">
        <v>123</v>
      </c>
    </row>
    <row r="86" spans="10:14">
      <c r="J86" s="62">
        <v>85</v>
      </c>
      <c r="K86" s="62" t="s">
        <v>124</v>
      </c>
    </row>
    <row r="87" spans="10:14">
      <c r="J87" s="62">
        <v>86</v>
      </c>
      <c r="K87" s="62" t="s">
        <v>125</v>
      </c>
    </row>
    <row r="88" spans="10:14">
      <c r="J88" s="62">
        <v>87</v>
      </c>
      <c r="K88" s="62" t="s">
        <v>126</v>
      </c>
    </row>
    <row r="89" spans="10:14">
      <c r="J89" s="62">
        <v>88</v>
      </c>
      <c r="K89" s="62" t="s">
        <v>127</v>
      </c>
    </row>
    <row r="90" spans="10:14">
      <c r="J90" s="62">
        <v>89</v>
      </c>
      <c r="K90" s="62" t="s">
        <v>128</v>
      </c>
    </row>
    <row r="91" spans="10:14">
      <c r="J91" s="62">
        <v>90</v>
      </c>
      <c r="K91" s="62" t="s">
        <v>129</v>
      </c>
    </row>
    <row r="92" spans="10:14">
      <c r="J92" s="62">
        <v>91</v>
      </c>
      <c r="K92" s="62" t="s">
        <v>130</v>
      </c>
    </row>
    <row r="93" spans="10:14">
      <c r="J93" s="62">
        <v>92</v>
      </c>
      <c r="K93" s="62" t="s">
        <v>131</v>
      </c>
    </row>
    <row r="94" spans="10:14">
      <c r="J94" s="62">
        <v>93</v>
      </c>
      <c r="K94" s="62" t="s">
        <v>132</v>
      </c>
    </row>
    <row r="95" spans="10:14">
      <c r="J95" s="62">
        <v>94</v>
      </c>
      <c r="K95" s="62" t="s">
        <v>133</v>
      </c>
    </row>
    <row r="96" spans="10:14">
      <c r="J96" s="62">
        <v>95</v>
      </c>
      <c r="K96" s="62" t="s">
        <v>134</v>
      </c>
    </row>
    <row r="97" spans="10:11">
      <c r="J97" s="62">
        <v>96</v>
      </c>
      <c r="K97" s="62" t="s">
        <v>135</v>
      </c>
    </row>
    <row r="98" spans="10:11">
      <c r="J98" s="62">
        <v>97</v>
      </c>
      <c r="K98" s="62" t="s">
        <v>136</v>
      </c>
    </row>
    <row r="99" spans="10:11">
      <c r="J99" s="62">
        <v>98</v>
      </c>
      <c r="K99" s="62" t="s">
        <v>137</v>
      </c>
    </row>
    <row r="100" spans="10:11">
      <c r="J100" s="62">
        <v>99</v>
      </c>
      <c r="K100" s="62" t="s">
        <v>138</v>
      </c>
    </row>
    <row r="101" spans="10:11">
      <c r="J101" s="62">
        <v>100</v>
      </c>
      <c r="K101" s="62" t="s">
        <v>139</v>
      </c>
    </row>
    <row r="102" spans="10:11">
      <c r="J102" s="62">
        <v>101</v>
      </c>
      <c r="K102" s="62" t="s">
        <v>140</v>
      </c>
    </row>
    <row r="103" spans="10:11">
      <c r="J103" s="62">
        <v>102</v>
      </c>
      <c r="K103" s="62" t="s">
        <v>141</v>
      </c>
    </row>
    <row r="104" spans="10:11">
      <c r="J104" s="62">
        <v>103</v>
      </c>
      <c r="K104" s="62" t="s">
        <v>142</v>
      </c>
    </row>
    <row r="105" spans="10:11">
      <c r="J105" s="62">
        <v>104</v>
      </c>
      <c r="K105" s="62" t="s">
        <v>143</v>
      </c>
    </row>
    <row r="106" spans="10:11">
      <c r="J106" s="62">
        <v>105</v>
      </c>
      <c r="K106" s="62" t="s">
        <v>144</v>
      </c>
    </row>
    <row r="107" spans="10:11">
      <c r="J107" s="62">
        <v>106</v>
      </c>
      <c r="K107" s="62" t="s">
        <v>145</v>
      </c>
    </row>
    <row r="108" spans="10:11">
      <c r="J108" s="62">
        <v>107</v>
      </c>
      <c r="K108" s="62" t="s">
        <v>146</v>
      </c>
    </row>
    <row r="109" spans="10:11">
      <c r="J109" s="62">
        <v>108</v>
      </c>
      <c r="K109" s="62" t="s">
        <v>147</v>
      </c>
    </row>
    <row r="110" spans="10:11">
      <c r="J110" s="62">
        <v>109</v>
      </c>
      <c r="K110" s="62" t="s">
        <v>148</v>
      </c>
    </row>
    <row r="111" spans="10:11">
      <c r="J111" s="62">
        <v>110</v>
      </c>
      <c r="K111" s="62" t="s">
        <v>149</v>
      </c>
    </row>
    <row r="112" spans="10:11">
      <c r="J112" s="62">
        <v>111</v>
      </c>
      <c r="K112" s="62" t="s">
        <v>150</v>
      </c>
    </row>
    <row r="113" spans="10:11">
      <c r="J113" s="62">
        <v>112</v>
      </c>
      <c r="K113" s="62" t="s">
        <v>151</v>
      </c>
    </row>
    <row r="114" spans="10:11">
      <c r="J114" s="62">
        <v>113</v>
      </c>
      <c r="K114" s="62" t="s">
        <v>152</v>
      </c>
    </row>
    <row r="115" spans="10:11">
      <c r="J115" s="62">
        <v>114</v>
      </c>
      <c r="K115" s="62" t="s">
        <v>153</v>
      </c>
    </row>
    <row r="116" spans="10:11">
      <c r="J116" s="62">
        <v>115</v>
      </c>
      <c r="K116" s="62" t="s">
        <v>154</v>
      </c>
    </row>
    <row r="117" spans="10:11">
      <c r="J117" s="62">
        <v>116</v>
      </c>
      <c r="K117" s="62" t="s">
        <v>155</v>
      </c>
    </row>
    <row r="118" spans="10:11">
      <c r="J118" s="62">
        <v>117</v>
      </c>
      <c r="K118" s="62" t="s">
        <v>156</v>
      </c>
    </row>
    <row r="119" spans="10:11">
      <c r="J119" s="62">
        <v>118</v>
      </c>
      <c r="K119" s="62" t="s">
        <v>157</v>
      </c>
    </row>
    <row r="120" spans="10:11">
      <c r="J120" s="62">
        <v>119</v>
      </c>
      <c r="K120" s="62" t="s">
        <v>158</v>
      </c>
    </row>
    <row r="121" spans="10:11">
      <c r="J121" s="62">
        <v>120</v>
      </c>
      <c r="K121" s="62" t="s">
        <v>159</v>
      </c>
    </row>
    <row r="122" spans="10:11">
      <c r="J122" s="62">
        <v>121</v>
      </c>
      <c r="K122" s="62" t="s">
        <v>160</v>
      </c>
    </row>
    <row r="123" spans="10:11">
      <c r="J123" s="62">
        <v>122</v>
      </c>
      <c r="K123" s="62" t="s">
        <v>161</v>
      </c>
    </row>
    <row r="124" spans="10:11">
      <c r="J124" s="62">
        <v>123</v>
      </c>
      <c r="K124" s="62" t="s">
        <v>162</v>
      </c>
    </row>
    <row r="125" spans="10:11">
      <c r="J125" s="62">
        <v>124</v>
      </c>
      <c r="K125" s="62" t="s">
        <v>163</v>
      </c>
    </row>
    <row r="126" spans="10:11">
      <c r="J126" s="62">
        <v>125</v>
      </c>
      <c r="K126" s="62" t="s">
        <v>164</v>
      </c>
    </row>
    <row r="127" spans="10:11">
      <c r="J127" s="62">
        <v>126</v>
      </c>
      <c r="K127" s="62" t="s">
        <v>165</v>
      </c>
    </row>
    <row r="128" spans="10:11">
      <c r="J128" s="62">
        <v>127</v>
      </c>
      <c r="K128" s="62" t="s">
        <v>166</v>
      </c>
    </row>
    <row r="129" spans="10:11">
      <c r="J129" s="62">
        <v>128</v>
      </c>
      <c r="K129" s="62" t="s">
        <v>167</v>
      </c>
    </row>
    <row r="130" spans="10:11">
      <c r="J130" s="62">
        <v>129</v>
      </c>
      <c r="K130" s="62" t="s">
        <v>168</v>
      </c>
    </row>
    <row r="131" spans="10:11">
      <c r="J131" s="62">
        <v>130</v>
      </c>
      <c r="K131" s="62" t="s">
        <v>169</v>
      </c>
    </row>
    <row r="132" spans="10:11">
      <c r="J132" s="62">
        <v>131</v>
      </c>
      <c r="K132" s="62" t="s">
        <v>170</v>
      </c>
    </row>
    <row r="133" spans="10:11">
      <c r="J133" s="62">
        <v>132</v>
      </c>
      <c r="K133" s="62" t="s">
        <v>171</v>
      </c>
    </row>
    <row r="134" spans="10:11">
      <c r="J134" s="62">
        <v>133</v>
      </c>
      <c r="K134" s="62" t="s">
        <v>172</v>
      </c>
    </row>
    <row r="135" spans="10:11">
      <c r="J135" s="62">
        <v>134</v>
      </c>
      <c r="K135" s="62" t="s">
        <v>173</v>
      </c>
    </row>
    <row r="136" spans="10:11">
      <c r="J136" s="62">
        <v>135</v>
      </c>
      <c r="K136" s="62" t="s">
        <v>174</v>
      </c>
    </row>
    <row r="137" spans="10:11">
      <c r="J137" s="62">
        <v>136</v>
      </c>
      <c r="K137" s="62" t="s">
        <v>175</v>
      </c>
    </row>
    <row r="138" spans="10:11">
      <c r="J138" s="62">
        <v>137</v>
      </c>
      <c r="K138" s="62" t="s">
        <v>176</v>
      </c>
    </row>
    <row r="139" spans="10:11">
      <c r="J139" s="62">
        <v>138</v>
      </c>
      <c r="K139" s="62" t="s">
        <v>177</v>
      </c>
    </row>
    <row r="140" spans="10:11">
      <c r="J140" s="62">
        <v>139</v>
      </c>
      <c r="K140" s="62" t="s">
        <v>178</v>
      </c>
    </row>
    <row r="141" spans="10:11">
      <c r="J141" s="62">
        <v>140</v>
      </c>
      <c r="K141" s="62" t="s">
        <v>179</v>
      </c>
    </row>
    <row r="142" spans="10:11">
      <c r="J142" s="62">
        <v>141</v>
      </c>
      <c r="K142" s="62" t="s">
        <v>180</v>
      </c>
    </row>
    <row r="143" spans="10:11">
      <c r="J143" s="62">
        <v>142</v>
      </c>
      <c r="K143" s="62" t="s">
        <v>181</v>
      </c>
    </row>
    <row r="144" spans="10:11">
      <c r="J144" s="62">
        <v>143</v>
      </c>
      <c r="K144" s="62" t="s">
        <v>182</v>
      </c>
    </row>
    <row r="145" spans="10:11">
      <c r="J145" s="62">
        <v>144</v>
      </c>
      <c r="K145" s="62" t="s">
        <v>183</v>
      </c>
    </row>
    <row r="146" spans="10:11">
      <c r="J146" s="62">
        <v>145</v>
      </c>
      <c r="K146" s="62" t="s">
        <v>184</v>
      </c>
    </row>
    <row r="147" spans="10:11">
      <c r="J147" s="62">
        <v>146</v>
      </c>
      <c r="K147" s="62" t="s">
        <v>185</v>
      </c>
    </row>
    <row r="148" spans="10:11">
      <c r="J148" s="62">
        <v>147</v>
      </c>
      <c r="K148" s="62" t="s">
        <v>186</v>
      </c>
    </row>
    <row r="149" spans="10:11">
      <c r="J149" s="62">
        <v>148</v>
      </c>
      <c r="K149" s="62" t="s">
        <v>187</v>
      </c>
    </row>
    <row r="150" spans="10:11">
      <c r="J150" s="62">
        <v>149</v>
      </c>
      <c r="K150" s="62" t="s">
        <v>188</v>
      </c>
    </row>
    <row r="151" spans="10:11">
      <c r="J151" s="62">
        <v>150</v>
      </c>
      <c r="K151" s="62" t="s">
        <v>189</v>
      </c>
    </row>
    <row r="152" spans="10:11">
      <c r="J152" s="62">
        <v>151</v>
      </c>
      <c r="K152" s="62" t="s">
        <v>190</v>
      </c>
    </row>
    <row r="153" spans="10:11">
      <c r="J153" s="62">
        <v>152</v>
      </c>
      <c r="K153" s="62" t="s">
        <v>191</v>
      </c>
    </row>
    <row r="154" spans="10:11">
      <c r="J154" s="62">
        <v>153</v>
      </c>
      <c r="K154" s="62" t="s">
        <v>192</v>
      </c>
    </row>
    <row r="155" spans="10:11">
      <c r="J155" s="62">
        <v>154</v>
      </c>
      <c r="K155" s="62" t="s">
        <v>193</v>
      </c>
    </row>
    <row r="156" spans="10:11">
      <c r="J156" s="62">
        <v>155</v>
      </c>
      <c r="K156" s="62" t="s">
        <v>194</v>
      </c>
    </row>
    <row r="157" spans="10:11">
      <c r="J157" s="62">
        <v>156</v>
      </c>
      <c r="K157" s="62" t="s">
        <v>195</v>
      </c>
    </row>
    <row r="158" spans="10:11">
      <c r="J158" s="62">
        <v>157</v>
      </c>
      <c r="K158" s="62" t="s">
        <v>196</v>
      </c>
    </row>
    <row r="159" spans="10:11">
      <c r="J159" s="62">
        <v>158</v>
      </c>
      <c r="K159" s="62" t="s">
        <v>197</v>
      </c>
    </row>
    <row r="160" spans="10:11">
      <c r="J160" s="62">
        <v>159</v>
      </c>
      <c r="K160" s="62" t="s">
        <v>198</v>
      </c>
    </row>
    <row r="161" spans="10:11">
      <c r="J161" s="62">
        <v>160</v>
      </c>
      <c r="K161" s="62" t="s">
        <v>199</v>
      </c>
    </row>
    <row r="162" spans="10:11">
      <c r="J162" s="62">
        <v>161</v>
      </c>
      <c r="K162" s="62" t="s">
        <v>200</v>
      </c>
    </row>
    <row r="163" spans="10:11">
      <c r="J163" s="62">
        <v>162</v>
      </c>
      <c r="K163" s="62" t="s">
        <v>201</v>
      </c>
    </row>
    <row r="164" spans="10:11">
      <c r="J164" s="62">
        <v>163</v>
      </c>
      <c r="K164" s="62" t="s">
        <v>202</v>
      </c>
    </row>
    <row r="165" spans="10:11">
      <c r="J165" s="62">
        <v>164</v>
      </c>
      <c r="K165" s="62" t="s">
        <v>203</v>
      </c>
    </row>
    <row r="166" spans="10:11">
      <c r="J166" s="62">
        <v>165</v>
      </c>
      <c r="K166" s="62" t="s">
        <v>204</v>
      </c>
    </row>
    <row r="167" spans="10:11">
      <c r="J167" s="62">
        <v>166</v>
      </c>
      <c r="K167" s="62" t="s">
        <v>205</v>
      </c>
    </row>
    <row r="168" spans="10:11">
      <c r="J168" s="62">
        <v>167</v>
      </c>
      <c r="K168" s="62" t="s">
        <v>206</v>
      </c>
    </row>
    <row r="169" spans="10:11">
      <c r="J169" s="62">
        <v>168</v>
      </c>
      <c r="K169" s="62" t="s">
        <v>207</v>
      </c>
    </row>
    <row r="170" spans="10:11">
      <c r="J170" s="62">
        <v>169</v>
      </c>
      <c r="K170" s="62" t="s">
        <v>208</v>
      </c>
    </row>
    <row r="171" spans="10:11">
      <c r="J171" s="62">
        <v>170</v>
      </c>
      <c r="K171" s="62" t="s">
        <v>209</v>
      </c>
    </row>
    <row r="172" spans="10:11">
      <c r="J172" s="62">
        <v>171</v>
      </c>
      <c r="K172" s="62" t="s">
        <v>210</v>
      </c>
    </row>
    <row r="173" spans="10:11">
      <c r="J173" s="62">
        <v>172</v>
      </c>
      <c r="K173" s="62" t="s">
        <v>211</v>
      </c>
    </row>
    <row r="174" spans="10:11">
      <c r="J174" s="62">
        <v>173</v>
      </c>
      <c r="K174" s="62" t="s">
        <v>212</v>
      </c>
    </row>
    <row r="175" spans="10:11">
      <c r="J175" s="62">
        <v>174</v>
      </c>
      <c r="K175" s="62" t="s">
        <v>213</v>
      </c>
    </row>
    <row r="176" spans="10:11">
      <c r="J176" s="62">
        <v>175</v>
      </c>
      <c r="K176" s="62" t="s">
        <v>214</v>
      </c>
    </row>
    <row r="177" spans="10:11">
      <c r="J177" s="62">
        <v>176</v>
      </c>
      <c r="K177" s="62" t="s">
        <v>215</v>
      </c>
    </row>
    <row r="178" spans="10:11">
      <c r="J178" s="62">
        <v>177</v>
      </c>
      <c r="K178" s="62" t="s">
        <v>216</v>
      </c>
    </row>
    <row r="179" spans="10:11">
      <c r="J179" s="62">
        <v>178</v>
      </c>
      <c r="K179" s="62" t="s">
        <v>217</v>
      </c>
    </row>
    <row r="180" spans="10:11">
      <c r="J180" s="62">
        <v>179</v>
      </c>
      <c r="K180" s="62" t="s">
        <v>218</v>
      </c>
    </row>
    <row r="181" spans="10:11">
      <c r="J181" s="62">
        <v>180</v>
      </c>
      <c r="K181" s="62" t="s">
        <v>219</v>
      </c>
    </row>
    <row r="182" spans="10:11">
      <c r="J182" s="62">
        <v>181</v>
      </c>
      <c r="K182" s="62" t="s">
        <v>220</v>
      </c>
    </row>
    <row r="183" spans="10:11">
      <c r="J183" s="62">
        <v>182</v>
      </c>
      <c r="K183" s="62" t="s">
        <v>221</v>
      </c>
    </row>
    <row r="184" spans="10:11">
      <c r="J184" s="62">
        <v>183</v>
      </c>
      <c r="K184" s="62" t="s">
        <v>222</v>
      </c>
    </row>
    <row r="185" spans="10:11">
      <c r="J185" s="62">
        <v>184</v>
      </c>
      <c r="K185" s="62" t="s">
        <v>223</v>
      </c>
    </row>
    <row r="186" spans="10:11">
      <c r="J186" s="62">
        <v>185</v>
      </c>
      <c r="K186" s="62" t="s">
        <v>224</v>
      </c>
    </row>
    <row r="187" spans="10:11">
      <c r="J187" s="62">
        <v>186</v>
      </c>
      <c r="K187" s="62" t="s">
        <v>225</v>
      </c>
    </row>
    <row r="188" spans="10:11">
      <c r="J188" s="62">
        <v>187</v>
      </c>
      <c r="K188" s="62" t="s">
        <v>226</v>
      </c>
    </row>
    <row r="189" spans="10:11">
      <c r="J189" s="62">
        <v>188</v>
      </c>
      <c r="K189" s="62" t="s">
        <v>227</v>
      </c>
    </row>
    <row r="190" spans="10:11">
      <c r="J190" s="62">
        <v>189</v>
      </c>
      <c r="K190" s="62" t="s">
        <v>228</v>
      </c>
    </row>
    <row r="191" spans="10:11">
      <c r="J191" s="62">
        <v>190</v>
      </c>
      <c r="K191" s="62" t="s">
        <v>229</v>
      </c>
    </row>
    <row r="192" spans="10:11">
      <c r="J192" s="62">
        <v>191</v>
      </c>
      <c r="K192" s="62" t="s">
        <v>230</v>
      </c>
    </row>
    <row r="193" spans="10:11">
      <c r="J193" s="62">
        <v>192</v>
      </c>
      <c r="K193" s="62" t="s">
        <v>231</v>
      </c>
    </row>
    <row r="194" spans="10:11">
      <c r="J194" s="62">
        <v>193</v>
      </c>
      <c r="K194" s="62" t="s">
        <v>232</v>
      </c>
    </row>
    <row r="195" spans="10:11">
      <c r="J195" s="62">
        <v>194</v>
      </c>
      <c r="K195" s="62" t="s">
        <v>233</v>
      </c>
    </row>
    <row r="196" spans="10:11">
      <c r="J196" s="62">
        <v>195</v>
      </c>
      <c r="K196" s="62" t="s">
        <v>234</v>
      </c>
    </row>
    <row r="197" spans="10:11">
      <c r="J197" s="62">
        <v>196</v>
      </c>
      <c r="K197" s="62" t="s">
        <v>235</v>
      </c>
    </row>
    <row r="198" spans="10:11">
      <c r="J198" s="62">
        <v>197</v>
      </c>
      <c r="K198" s="62" t="s">
        <v>236</v>
      </c>
    </row>
    <row r="199" spans="10:11">
      <c r="J199" s="62">
        <v>198</v>
      </c>
      <c r="K199" s="62" t="s">
        <v>237</v>
      </c>
    </row>
    <row r="200" spans="10:11">
      <c r="J200" s="62">
        <v>199</v>
      </c>
      <c r="K200" s="62" t="s">
        <v>238</v>
      </c>
    </row>
    <row r="201" spans="10:11">
      <c r="J201" s="62">
        <v>200</v>
      </c>
      <c r="K201" s="62" t="s">
        <v>239</v>
      </c>
    </row>
    <row r="202" spans="10:11">
      <c r="J202" s="62">
        <v>201</v>
      </c>
      <c r="K202" s="62" t="s">
        <v>240</v>
      </c>
    </row>
    <row r="203" spans="10:11">
      <c r="J203" s="62">
        <v>202</v>
      </c>
      <c r="K203" s="62" t="s">
        <v>241</v>
      </c>
    </row>
    <row r="204" spans="10:11">
      <c r="J204" s="62">
        <v>203</v>
      </c>
      <c r="K204" s="62" t="s">
        <v>242</v>
      </c>
    </row>
    <row r="205" spans="10:11">
      <c r="J205" s="62">
        <v>204</v>
      </c>
      <c r="K205" s="62" t="s">
        <v>243</v>
      </c>
    </row>
    <row r="206" spans="10:11">
      <c r="J206" s="62">
        <v>205</v>
      </c>
      <c r="K206" s="62" t="s">
        <v>244</v>
      </c>
    </row>
    <row r="207" spans="10:11">
      <c r="J207" s="62">
        <v>206</v>
      </c>
      <c r="K207" s="62" t="s">
        <v>245</v>
      </c>
    </row>
    <row r="208" spans="10:11">
      <c r="J208" s="62">
        <v>207</v>
      </c>
      <c r="K208" s="62" t="s">
        <v>246</v>
      </c>
    </row>
    <row r="209" spans="10:11">
      <c r="J209" s="62">
        <v>208</v>
      </c>
      <c r="K209" s="62" t="s">
        <v>247</v>
      </c>
    </row>
    <row r="210" spans="10:11">
      <c r="J210" s="62">
        <v>209</v>
      </c>
      <c r="K210" s="62" t="s">
        <v>248</v>
      </c>
    </row>
    <row r="211" spans="10:11">
      <c r="J211" s="62">
        <v>210</v>
      </c>
      <c r="K211" s="62" t="s">
        <v>249</v>
      </c>
    </row>
    <row r="212" spans="10:11">
      <c r="J212" s="62">
        <v>211</v>
      </c>
      <c r="K212" s="62" t="s">
        <v>250</v>
      </c>
    </row>
    <row r="213" spans="10:11">
      <c r="J213" s="62">
        <v>212</v>
      </c>
      <c r="K213" s="62" t="s">
        <v>251</v>
      </c>
    </row>
    <row r="214" spans="10:11">
      <c r="J214" s="62">
        <v>213</v>
      </c>
      <c r="K214" s="62" t="s">
        <v>252</v>
      </c>
    </row>
    <row r="215" spans="10:11">
      <c r="J215" s="62">
        <v>214</v>
      </c>
      <c r="K215" s="62" t="s">
        <v>253</v>
      </c>
    </row>
    <row r="216" spans="10:11">
      <c r="J216" s="62">
        <v>215</v>
      </c>
      <c r="K216" s="62" t="s">
        <v>254</v>
      </c>
    </row>
    <row r="217" spans="10:11">
      <c r="J217" s="62">
        <v>216</v>
      </c>
      <c r="K217" s="62" t="s">
        <v>255</v>
      </c>
    </row>
    <row r="218" spans="10:11">
      <c r="J218" s="62">
        <v>217</v>
      </c>
      <c r="K218" s="62" t="s">
        <v>256</v>
      </c>
    </row>
    <row r="219" spans="10:11">
      <c r="J219" s="62">
        <v>218</v>
      </c>
      <c r="K219" s="62" t="s">
        <v>257</v>
      </c>
    </row>
    <row r="220" spans="10:11">
      <c r="J220" s="62">
        <v>219</v>
      </c>
      <c r="K220" s="62" t="s">
        <v>258</v>
      </c>
    </row>
    <row r="221" spans="10:11">
      <c r="J221" s="62">
        <v>220</v>
      </c>
      <c r="K221" s="62" t="s">
        <v>259</v>
      </c>
    </row>
    <row r="222" spans="10:11">
      <c r="J222" s="62">
        <v>221</v>
      </c>
      <c r="K222" s="62" t="s">
        <v>260</v>
      </c>
    </row>
    <row r="223" spans="10:11">
      <c r="J223" s="62">
        <v>222</v>
      </c>
      <c r="K223" s="62" t="s">
        <v>261</v>
      </c>
    </row>
    <row r="224" spans="10:11">
      <c r="J224" s="62">
        <v>223</v>
      </c>
      <c r="K224" s="62" t="s">
        <v>262</v>
      </c>
    </row>
    <row r="225" spans="10:11">
      <c r="J225" s="62">
        <v>224</v>
      </c>
      <c r="K225" s="62" t="s">
        <v>263</v>
      </c>
    </row>
    <row r="226" spans="10:11">
      <c r="J226" s="62">
        <v>225</v>
      </c>
      <c r="K226" s="62" t="s">
        <v>264</v>
      </c>
    </row>
    <row r="227" spans="10:11">
      <c r="J227" s="62">
        <v>226</v>
      </c>
      <c r="K227" s="62" t="s">
        <v>265</v>
      </c>
    </row>
    <row r="228" spans="10:11">
      <c r="J228" s="62">
        <v>227</v>
      </c>
      <c r="K228" s="62" t="s">
        <v>266</v>
      </c>
    </row>
    <row r="229" spans="10:11">
      <c r="J229" s="62">
        <v>228</v>
      </c>
      <c r="K229" s="62" t="s">
        <v>267</v>
      </c>
    </row>
    <row r="230" spans="10:11">
      <c r="J230" s="62">
        <v>229</v>
      </c>
      <c r="K230" s="62" t="s">
        <v>268</v>
      </c>
    </row>
    <row r="231" spans="10:11">
      <c r="J231" s="62">
        <v>230</v>
      </c>
      <c r="K231" s="62" t="s">
        <v>269</v>
      </c>
    </row>
    <row r="232" spans="10:11">
      <c r="J232" s="62">
        <v>231</v>
      </c>
      <c r="K232" s="62" t="s">
        <v>270</v>
      </c>
    </row>
    <row r="233" spans="10:11">
      <c r="J233" s="62">
        <v>232</v>
      </c>
      <c r="K233" s="62" t="s">
        <v>271</v>
      </c>
    </row>
    <row r="234" spans="10:11">
      <c r="J234" s="62">
        <v>233</v>
      </c>
      <c r="K234" s="62" t="s">
        <v>272</v>
      </c>
    </row>
    <row r="235" spans="10:11">
      <c r="J235" s="62">
        <v>234</v>
      </c>
      <c r="K235" s="62" t="s">
        <v>273</v>
      </c>
    </row>
    <row r="236" spans="10:11">
      <c r="J236" s="62">
        <v>235</v>
      </c>
      <c r="K236" s="62" t="s">
        <v>274</v>
      </c>
    </row>
    <row r="237" spans="10:11">
      <c r="J237" s="62">
        <v>236</v>
      </c>
      <c r="K237" s="62" t="s">
        <v>275</v>
      </c>
    </row>
    <row r="238" spans="10:11">
      <c r="J238" s="62">
        <v>237</v>
      </c>
      <c r="K238" s="62" t="s">
        <v>276</v>
      </c>
    </row>
    <row r="239" spans="10:11">
      <c r="J239" s="62">
        <v>238</v>
      </c>
      <c r="K239" s="62" t="s">
        <v>277</v>
      </c>
    </row>
    <row r="240" spans="10:11">
      <c r="J240" s="62">
        <v>239</v>
      </c>
      <c r="K240" s="62" t="s">
        <v>278</v>
      </c>
    </row>
    <row r="241" spans="10:11">
      <c r="J241" s="62">
        <v>240</v>
      </c>
      <c r="K241" s="62" t="s">
        <v>279</v>
      </c>
    </row>
    <row r="242" spans="10:11">
      <c r="J242" s="62">
        <v>241</v>
      </c>
      <c r="K242" s="62" t="s">
        <v>280</v>
      </c>
    </row>
    <row r="243" spans="10:11">
      <c r="J243" s="62">
        <v>242</v>
      </c>
      <c r="K243" s="62" t="s">
        <v>281</v>
      </c>
    </row>
    <row r="244" spans="10:11">
      <c r="J244" s="62">
        <v>243</v>
      </c>
      <c r="K244" s="62" t="s">
        <v>282</v>
      </c>
    </row>
    <row r="245" spans="10:11">
      <c r="J245" s="62">
        <v>244</v>
      </c>
      <c r="K245" s="62" t="s">
        <v>283</v>
      </c>
    </row>
    <row r="246" spans="10:11">
      <c r="J246" s="62">
        <v>245</v>
      </c>
      <c r="K246" s="62" t="s">
        <v>284</v>
      </c>
    </row>
    <row r="247" spans="10:11">
      <c r="J247" s="62">
        <v>246</v>
      </c>
      <c r="K247" s="62" t="s">
        <v>285</v>
      </c>
    </row>
    <row r="248" spans="10:11">
      <c r="J248" s="62">
        <v>247</v>
      </c>
      <c r="K248" s="62" t="s">
        <v>286</v>
      </c>
    </row>
    <row r="249" spans="10:11">
      <c r="J249" s="62">
        <v>248</v>
      </c>
      <c r="K249" s="62" t="s">
        <v>287</v>
      </c>
    </row>
    <row r="250" spans="10:11">
      <c r="J250" s="62">
        <v>249</v>
      </c>
      <c r="K250" s="62" t="s">
        <v>288</v>
      </c>
    </row>
    <row r="251" spans="10:11">
      <c r="J251" s="62">
        <v>250</v>
      </c>
      <c r="K251" s="62" t="s">
        <v>289</v>
      </c>
    </row>
    <row r="252" spans="10:11">
      <c r="J252" s="62">
        <v>251</v>
      </c>
      <c r="K252" s="62" t="s">
        <v>290</v>
      </c>
    </row>
    <row r="253" spans="10:11">
      <c r="J253" s="62">
        <v>252</v>
      </c>
      <c r="K253" s="62" t="s">
        <v>291</v>
      </c>
    </row>
    <row r="254" spans="10:11">
      <c r="J254" s="62">
        <v>253</v>
      </c>
      <c r="K254" s="62" t="s">
        <v>292</v>
      </c>
    </row>
    <row r="255" spans="10:11">
      <c r="J255" s="62">
        <v>254</v>
      </c>
      <c r="K255" s="62" t="s">
        <v>293</v>
      </c>
    </row>
    <row r="256" spans="10:11">
      <c r="J256" s="62">
        <v>255</v>
      </c>
      <c r="K256" s="62" t="s">
        <v>294</v>
      </c>
    </row>
    <row r="257" spans="10:11">
      <c r="J257" s="62">
        <v>256</v>
      </c>
      <c r="K257" s="62" t="s">
        <v>295</v>
      </c>
    </row>
    <row r="258" spans="10:11">
      <c r="J258" s="62">
        <v>257</v>
      </c>
      <c r="K258" s="62" t="s">
        <v>296</v>
      </c>
    </row>
    <row r="259" spans="10:11">
      <c r="J259" s="62">
        <v>258</v>
      </c>
      <c r="K259" s="62" t="s">
        <v>297</v>
      </c>
    </row>
    <row r="260" spans="10:11">
      <c r="J260" s="62">
        <v>259</v>
      </c>
      <c r="K260" s="62" t="s">
        <v>298</v>
      </c>
    </row>
    <row r="261" spans="10:11">
      <c r="J261" s="62">
        <v>260</v>
      </c>
      <c r="K261" s="62" t="s">
        <v>299</v>
      </c>
    </row>
    <row r="262" spans="10:11">
      <c r="J262" s="62">
        <v>261</v>
      </c>
      <c r="K262" s="62" t="s">
        <v>300</v>
      </c>
    </row>
    <row r="263" spans="10:11">
      <c r="J263" s="62">
        <v>262</v>
      </c>
      <c r="K263" s="62" t="s">
        <v>301</v>
      </c>
    </row>
    <row r="264" spans="10:11">
      <c r="J264" s="62">
        <v>263</v>
      </c>
      <c r="K264" s="62" t="s">
        <v>302</v>
      </c>
    </row>
    <row r="265" spans="10:11">
      <c r="J265" s="62">
        <v>264</v>
      </c>
      <c r="K265" s="62" t="s">
        <v>303</v>
      </c>
    </row>
    <row r="266" spans="10:11">
      <c r="J266" s="62">
        <v>265</v>
      </c>
      <c r="K266" s="62" t="s">
        <v>304</v>
      </c>
    </row>
    <row r="267" spans="10:11">
      <c r="J267" s="62">
        <v>266</v>
      </c>
      <c r="K267" s="62" t="s">
        <v>305</v>
      </c>
    </row>
    <row r="268" spans="10:11">
      <c r="J268" s="62">
        <v>267</v>
      </c>
      <c r="K268" s="62" t="s">
        <v>306</v>
      </c>
    </row>
    <row r="269" spans="10:11">
      <c r="J269" s="62">
        <v>268</v>
      </c>
      <c r="K269" s="62" t="s">
        <v>307</v>
      </c>
    </row>
    <row r="270" spans="10:11">
      <c r="J270" s="62">
        <v>269</v>
      </c>
      <c r="K270" s="62" t="s">
        <v>308</v>
      </c>
    </row>
    <row r="271" spans="10:11">
      <c r="J271" s="62">
        <v>270</v>
      </c>
      <c r="K271" s="62" t="s">
        <v>309</v>
      </c>
    </row>
    <row r="272" spans="10:11">
      <c r="J272" s="62">
        <v>271</v>
      </c>
      <c r="K272" s="62" t="s">
        <v>310</v>
      </c>
    </row>
    <row r="273" spans="10:11">
      <c r="J273" s="62">
        <v>272</v>
      </c>
      <c r="K273" s="62" t="s">
        <v>311</v>
      </c>
    </row>
    <row r="274" spans="10:11">
      <c r="J274" s="62">
        <v>273</v>
      </c>
      <c r="K274" s="62" t="s">
        <v>312</v>
      </c>
    </row>
    <row r="275" spans="10:11">
      <c r="J275" s="62">
        <v>274</v>
      </c>
      <c r="K275" s="62" t="s">
        <v>313</v>
      </c>
    </row>
    <row r="276" spans="10:11">
      <c r="J276" s="62">
        <v>275</v>
      </c>
      <c r="K276" s="62" t="s">
        <v>314</v>
      </c>
    </row>
    <row r="277" spans="10:11">
      <c r="J277" s="62">
        <v>276</v>
      </c>
      <c r="K277" s="62" t="s">
        <v>315</v>
      </c>
    </row>
    <row r="278" spans="10:11">
      <c r="J278" s="62">
        <v>277</v>
      </c>
      <c r="K278" s="62" t="s">
        <v>316</v>
      </c>
    </row>
    <row r="279" spans="10:11">
      <c r="J279" s="62">
        <v>278</v>
      </c>
      <c r="K279" s="62" t="s">
        <v>317</v>
      </c>
    </row>
    <row r="280" spans="10:11">
      <c r="J280" s="62">
        <v>279</v>
      </c>
      <c r="K280" s="62" t="s">
        <v>318</v>
      </c>
    </row>
    <row r="281" spans="10:11">
      <c r="J281" s="62">
        <v>280</v>
      </c>
      <c r="K281" s="62" t="s">
        <v>319</v>
      </c>
    </row>
    <row r="282" spans="10:11">
      <c r="J282" s="62">
        <v>281</v>
      </c>
      <c r="K282" s="62" t="s">
        <v>320</v>
      </c>
    </row>
    <row r="283" spans="10:11">
      <c r="J283" s="62">
        <v>282</v>
      </c>
      <c r="K283" s="62" t="s">
        <v>321</v>
      </c>
    </row>
    <row r="284" spans="10:11">
      <c r="J284" s="62">
        <v>283</v>
      </c>
      <c r="K284" s="62" t="s">
        <v>322</v>
      </c>
    </row>
    <row r="285" spans="10:11">
      <c r="J285" s="62">
        <v>284</v>
      </c>
      <c r="K285" s="62" t="s">
        <v>323</v>
      </c>
    </row>
    <row r="286" spans="10:11">
      <c r="J286" s="62">
        <v>285</v>
      </c>
      <c r="K286" s="62" t="s">
        <v>324</v>
      </c>
    </row>
    <row r="287" spans="10:11">
      <c r="J287" s="62">
        <v>286</v>
      </c>
      <c r="K287" s="62" t="s">
        <v>325</v>
      </c>
    </row>
    <row r="288" spans="10:11">
      <c r="J288" s="62">
        <v>287</v>
      </c>
      <c r="K288" s="62" t="s">
        <v>326</v>
      </c>
    </row>
    <row r="289" spans="10:11">
      <c r="J289" s="62">
        <v>288</v>
      </c>
      <c r="K289" s="62" t="s">
        <v>327</v>
      </c>
    </row>
    <row r="290" spans="10:11">
      <c r="J290" s="62">
        <v>289</v>
      </c>
      <c r="K290" s="62" t="s">
        <v>328</v>
      </c>
    </row>
    <row r="291" spans="10:11">
      <c r="J291" s="62">
        <v>290</v>
      </c>
      <c r="K291" s="62" t="s">
        <v>329</v>
      </c>
    </row>
    <row r="292" spans="10:11">
      <c r="J292" s="62">
        <v>291</v>
      </c>
      <c r="K292" s="62" t="s">
        <v>330</v>
      </c>
    </row>
    <row r="293" spans="10:11">
      <c r="J293" s="62">
        <v>292</v>
      </c>
      <c r="K293" s="62" t="s">
        <v>331</v>
      </c>
    </row>
    <row r="294" spans="10:11">
      <c r="J294" s="62">
        <v>293</v>
      </c>
      <c r="K294" s="62" t="s">
        <v>332</v>
      </c>
    </row>
    <row r="295" spans="10:11">
      <c r="J295" s="62">
        <v>294</v>
      </c>
      <c r="K295" s="62" t="s">
        <v>333</v>
      </c>
    </row>
    <row r="296" spans="10:11">
      <c r="J296" s="62">
        <v>295</v>
      </c>
      <c r="K296" s="62" t="s">
        <v>334</v>
      </c>
    </row>
    <row r="297" spans="10:11">
      <c r="J297" s="62">
        <v>296</v>
      </c>
      <c r="K297" s="62" t="s">
        <v>335</v>
      </c>
    </row>
    <row r="298" spans="10:11">
      <c r="J298" s="62">
        <v>297</v>
      </c>
      <c r="K298" s="62" t="s">
        <v>336</v>
      </c>
    </row>
    <row r="299" spans="10:11">
      <c r="J299" s="62">
        <v>298</v>
      </c>
      <c r="K299" s="62" t="s">
        <v>337</v>
      </c>
    </row>
    <row r="300" spans="10:11">
      <c r="J300" s="62">
        <v>299</v>
      </c>
      <c r="K300" s="62" t="s">
        <v>338</v>
      </c>
    </row>
    <row r="301" spans="10:11">
      <c r="J301" s="62">
        <v>300</v>
      </c>
      <c r="K301" s="62" t="s">
        <v>339</v>
      </c>
    </row>
    <row r="302" spans="10:11">
      <c r="J302" s="62">
        <v>301</v>
      </c>
      <c r="K302" s="62" t="s">
        <v>340</v>
      </c>
    </row>
    <row r="303" spans="10:11">
      <c r="J303" s="62">
        <v>302</v>
      </c>
      <c r="K303" s="62" t="s">
        <v>341</v>
      </c>
    </row>
    <row r="304" spans="10:11">
      <c r="J304" s="62">
        <v>303</v>
      </c>
      <c r="K304" s="62" t="s">
        <v>342</v>
      </c>
    </row>
    <row r="305" spans="10:11">
      <c r="J305" s="62">
        <v>304</v>
      </c>
      <c r="K305" s="62" t="s">
        <v>343</v>
      </c>
    </row>
    <row r="306" spans="10:11">
      <c r="J306" s="62">
        <v>305</v>
      </c>
      <c r="K306" s="62" t="s">
        <v>344</v>
      </c>
    </row>
    <row r="307" spans="10:11">
      <c r="J307" s="62">
        <v>306</v>
      </c>
      <c r="K307" s="62" t="s">
        <v>345</v>
      </c>
    </row>
    <row r="308" spans="10:11">
      <c r="J308" s="62">
        <v>307</v>
      </c>
      <c r="K308" s="62" t="s">
        <v>346</v>
      </c>
    </row>
    <row r="309" spans="10:11">
      <c r="J309" s="62">
        <v>308</v>
      </c>
      <c r="K309" s="62" t="s">
        <v>347</v>
      </c>
    </row>
    <row r="310" spans="10:11">
      <c r="J310" s="62">
        <v>309</v>
      </c>
      <c r="K310" s="62" t="s">
        <v>348</v>
      </c>
    </row>
    <row r="311" spans="10:11">
      <c r="J311" s="62">
        <v>310</v>
      </c>
      <c r="K311" s="62" t="s">
        <v>349</v>
      </c>
    </row>
    <row r="312" spans="10:11">
      <c r="J312" s="62">
        <v>311</v>
      </c>
      <c r="K312" s="62" t="s">
        <v>350</v>
      </c>
    </row>
    <row r="313" spans="10:11">
      <c r="J313" s="62">
        <v>312</v>
      </c>
      <c r="K313" s="62" t="s">
        <v>351</v>
      </c>
    </row>
    <row r="314" spans="10:11">
      <c r="J314" s="62">
        <v>313</v>
      </c>
      <c r="K314" s="62" t="s">
        <v>352</v>
      </c>
    </row>
    <row r="315" spans="10:11">
      <c r="J315" s="62">
        <v>314</v>
      </c>
      <c r="K315" s="62" t="s">
        <v>353</v>
      </c>
    </row>
    <row r="316" spans="10:11">
      <c r="J316" s="62">
        <v>315</v>
      </c>
      <c r="K316" s="62" t="s">
        <v>354</v>
      </c>
    </row>
    <row r="317" spans="10:11">
      <c r="J317" s="62">
        <v>316</v>
      </c>
      <c r="K317" s="62" t="s">
        <v>355</v>
      </c>
    </row>
    <row r="318" spans="10:11">
      <c r="J318" s="62">
        <v>317</v>
      </c>
      <c r="K318" s="62" t="s">
        <v>356</v>
      </c>
    </row>
    <row r="319" spans="10:11">
      <c r="J319" s="62">
        <v>318</v>
      </c>
      <c r="K319" s="62" t="s">
        <v>357</v>
      </c>
    </row>
    <row r="320" spans="10:11">
      <c r="J320" s="62">
        <v>319</v>
      </c>
      <c r="K320" s="62" t="s">
        <v>358</v>
      </c>
    </row>
    <row r="321" spans="10:11">
      <c r="J321" s="62">
        <v>320</v>
      </c>
      <c r="K321" s="62" t="s">
        <v>359</v>
      </c>
    </row>
    <row r="322" spans="10:11">
      <c r="J322" s="62">
        <v>321</v>
      </c>
      <c r="K322" s="62" t="s">
        <v>360</v>
      </c>
    </row>
    <row r="323" spans="10:11">
      <c r="J323" s="62">
        <v>322</v>
      </c>
      <c r="K323" s="62" t="s">
        <v>361</v>
      </c>
    </row>
    <row r="324" spans="10:11">
      <c r="J324" s="62">
        <v>323</v>
      </c>
      <c r="K324" s="62" t="s">
        <v>362</v>
      </c>
    </row>
    <row r="325" spans="10:11">
      <c r="J325" s="62">
        <v>324</v>
      </c>
      <c r="K325" s="62" t="s">
        <v>363</v>
      </c>
    </row>
    <row r="326" spans="10:11">
      <c r="J326" s="62">
        <v>325</v>
      </c>
      <c r="K326" s="62" t="s">
        <v>364</v>
      </c>
    </row>
    <row r="327" spans="10:11">
      <c r="J327" s="62">
        <v>326</v>
      </c>
      <c r="K327" s="62" t="s">
        <v>365</v>
      </c>
    </row>
    <row r="328" spans="10:11">
      <c r="J328" s="62">
        <v>327</v>
      </c>
      <c r="K328" s="62" t="s">
        <v>366</v>
      </c>
    </row>
    <row r="329" spans="10:11">
      <c r="J329" s="62">
        <v>328</v>
      </c>
      <c r="K329" s="62" t="s">
        <v>367</v>
      </c>
    </row>
    <row r="330" spans="10:11">
      <c r="J330" s="62">
        <v>329</v>
      </c>
      <c r="K330" s="62" t="s">
        <v>368</v>
      </c>
    </row>
    <row r="331" spans="10:11">
      <c r="J331" s="62">
        <v>330</v>
      </c>
      <c r="K331" s="62" t="s">
        <v>369</v>
      </c>
    </row>
    <row r="332" spans="10:11">
      <c r="J332" s="62">
        <v>331</v>
      </c>
      <c r="K332" s="62" t="s">
        <v>370</v>
      </c>
    </row>
    <row r="333" spans="10:11">
      <c r="J333" s="62">
        <v>332</v>
      </c>
      <c r="K333" s="62" t="s">
        <v>371</v>
      </c>
    </row>
    <row r="334" spans="10:11">
      <c r="J334" s="62">
        <v>333</v>
      </c>
      <c r="K334" s="62" t="s">
        <v>372</v>
      </c>
    </row>
    <row r="335" spans="10:11">
      <c r="J335" s="62">
        <v>334</v>
      </c>
      <c r="K335" s="62" t="s">
        <v>373</v>
      </c>
    </row>
    <row r="336" spans="10:11">
      <c r="J336" s="62">
        <v>335</v>
      </c>
      <c r="K336" s="62" t="s">
        <v>374</v>
      </c>
    </row>
    <row r="337" spans="10:11">
      <c r="J337" s="62">
        <v>336</v>
      </c>
      <c r="K337" s="62" t="s">
        <v>375</v>
      </c>
    </row>
    <row r="338" spans="10:11">
      <c r="J338" s="62">
        <v>337</v>
      </c>
      <c r="K338" s="62" t="s">
        <v>376</v>
      </c>
    </row>
    <row r="339" spans="10:11">
      <c r="J339" s="62">
        <v>338</v>
      </c>
      <c r="K339" s="62" t="s">
        <v>377</v>
      </c>
    </row>
    <row r="340" spans="10:11">
      <c r="J340" s="62">
        <v>339</v>
      </c>
      <c r="K340" s="62" t="s">
        <v>378</v>
      </c>
    </row>
    <row r="341" spans="10:11">
      <c r="J341" s="62">
        <v>340</v>
      </c>
      <c r="K341" s="62" t="s">
        <v>379</v>
      </c>
    </row>
    <row r="342" spans="10:11">
      <c r="J342" s="62">
        <v>341</v>
      </c>
      <c r="K342" s="62" t="s">
        <v>380</v>
      </c>
    </row>
    <row r="343" spans="10:11">
      <c r="J343" s="62">
        <v>342</v>
      </c>
      <c r="K343" s="62" t="s">
        <v>381</v>
      </c>
    </row>
    <row r="344" spans="10:11">
      <c r="J344" s="62">
        <v>343</v>
      </c>
      <c r="K344" s="62" t="s">
        <v>382</v>
      </c>
    </row>
    <row r="345" spans="10:11">
      <c r="J345" s="62">
        <v>344</v>
      </c>
      <c r="K345" s="62" t="s">
        <v>383</v>
      </c>
    </row>
    <row r="346" spans="10:11">
      <c r="J346" s="62">
        <v>345</v>
      </c>
      <c r="K346" s="62" t="s">
        <v>384</v>
      </c>
    </row>
    <row r="347" spans="10:11">
      <c r="J347" s="62">
        <v>346</v>
      </c>
      <c r="K347" s="62" t="s">
        <v>385</v>
      </c>
    </row>
    <row r="348" spans="10:11">
      <c r="J348" s="62">
        <v>347</v>
      </c>
      <c r="K348" s="62" t="s">
        <v>386</v>
      </c>
    </row>
    <row r="349" spans="10:11">
      <c r="J349" s="62">
        <v>348</v>
      </c>
      <c r="K349" s="62" t="s">
        <v>387</v>
      </c>
    </row>
    <row r="350" spans="10:11">
      <c r="J350" s="62">
        <v>349</v>
      </c>
      <c r="K350" s="62" t="s">
        <v>388</v>
      </c>
    </row>
    <row r="351" spans="10:11">
      <c r="J351" s="62">
        <v>350</v>
      </c>
      <c r="K351" s="62" t="s">
        <v>389</v>
      </c>
    </row>
    <row r="352" spans="10:11">
      <c r="J352" s="62">
        <v>351</v>
      </c>
      <c r="K352" s="62" t="s">
        <v>390</v>
      </c>
    </row>
    <row r="353" spans="10:11">
      <c r="J353" s="62">
        <v>352</v>
      </c>
      <c r="K353" s="62" t="s">
        <v>391</v>
      </c>
    </row>
    <row r="354" spans="10:11">
      <c r="J354" s="62">
        <v>353</v>
      </c>
      <c r="K354" s="62" t="s">
        <v>392</v>
      </c>
    </row>
    <row r="355" spans="10:11">
      <c r="J355" s="62">
        <v>354</v>
      </c>
      <c r="K355" s="62" t="s">
        <v>393</v>
      </c>
    </row>
    <row r="356" spans="10:11">
      <c r="J356" s="62">
        <v>355</v>
      </c>
      <c r="K356" s="62" t="s">
        <v>394</v>
      </c>
    </row>
    <row r="357" spans="10:11">
      <c r="J357" s="62">
        <v>356</v>
      </c>
      <c r="K357" s="62" t="s">
        <v>395</v>
      </c>
    </row>
    <row r="358" spans="10:11">
      <c r="J358" s="62">
        <v>357</v>
      </c>
      <c r="K358" s="62" t="s">
        <v>396</v>
      </c>
    </row>
    <row r="359" spans="10:11">
      <c r="J359" s="62">
        <v>358</v>
      </c>
      <c r="K359" s="62" t="s">
        <v>397</v>
      </c>
    </row>
    <row r="360" spans="10:11">
      <c r="J360" s="62">
        <v>359</v>
      </c>
      <c r="K360" s="62" t="s">
        <v>398</v>
      </c>
    </row>
    <row r="361" spans="10:11">
      <c r="J361" s="62">
        <v>360</v>
      </c>
      <c r="K361" s="62" t="s">
        <v>399</v>
      </c>
    </row>
    <row r="362" spans="10:11">
      <c r="J362" s="62">
        <v>361</v>
      </c>
      <c r="K362" s="62" t="s">
        <v>400</v>
      </c>
    </row>
    <row r="363" spans="10:11">
      <c r="J363" s="62">
        <v>362</v>
      </c>
      <c r="K363" s="62" t="s">
        <v>401</v>
      </c>
    </row>
    <row r="364" spans="10:11">
      <c r="J364" s="62">
        <v>363</v>
      </c>
      <c r="K364" s="62" t="s">
        <v>402</v>
      </c>
    </row>
    <row r="365" spans="10:11">
      <c r="J365" s="62">
        <v>364</v>
      </c>
      <c r="K365" s="62" t="s">
        <v>403</v>
      </c>
    </row>
    <row r="366" spans="10:11">
      <c r="J366" s="62">
        <v>365</v>
      </c>
      <c r="K366" s="62" t="s">
        <v>404</v>
      </c>
    </row>
    <row r="367" spans="10:11">
      <c r="J367" s="62">
        <v>366</v>
      </c>
      <c r="K367" s="62" t="s">
        <v>405</v>
      </c>
    </row>
    <row r="368" spans="10:11">
      <c r="J368" s="62">
        <v>367</v>
      </c>
      <c r="K368" s="62" t="s">
        <v>406</v>
      </c>
    </row>
    <row r="369" spans="10:11">
      <c r="J369" s="62">
        <v>368</v>
      </c>
      <c r="K369" s="62" t="s">
        <v>407</v>
      </c>
    </row>
    <row r="370" spans="10:11">
      <c r="J370" s="62">
        <v>369</v>
      </c>
      <c r="K370" s="62" t="s">
        <v>408</v>
      </c>
    </row>
    <row r="371" spans="10:11">
      <c r="J371" s="62">
        <v>370</v>
      </c>
      <c r="K371" s="62" t="s">
        <v>409</v>
      </c>
    </row>
    <row r="372" spans="10:11">
      <c r="J372" s="62">
        <v>371</v>
      </c>
      <c r="K372" s="62" t="s">
        <v>410</v>
      </c>
    </row>
    <row r="373" spans="10:11">
      <c r="J373" s="62">
        <v>372</v>
      </c>
      <c r="K373" s="62" t="s">
        <v>411</v>
      </c>
    </row>
    <row r="374" spans="10:11">
      <c r="J374" s="62">
        <v>373</v>
      </c>
      <c r="K374" s="62" t="s">
        <v>412</v>
      </c>
    </row>
    <row r="375" spans="10:11">
      <c r="J375" s="62">
        <v>374</v>
      </c>
      <c r="K375" s="62" t="s">
        <v>413</v>
      </c>
    </row>
    <row r="376" spans="10:11">
      <c r="J376" s="62">
        <v>375</v>
      </c>
      <c r="K376" s="62" t="s">
        <v>414</v>
      </c>
    </row>
    <row r="377" spans="10:11">
      <c r="J377" s="62">
        <v>376</v>
      </c>
      <c r="K377" s="62" t="s">
        <v>415</v>
      </c>
    </row>
    <row r="378" spans="10:11">
      <c r="J378" s="62">
        <v>377</v>
      </c>
      <c r="K378" s="62" t="s">
        <v>416</v>
      </c>
    </row>
    <row r="379" spans="10:11">
      <c r="J379" s="62">
        <v>378</v>
      </c>
      <c r="K379" s="62" t="s">
        <v>417</v>
      </c>
    </row>
    <row r="380" spans="10:11">
      <c r="J380" s="62">
        <v>379</v>
      </c>
      <c r="K380" s="62" t="s">
        <v>418</v>
      </c>
    </row>
    <row r="381" spans="10:11">
      <c r="J381" s="62">
        <v>380</v>
      </c>
      <c r="K381" s="62" t="s">
        <v>419</v>
      </c>
    </row>
    <row r="382" spans="10:11">
      <c r="J382" s="62">
        <v>381</v>
      </c>
      <c r="K382" s="62" t="s">
        <v>420</v>
      </c>
    </row>
    <row r="383" spans="10:11">
      <c r="J383" s="62">
        <v>382</v>
      </c>
      <c r="K383" s="62" t="s">
        <v>421</v>
      </c>
    </row>
    <row r="384" spans="10:11">
      <c r="J384" s="62">
        <v>383</v>
      </c>
      <c r="K384" s="62" t="s">
        <v>422</v>
      </c>
    </row>
    <row r="385" spans="10:11">
      <c r="J385" s="62">
        <v>384</v>
      </c>
      <c r="K385" s="62" t="s">
        <v>423</v>
      </c>
    </row>
    <row r="386" spans="10:11">
      <c r="J386" s="62">
        <v>385</v>
      </c>
      <c r="K386" s="62" t="s">
        <v>424</v>
      </c>
    </row>
    <row r="387" spans="10:11">
      <c r="J387" s="62">
        <v>386</v>
      </c>
      <c r="K387" s="62" t="s">
        <v>425</v>
      </c>
    </row>
    <row r="388" spans="10:11">
      <c r="J388" s="62">
        <v>387</v>
      </c>
      <c r="K388" s="62" t="s">
        <v>426</v>
      </c>
    </row>
    <row r="389" spans="10:11">
      <c r="J389" s="62">
        <v>388</v>
      </c>
      <c r="K389" s="62" t="s">
        <v>427</v>
      </c>
    </row>
    <row r="390" spans="10:11">
      <c r="J390" s="62">
        <v>389</v>
      </c>
      <c r="K390" s="62" t="s">
        <v>428</v>
      </c>
    </row>
    <row r="391" spans="10:11">
      <c r="J391" s="62">
        <v>390</v>
      </c>
      <c r="K391" s="62" t="s">
        <v>429</v>
      </c>
    </row>
    <row r="392" spans="10:11">
      <c r="J392" s="62">
        <v>391</v>
      </c>
      <c r="K392" s="62" t="s">
        <v>430</v>
      </c>
    </row>
    <row r="393" spans="10:11">
      <c r="J393" s="62">
        <v>392</v>
      </c>
      <c r="K393" s="62" t="s">
        <v>431</v>
      </c>
    </row>
    <row r="394" spans="10:11">
      <c r="J394" s="62">
        <v>393</v>
      </c>
      <c r="K394" s="62" t="s">
        <v>432</v>
      </c>
    </row>
    <row r="395" spans="10:11">
      <c r="J395" s="62">
        <v>394</v>
      </c>
      <c r="K395" s="62" t="s">
        <v>433</v>
      </c>
    </row>
    <row r="396" spans="10:11">
      <c r="J396" s="62">
        <v>395</v>
      </c>
      <c r="K396" s="62" t="s">
        <v>434</v>
      </c>
    </row>
    <row r="397" spans="10:11">
      <c r="J397" s="62">
        <v>396</v>
      </c>
      <c r="K397" s="62" t="s">
        <v>435</v>
      </c>
    </row>
    <row r="398" spans="10:11">
      <c r="J398" s="62">
        <v>397</v>
      </c>
      <c r="K398" s="62" t="s">
        <v>436</v>
      </c>
    </row>
    <row r="399" spans="10:11">
      <c r="J399" s="62">
        <v>398</v>
      </c>
      <c r="K399" s="62" t="s">
        <v>437</v>
      </c>
    </row>
    <row r="400" spans="10:11">
      <c r="J400" s="62">
        <v>399</v>
      </c>
      <c r="K400" s="62" t="s">
        <v>438</v>
      </c>
    </row>
    <row r="401" spans="10:11">
      <c r="J401" s="62">
        <v>400</v>
      </c>
      <c r="K401" s="62" t="s">
        <v>439</v>
      </c>
    </row>
    <row r="402" spans="10:11">
      <c r="J402" s="62">
        <v>401</v>
      </c>
      <c r="K402" s="62" t="s">
        <v>440</v>
      </c>
    </row>
    <row r="403" spans="10:11">
      <c r="J403" s="62">
        <v>402</v>
      </c>
      <c r="K403" s="62" t="s">
        <v>441</v>
      </c>
    </row>
    <row r="404" spans="10:11">
      <c r="J404" s="62">
        <v>403</v>
      </c>
      <c r="K404" s="62" t="s">
        <v>442</v>
      </c>
    </row>
    <row r="405" spans="10:11">
      <c r="J405" s="62">
        <v>404</v>
      </c>
      <c r="K405" s="62" t="s">
        <v>443</v>
      </c>
    </row>
    <row r="406" spans="10:11">
      <c r="J406" s="62">
        <v>405</v>
      </c>
      <c r="K406" s="62" t="s">
        <v>444</v>
      </c>
    </row>
    <row r="407" spans="10:11">
      <c r="J407" s="62">
        <v>406</v>
      </c>
      <c r="K407" s="62" t="s">
        <v>445</v>
      </c>
    </row>
    <row r="408" spans="10:11">
      <c r="J408" s="62">
        <v>407</v>
      </c>
      <c r="K408" s="62" t="s">
        <v>446</v>
      </c>
    </row>
    <row r="409" spans="10:11">
      <c r="J409" s="62">
        <v>408</v>
      </c>
      <c r="K409" s="62" t="s">
        <v>447</v>
      </c>
    </row>
    <row r="410" spans="10:11">
      <c r="J410" s="62">
        <v>409</v>
      </c>
      <c r="K410" s="62" t="s">
        <v>448</v>
      </c>
    </row>
    <row r="411" spans="10:11">
      <c r="J411" s="62">
        <v>410</v>
      </c>
      <c r="K411" s="62" t="s">
        <v>449</v>
      </c>
    </row>
    <row r="412" spans="10:11">
      <c r="J412" s="62">
        <v>411</v>
      </c>
      <c r="K412" s="62" t="s">
        <v>450</v>
      </c>
    </row>
    <row r="413" spans="10:11">
      <c r="J413" s="62">
        <v>412</v>
      </c>
      <c r="K413" s="62" t="s">
        <v>451</v>
      </c>
    </row>
    <row r="414" spans="10:11">
      <c r="J414" s="62">
        <v>413</v>
      </c>
      <c r="K414" s="62" t="s">
        <v>452</v>
      </c>
    </row>
    <row r="415" spans="10:11">
      <c r="J415" s="62">
        <v>414</v>
      </c>
      <c r="K415" s="62" t="s">
        <v>453</v>
      </c>
    </row>
    <row r="416" spans="10:11">
      <c r="J416" s="62">
        <v>415</v>
      </c>
      <c r="K416" s="62" t="s">
        <v>454</v>
      </c>
    </row>
    <row r="417" spans="10:11">
      <c r="J417" s="62">
        <v>416</v>
      </c>
      <c r="K417" s="62" t="s">
        <v>455</v>
      </c>
    </row>
    <row r="418" spans="10:11">
      <c r="J418" s="62">
        <v>417</v>
      </c>
      <c r="K418" s="62" t="s">
        <v>456</v>
      </c>
    </row>
    <row r="419" spans="10:11">
      <c r="J419" s="62">
        <v>418</v>
      </c>
      <c r="K419" s="62" t="s">
        <v>457</v>
      </c>
    </row>
    <row r="420" spans="10:11">
      <c r="J420" s="62">
        <v>419</v>
      </c>
      <c r="K420" s="62" t="s">
        <v>458</v>
      </c>
    </row>
    <row r="421" spans="10:11">
      <c r="J421" s="62">
        <v>420</v>
      </c>
      <c r="K421" s="62" t="s">
        <v>459</v>
      </c>
    </row>
    <row r="422" spans="10:11">
      <c r="J422" s="62">
        <v>421</v>
      </c>
      <c r="K422" s="62" t="s">
        <v>460</v>
      </c>
    </row>
    <row r="423" spans="10:11">
      <c r="J423" s="62">
        <v>422</v>
      </c>
      <c r="K423" s="62" t="s">
        <v>461</v>
      </c>
    </row>
    <row r="424" spans="10:11">
      <c r="J424" s="62">
        <v>423</v>
      </c>
      <c r="K424" s="62" t="s">
        <v>462</v>
      </c>
    </row>
    <row r="425" spans="10:11">
      <c r="J425" s="62">
        <v>424</v>
      </c>
      <c r="K425" s="62" t="s">
        <v>463</v>
      </c>
    </row>
    <row r="426" spans="10:11">
      <c r="J426" s="62">
        <v>425</v>
      </c>
      <c r="K426" s="62" t="s">
        <v>464</v>
      </c>
    </row>
    <row r="427" spans="10:11">
      <c r="J427" s="62">
        <v>426</v>
      </c>
      <c r="K427" s="62" t="s">
        <v>465</v>
      </c>
    </row>
    <row r="428" spans="10:11">
      <c r="J428" s="62">
        <v>427</v>
      </c>
      <c r="K428" s="62" t="s">
        <v>466</v>
      </c>
    </row>
    <row r="429" spans="10:11">
      <c r="J429" s="62">
        <v>428</v>
      </c>
      <c r="K429" s="62" t="s">
        <v>467</v>
      </c>
    </row>
    <row r="430" spans="10:11">
      <c r="J430" s="62">
        <v>429</v>
      </c>
      <c r="K430" s="62" t="s">
        <v>468</v>
      </c>
    </row>
    <row r="431" spans="10:11">
      <c r="J431" s="62">
        <v>430</v>
      </c>
      <c r="K431" s="62" t="s">
        <v>469</v>
      </c>
    </row>
    <row r="432" spans="10:11">
      <c r="J432" s="62">
        <v>431</v>
      </c>
      <c r="K432" s="62" t="s">
        <v>470</v>
      </c>
    </row>
    <row r="433" spans="10:11">
      <c r="J433" s="62">
        <v>432</v>
      </c>
      <c r="K433" s="62" t="s">
        <v>471</v>
      </c>
    </row>
    <row r="434" spans="10:11">
      <c r="J434" s="62">
        <v>433</v>
      </c>
      <c r="K434" s="62" t="s">
        <v>472</v>
      </c>
    </row>
    <row r="435" spans="10:11">
      <c r="J435" s="62">
        <v>434</v>
      </c>
      <c r="K435" s="62" t="s">
        <v>473</v>
      </c>
    </row>
    <row r="436" spans="10:11">
      <c r="J436" s="62">
        <v>435</v>
      </c>
      <c r="K436" s="62" t="s">
        <v>474</v>
      </c>
    </row>
    <row r="437" spans="10:11">
      <c r="J437" s="62">
        <v>436</v>
      </c>
      <c r="K437" s="62" t="s">
        <v>475</v>
      </c>
    </row>
    <row r="438" spans="10:11">
      <c r="J438" s="62">
        <v>437</v>
      </c>
      <c r="K438" s="62" t="s">
        <v>476</v>
      </c>
    </row>
    <row r="439" spans="10:11">
      <c r="J439" s="62">
        <v>438</v>
      </c>
      <c r="K439" s="62" t="s">
        <v>477</v>
      </c>
    </row>
    <row r="440" spans="10:11">
      <c r="J440" s="62">
        <v>439</v>
      </c>
      <c r="K440" s="62" t="s">
        <v>478</v>
      </c>
    </row>
    <row r="441" spans="10:11">
      <c r="J441" s="62">
        <v>440</v>
      </c>
      <c r="K441" s="62" t="s">
        <v>479</v>
      </c>
    </row>
    <row r="442" spans="10:11">
      <c r="J442" s="62">
        <v>441</v>
      </c>
      <c r="K442" s="62" t="s">
        <v>480</v>
      </c>
    </row>
    <row r="443" spans="10:11">
      <c r="J443" s="62">
        <v>442</v>
      </c>
      <c r="K443" s="62" t="s">
        <v>481</v>
      </c>
    </row>
    <row r="444" spans="10:11">
      <c r="J444" s="62">
        <v>443</v>
      </c>
      <c r="K444" s="62" t="s">
        <v>482</v>
      </c>
    </row>
    <row r="445" spans="10:11">
      <c r="J445" s="62">
        <v>444</v>
      </c>
      <c r="K445" s="62" t="s">
        <v>483</v>
      </c>
    </row>
    <row r="446" spans="10:11">
      <c r="J446" s="62">
        <v>445</v>
      </c>
      <c r="K446" s="62" t="s">
        <v>484</v>
      </c>
    </row>
    <row r="447" spans="10:11">
      <c r="J447" s="62">
        <v>446</v>
      </c>
      <c r="K447" s="62" t="s">
        <v>485</v>
      </c>
    </row>
    <row r="448" spans="10:11">
      <c r="J448" s="62">
        <v>447</v>
      </c>
      <c r="K448" s="62" t="s">
        <v>486</v>
      </c>
    </row>
    <row r="449" spans="10:11">
      <c r="J449" s="62">
        <v>448</v>
      </c>
      <c r="K449" s="62" t="s">
        <v>487</v>
      </c>
    </row>
    <row r="450" spans="10:11">
      <c r="J450" s="62">
        <v>449</v>
      </c>
      <c r="K450" s="62" t="s">
        <v>488</v>
      </c>
    </row>
    <row r="451" spans="10:11">
      <c r="J451" s="62">
        <v>450</v>
      </c>
      <c r="K451" s="62" t="s">
        <v>489</v>
      </c>
    </row>
    <row r="452" spans="10:11">
      <c r="J452" s="62">
        <v>451</v>
      </c>
      <c r="K452" s="62" t="s">
        <v>490</v>
      </c>
    </row>
    <row r="453" spans="10:11">
      <c r="J453" s="62">
        <v>452</v>
      </c>
      <c r="K453" s="62" t="s">
        <v>491</v>
      </c>
    </row>
    <row r="454" spans="10:11">
      <c r="J454" s="62">
        <v>453</v>
      </c>
      <c r="K454" s="62" t="s">
        <v>492</v>
      </c>
    </row>
    <row r="455" spans="10:11">
      <c r="J455" s="62">
        <v>454</v>
      </c>
      <c r="K455" s="62" t="s">
        <v>493</v>
      </c>
    </row>
    <row r="456" spans="10:11">
      <c r="J456" s="62">
        <v>455</v>
      </c>
      <c r="K456" s="62" t="s">
        <v>494</v>
      </c>
    </row>
    <row r="457" spans="10:11">
      <c r="J457" s="62">
        <v>456</v>
      </c>
      <c r="K457" s="62" t="s">
        <v>495</v>
      </c>
    </row>
    <row r="458" spans="10:11">
      <c r="J458" s="62">
        <v>457</v>
      </c>
      <c r="K458" s="62" t="s">
        <v>496</v>
      </c>
    </row>
    <row r="459" spans="10:11">
      <c r="J459" s="62">
        <v>458</v>
      </c>
      <c r="K459" s="62" t="s">
        <v>497</v>
      </c>
    </row>
    <row r="460" spans="10:11">
      <c r="J460" s="62">
        <v>459</v>
      </c>
      <c r="K460" s="62" t="s">
        <v>498</v>
      </c>
    </row>
    <row r="461" spans="10:11">
      <c r="J461" s="62">
        <v>460</v>
      </c>
      <c r="K461" s="62" t="s">
        <v>499</v>
      </c>
    </row>
    <row r="462" spans="10:11">
      <c r="J462" s="62">
        <v>461</v>
      </c>
      <c r="K462" s="62" t="s">
        <v>500</v>
      </c>
    </row>
    <row r="463" spans="10:11">
      <c r="J463" s="62">
        <v>462</v>
      </c>
      <c r="K463" s="62" t="s">
        <v>501</v>
      </c>
    </row>
    <row r="464" spans="10:11">
      <c r="J464" s="62">
        <v>463</v>
      </c>
      <c r="K464" s="62" t="s">
        <v>502</v>
      </c>
    </row>
    <row r="465" spans="10:11">
      <c r="J465" s="62">
        <v>464</v>
      </c>
      <c r="K465" s="62" t="s">
        <v>503</v>
      </c>
    </row>
    <row r="466" spans="10:11">
      <c r="J466" s="62">
        <v>465</v>
      </c>
      <c r="K466" s="62" t="s">
        <v>504</v>
      </c>
    </row>
    <row r="467" spans="10:11">
      <c r="J467" s="62">
        <v>466</v>
      </c>
      <c r="K467" s="62" t="s">
        <v>505</v>
      </c>
    </row>
    <row r="468" spans="10:11">
      <c r="J468" s="62">
        <v>467</v>
      </c>
      <c r="K468" s="62" t="s">
        <v>506</v>
      </c>
    </row>
    <row r="469" spans="10:11">
      <c r="J469" s="62">
        <v>468</v>
      </c>
      <c r="K469" s="62" t="s">
        <v>507</v>
      </c>
    </row>
    <row r="470" spans="10:11">
      <c r="J470" s="62">
        <v>469</v>
      </c>
      <c r="K470" s="62" t="s">
        <v>508</v>
      </c>
    </row>
    <row r="471" spans="10:11">
      <c r="J471" s="62">
        <v>470</v>
      </c>
      <c r="K471" s="62" t="s">
        <v>509</v>
      </c>
    </row>
    <row r="472" spans="10:11">
      <c r="J472" s="62">
        <v>471</v>
      </c>
      <c r="K472" s="62" t="s">
        <v>510</v>
      </c>
    </row>
    <row r="473" spans="10:11">
      <c r="J473" s="62">
        <v>472</v>
      </c>
      <c r="K473" s="62" t="s">
        <v>511</v>
      </c>
    </row>
    <row r="474" spans="10:11">
      <c r="J474" s="62">
        <v>473</v>
      </c>
      <c r="K474" s="62" t="s">
        <v>512</v>
      </c>
    </row>
    <row r="475" spans="10:11">
      <c r="J475" s="62">
        <v>474</v>
      </c>
      <c r="K475" s="62" t="s">
        <v>513</v>
      </c>
    </row>
    <row r="476" spans="10:11">
      <c r="J476" s="62">
        <v>475</v>
      </c>
      <c r="K476" s="62" t="s">
        <v>514</v>
      </c>
    </row>
    <row r="477" spans="10:11">
      <c r="J477" s="62">
        <v>476</v>
      </c>
      <c r="K477" s="62" t="s">
        <v>515</v>
      </c>
    </row>
    <row r="478" spans="10:11">
      <c r="J478" s="62">
        <v>477</v>
      </c>
      <c r="K478" s="62" t="s">
        <v>516</v>
      </c>
    </row>
    <row r="479" spans="10:11">
      <c r="J479" s="62">
        <v>478</v>
      </c>
      <c r="K479" s="62" t="s">
        <v>517</v>
      </c>
    </row>
    <row r="480" spans="10:11">
      <c r="J480" s="62">
        <v>479</v>
      </c>
      <c r="K480" s="62" t="s">
        <v>518</v>
      </c>
    </row>
    <row r="481" spans="10:11">
      <c r="J481" s="62">
        <v>480</v>
      </c>
      <c r="K481" s="62" t="s">
        <v>519</v>
      </c>
    </row>
    <row r="482" spans="10:11">
      <c r="J482" s="62">
        <v>481</v>
      </c>
      <c r="K482" s="62" t="s">
        <v>520</v>
      </c>
    </row>
    <row r="483" spans="10:11">
      <c r="J483" s="62">
        <v>482</v>
      </c>
      <c r="K483" s="62" t="s">
        <v>521</v>
      </c>
    </row>
    <row r="484" spans="10:11">
      <c r="J484" s="62">
        <v>483</v>
      </c>
      <c r="K484" s="62" t="s">
        <v>522</v>
      </c>
    </row>
    <row r="485" spans="10:11">
      <c r="J485" s="62">
        <v>484</v>
      </c>
      <c r="K485" s="62" t="s">
        <v>523</v>
      </c>
    </row>
    <row r="486" spans="10:11">
      <c r="J486" s="62">
        <v>485</v>
      </c>
      <c r="K486" s="62" t="s">
        <v>524</v>
      </c>
    </row>
    <row r="487" spans="10:11">
      <c r="J487" s="62">
        <v>486</v>
      </c>
      <c r="K487" s="62" t="s">
        <v>525</v>
      </c>
    </row>
    <row r="488" spans="10:11">
      <c r="J488" s="62">
        <v>487</v>
      </c>
      <c r="K488" s="62" t="s">
        <v>526</v>
      </c>
    </row>
    <row r="489" spans="10:11">
      <c r="J489" s="62">
        <v>488</v>
      </c>
      <c r="K489" s="62" t="s">
        <v>527</v>
      </c>
    </row>
    <row r="490" spans="10:11">
      <c r="J490" s="62">
        <v>489</v>
      </c>
      <c r="K490" s="62" t="s">
        <v>528</v>
      </c>
    </row>
    <row r="491" spans="10:11">
      <c r="J491" s="62">
        <v>490</v>
      </c>
      <c r="K491" s="62" t="s">
        <v>529</v>
      </c>
    </row>
    <row r="492" spans="10:11">
      <c r="J492" s="62">
        <v>491</v>
      </c>
      <c r="K492" s="62" t="s">
        <v>530</v>
      </c>
    </row>
    <row r="493" spans="10:11">
      <c r="J493" s="62">
        <v>492</v>
      </c>
      <c r="K493" s="62" t="s">
        <v>531</v>
      </c>
    </row>
    <row r="494" spans="10:11">
      <c r="J494" s="62">
        <v>493</v>
      </c>
      <c r="K494" s="62" t="s">
        <v>532</v>
      </c>
    </row>
    <row r="495" spans="10:11">
      <c r="J495" s="62">
        <v>494</v>
      </c>
      <c r="K495" s="62" t="s">
        <v>533</v>
      </c>
    </row>
    <row r="496" spans="10:11">
      <c r="J496" s="62">
        <v>495</v>
      </c>
      <c r="K496" s="62" t="s">
        <v>534</v>
      </c>
    </row>
    <row r="497" spans="10:11">
      <c r="J497" s="62">
        <v>496</v>
      </c>
      <c r="K497" s="62" t="s">
        <v>535</v>
      </c>
    </row>
    <row r="498" spans="10:11">
      <c r="J498" s="62">
        <v>497</v>
      </c>
      <c r="K498" s="62" t="s">
        <v>536</v>
      </c>
    </row>
    <row r="499" spans="10:11">
      <c r="J499" s="62">
        <v>498</v>
      </c>
      <c r="K499" s="62" t="s">
        <v>537</v>
      </c>
    </row>
    <row r="500" spans="10:11">
      <c r="J500" s="62">
        <v>499</v>
      </c>
      <c r="K500" s="62" t="s">
        <v>538</v>
      </c>
    </row>
    <row r="501" spans="10:11">
      <c r="J501" s="62">
        <v>500</v>
      </c>
      <c r="K501" s="62" t="s">
        <v>539</v>
      </c>
    </row>
    <row r="502" spans="10:11">
      <c r="J502" s="62">
        <v>501</v>
      </c>
      <c r="K502" s="62" t="s">
        <v>540</v>
      </c>
    </row>
    <row r="503" spans="10:11">
      <c r="J503" s="62">
        <v>502</v>
      </c>
      <c r="K503" s="62" t="s">
        <v>541</v>
      </c>
    </row>
    <row r="504" spans="10:11">
      <c r="J504" s="62">
        <v>503</v>
      </c>
      <c r="K504" s="62" t="s">
        <v>542</v>
      </c>
    </row>
    <row r="505" spans="10:11">
      <c r="J505" s="62">
        <v>504</v>
      </c>
      <c r="K505" s="62" t="s">
        <v>543</v>
      </c>
    </row>
    <row r="506" spans="10:11">
      <c r="J506" s="62">
        <v>505</v>
      </c>
      <c r="K506" s="62" t="s">
        <v>544</v>
      </c>
    </row>
    <row r="507" spans="10:11">
      <c r="J507" s="62">
        <v>506</v>
      </c>
      <c r="K507" s="62" t="s">
        <v>545</v>
      </c>
    </row>
    <row r="508" spans="10:11">
      <c r="J508" s="62">
        <v>507</v>
      </c>
      <c r="K508" s="62" t="s">
        <v>546</v>
      </c>
    </row>
    <row r="509" spans="10:11">
      <c r="J509" s="62">
        <v>508</v>
      </c>
      <c r="K509" s="62" t="s">
        <v>547</v>
      </c>
    </row>
    <row r="510" spans="10:11">
      <c r="J510" s="62">
        <v>509</v>
      </c>
      <c r="K510" s="62" t="s">
        <v>548</v>
      </c>
    </row>
    <row r="511" spans="10:11">
      <c r="J511" s="62">
        <v>510</v>
      </c>
      <c r="K511" s="62" t="s">
        <v>549</v>
      </c>
    </row>
    <row r="512" spans="10:11">
      <c r="J512" s="62">
        <v>511</v>
      </c>
      <c r="K512" s="62" t="s">
        <v>550</v>
      </c>
    </row>
    <row r="513" spans="10:11">
      <c r="J513" s="62">
        <v>512</v>
      </c>
      <c r="K513" s="62" t="s">
        <v>551</v>
      </c>
    </row>
    <row r="514" spans="10:11">
      <c r="J514" s="62">
        <v>513</v>
      </c>
      <c r="K514" s="62" t="s">
        <v>552</v>
      </c>
    </row>
    <row r="515" spans="10:11">
      <c r="J515" s="62">
        <v>514</v>
      </c>
      <c r="K515" s="62" t="s">
        <v>553</v>
      </c>
    </row>
    <row r="516" spans="10:11">
      <c r="J516" s="62">
        <v>515</v>
      </c>
      <c r="K516" s="62" t="s">
        <v>554</v>
      </c>
    </row>
    <row r="517" spans="10:11">
      <c r="J517" s="62">
        <v>516</v>
      </c>
      <c r="K517" s="62" t="s">
        <v>555</v>
      </c>
    </row>
    <row r="518" spans="10:11">
      <c r="J518" s="62">
        <v>517</v>
      </c>
      <c r="K518" s="62" t="s">
        <v>556</v>
      </c>
    </row>
    <row r="519" spans="10:11">
      <c r="J519" s="62">
        <v>518</v>
      </c>
      <c r="K519" s="62" t="s">
        <v>557</v>
      </c>
    </row>
    <row r="520" spans="10:11">
      <c r="J520" s="62">
        <v>519</v>
      </c>
      <c r="K520" s="62" t="s">
        <v>558</v>
      </c>
    </row>
    <row r="521" spans="10:11">
      <c r="J521" s="62">
        <v>520</v>
      </c>
      <c r="K521" s="62" t="s">
        <v>559</v>
      </c>
    </row>
    <row r="522" spans="10:11">
      <c r="J522" s="62">
        <v>521</v>
      </c>
      <c r="K522" s="62" t="s">
        <v>560</v>
      </c>
    </row>
    <row r="523" spans="10:11">
      <c r="J523" s="62">
        <v>522</v>
      </c>
      <c r="K523" s="62" t="s">
        <v>561</v>
      </c>
    </row>
    <row r="524" spans="10:11">
      <c r="J524" s="62">
        <v>523</v>
      </c>
      <c r="K524" s="62" t="s">
        <v>562</v>
      </c>
    </row>
    <row r="525" spans="10:11">
      <c r="J525" s="62">
        <v>524</v>
      </c>
      <c r="K525" s="62" t="s">
        <v>563</v>
      </c>
    </row>
    <row r="526" spans="10:11">
      <c r="J526" s="62">
        <v>525</v>
      </c>
      <c r="K526" s="62" t="s">
        <v>564</v>
      </c>
    </row>
    <row r="527" spans="10:11">
      <c r="J527" s="62">
        <v>526</v>
      </c>
      <c r="K527" s="62" t="s">
        <v>565</v>
      </c>
    </row>
    <row r="528" spans="10:11">
      <c r="J528" s="62">
        <v>527</v>
      </c>
      <c r="K528" s="62" t="s">
        <v>566</v>
      </c>
    </row>
    <row r="529" spans="10:11">
      <c r="J529" s="62">
        <v>528</v>
      </c>
      <c r="K529" s="62" t="s">
        <v>567</v>
      </c>
    </row>
    <row r="530" spans="10:11">
      <c r="J530" s="62">
        <v>529</v>
      </c>
      <c r="K530" s="62" t="s">
        <v>568</v>
      </c>
    </row>
    <row r="531" spans="10:11">
      <c r="J531" s="62">
        <v>530</v>
      </c>
      <c r="K531" s="62" t="s">
        <v>569</v>
      </c>
    </row>
    <row r="532" spans="10:11">
      <c r="J532" s="62">
        <v>531</v>
      </c>
      <c r="K532" s="62" t="s">
        <v>570</v>
      </c>
    </row>
    <row r="533" spans="10:11">
      <c r="J533" s="62">
        <v>532</v>
      </c>
      <c r="K533" s="62" t="s">
        <v>571</v>
      </c>
    </row>
    <row r="534" spans="10:11">
      <c r="J534" s="62">
        <v>533</v>
      </c>
      <c r="K534" s="62" t="s">
        <v>572</v>
      </c>
    </row>
    <row r="535" spans="10:11">
      <c r="J535" s="62">
        <v>534</v>
      </c>
      <c r="K535" s="62" t="s">
        <v>573</v>
      </c>
    </row>
    <row r="536" spans="10:11">
      <c r="J536" s="62">
        <v>535</v>
      </c>
      <c r="K536" s="62" t="s">
        <v>574</v>
      </c>
    </row>
    <row r="537" spans="10:11">
      <c r="J537" s="62">
        <v>536</v>
      </c>
      <c r="K537" s="62" t="s">
        <v>575</v>
      </c>
    </row>
    <row r="538" spans="10:11">
      <c r="J538" s="62">
        <v>537</v>
      </c>
      <c r="K538" s="62" t="s">
        <v>576</v>
      </c>
    </row>
    <row r="539" spans="10:11">
      <c r="J539" s="62">
        <v>538</v>
      </c>
      <c r="K539" s="62" t="s">
        <v>577</v>
      </c>
    </row>
    <row r="540" spans="10:11">
      <c r="J540" s="62">
        <v>539</v>
      </c>
      <c r="K540" s="62" t="s">
        <v>578</v>
      </c>
    </row>
    <row r="541" spans="10:11">
      <c r="J541" s="62">
        <v>540</v>
      </c>
      <c r="K541" s="62" t="s">
        <v>579</v>
      </c>
    </row>
    <row r="542" spans="10:11">
      <c r="J542" s="62">
        <v>541</v>
      </c>
      <c r="K542" s="62" t="s">
        <v>580</v>
      </c>
    </row>
    <row r="543" spans="10:11">
      <c r="J543" s="62">
        <v>542</v>
      </c>
      <c r="K543" s="62" t="s">
        <v>581</v>
      </c>
    </row>
    <row r="544" spans="10:11">
      <c r="J544" s="62">
        <v>543</v>
      </c>
      <c r="K544" s="62" t="s">
        <v>582</v>
      </c>
    </row>
    <row r="545" spans="10:11">
      <c r="J545" s="62">
        <v>544</v>
      </c>
      <c r="K545" s="62" t="s">
        <v>583</v>
      </c>
    </row>
    <row r="546" spans="10:11">
      <c r="J546" s="62">
        <v>545</v>
      </c>
      <c r="K546" s="62" t="s">
        <v>584</v>
      </c>
    </row>
    <row r="547" spans="10:11">
      <c r="J547" s="62">
        <v>546</v>
      </c>
      <c r="K547" s="62" t="s">
        <v>585</v>
      </c>
    </row>
    <row r="548" spans="10:11">
      <c r="J548" s="62">
        <v>547</v>
      </c>
      <c r="K548" s="62" t="s">
        <v>586</v>
      </c>
    </row>
    <row r="549" spans="10:11">
      <c r="J549" s="62">
        <v>548</v>
      </c>
      <c r="K549" s="62" t="s">
        <v>587</v>
      </c>
    </row>
    <row r="550" spans="10:11">
      <c r="J550" s="62">
        <v>549</v>
      </c>
      <c r="K550" s="62" t="s">
        <v>588</v>
      </c>
    </row>
    <row r="551" spans="10:11">
      <c r="J551" s="62">
        <v>550</v>
      </c>
      <c r="K551" s="62" t="s">
        <v>589</v>
      </c>
    </row>
    <row r="552" spans="10:11">
      <c r="J552" s="62">
        <v>551</v>
      </c>
      <c r="K552" s="62" t="s">
        <v>590</v>
      </c>
    </row>
    <row r="553" spans="10:11">
      <c r="J553" s="62">
        <v>552</v>
      </c>
      <c r="K553" s="62" t="s">
        <v>591</v>
      </c>
    </row>
    <row r="554" spans="10:11">
      <c r="J554" s="62">
        <v>553</v>
      </c>
      <c r="K554" s="62" t="s">
        <v>592</v>
      </c>
    </row>
    <row r="555" spans="10:11">
      <c r="J555" s="62">
        <v>554</v>
      </c>
      <c r="K555" s="62" t="s">
        <v>593</v>
      </c>
    </row>
    <row r="556" spans="10:11">
      <c r="J556" s="62">
        <v>555</v>
      </c>
      <c r="K556" s="62" t="s">
        <v>594</v>
      </c>
    </row>
    <row r="557" spans="10:11">
      <c r="J557" s="62">
        <v>556</v>
      </c>
      <c r="K557" s="62" t="s">
        <v>595</v>
      </c>
    </row>
    <row r="558" spans="10:11">
      <c r="J558" s="62">
        <v>557</v>
      </c>
      <c r="K558" s="62" t="s">
        <v>596</v>
      </c>
    </row>
    <row r="559" spans="10:11">
      <c r="J559" s="62">
        <v>558</v>
      </c>
      <c r="K559" s="62" t="s">
        <v>597</v>
      </c>
    </row>
    <row r="560" spans="10:11">
      <c r="J560" s="62">
        <v>559</v>
      </c>
      <c r="K560" s="62" t="s">
        <v>598</v>
      </c>
    </row>
    <row r="561" spans="10:11">
      <c r="J561" s="62">
        <v>560</v>
      </c>
      <c r="K561" s="62" t="s">
        <v>599</v>
      </c>
    </row>
    <row r="562" spans="10:11">
      <c r="J562" s="62">
        <v>561</v>
      </c>
      <c r="K562" s="62" t="s">
        <v>600</v>
      </c>
    </row>
    <row r="563" spans="10:11">
      <c r="J563" s="62">
        <v>562</v>
      </c>
      <c r="K563" s="62" t="s">
        <v>601</v>
      </c>
    </row>
  </sheetData>
  <sheetProtection sheet="1" objects="1" scenarios="1"/>
  <phoneticPr fontId="3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Upload</vt:lpstr>
      <vt:lpstr>Example</vt:lpstr>
      <vt:lpstr>MIX-0</vt:lpstr>
      <vt:lpstr>公式转换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J1-7731</dc:creator>
  <cp:lastModifiedBy>J1-7731</cp:lastModifiedBy>
  <cp:lastPrinted>2024-02-22T02:24:19Z</cp:lastPrinted>
  <dcterms:created xsi:type="dcterms:W3CDTF">1996-12-17T01:32:42Z</dcterms:created>
  <dcterms:modified xsi:type="dcterms:W3CDTF">2024-10-22T09:12:36Z</dcterms:modified>
</cp:coreProperties>
</file>