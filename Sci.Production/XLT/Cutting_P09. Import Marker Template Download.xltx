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2017\Production_Formal\Sci.Production\XLT\"/>
    </mc:Choice>
  </mc:AlternateContent>
  <bookViews>
    <workbookView xWindow="0" yWindow="0" windowWidth="28800" windowHeight="3825"/>
  </bookViews>
  <sheets>
    <sheet name="Upload" sheetId="56" r:id="rId1"/>
    <sheet name="Example" sheetId="55" r:id="rId2"/>
    <sheet name="公式转换" sheetId="43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O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U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Q13" i="56"/>
  <c r="AP13" i="56"/>
  <c r="AO13" i="56"/>
  <c r="AL13" i="56"/>
  <c r="AK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W12" i="56"/>
  <c r="AV12" i="56"/>
  <c r="AU12" i="56"/>
  <c r="AT12" i="56"/>
  <c r="AS12" i="56"/>
  <c r="AR12" i="56"/>
  <c r="AQ12" i="56"/>
  <c r="AP12" i="56"/>
  <c r="AO12" i="56"/>
  <c r="AN12" i="56"/>
  <c r="AK12" i="56"/>
  <c r="AJ12" i="56"/>
  <c r="AI12" i="56"/>
  <c r="AH12" i="56"/>
  <c r="AF12" i="56"/>
  <c r="AC12" i="56"/>
  <c r="BF11" i="56"/>
  <c r="BE11" i="56"/>
  <c r="BD11" i="56"/>
  <c r="BC11" i="56"/>
  <c r="BB11" i="56"/>
  <c r="BA11" i="56"/>
  <c r="AZ11" i="56"/>
  <c r="AY11" i="56"/>
  <c r="AX11" i="56"/>
  <c r="AW11" i="56"/>
  <c r="AV11" i="56"/>
  <c r="AU11" i="56"/>
  <c r="AT11" i="56"/>
  <c r="AS11" i="56"/>
  <c r="AR11" i="56"/>
  <c r="AQ11" i="56"/>
  <c r="AP11" i="56"/>
  <c r="AO11" i="56"/>
  <c r="AN11" i="56"/>
  <c r="AJ11" i="56"/>
  <c r="AI11" i="56"/>
  <c r="AH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V10" i="56"/>
  <c r="AU10" i="56"/>
  <c r="AT10" i="56"/>
  <c r="AS10" i="56"/>
  <c r="AR10" i="56"/>
  <c r="AQ10" i="56"/>
  <c r="AP10" i="56"/>
  <c r="AO10" i="56"/>
  <c r="AN10" i="56"/>
  <c r="AK10" i="56"/>
  <c r="AJ10" i="56"/>
  <c r="AH10" i="56"/>
  <c r="AF10" i="56"/>
  <c r="AC10" i="56"/>
  <c r="AA7" i="56"/>
  <c r="Z7" i="56"/>
  <c r="Y7" i="56"/>
  <c r="X7" i="56"/>
  <c r="W7" i="56"/>
  <c r="V7" i="56"/>
  <c r="U7" i="56"/>
  <c r="T7" i="56"/>
  <c r="S7" i="56"/>
  <c r="R7" i="56"/>
  <c r="Q7" i="56"/>
  <c r="P7" i="56"/>
  <c r="O7" i="56"/>
  <c r="AT17" i="56" s="1"/>
  <c r="N7" i="56"/>
  <c r="M7" i="56"/>
  <c r="L7" i="56"/>
  <c r="K7" i="56"/>
  <c r="J7" i="56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I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L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H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L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L10" i="55"/>
  <c r="AJ10" i="55"/>
  <c r="AH10" i="55"/>
  <c r="AF10" i="55"/>
  <c r="AF25" i="55" s="1"/>
  <c r="AC10" i="55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E5" i="55"/>
  <c r="AE6" i="55" s="1"/>
  <c r="AC6" i="55" s="1"/>
  <c r="AA3" i="56"/>
  <c r="H3" i="56"/>
  <c r="W3" i="56"/>
  <c r="F3" i="55"/>
  <c r="J3" i="56"/>
  <c r="K3" i="56"/>
  <c r="X3" i="55"/>
  <c r="U3" i="56"/>
  <c r="M3" i="56"/>
  <c r="O3" i="56"/>
  <c r="G3" i="56"/>
  <c r="R3" i="55"/>
  <c r="Z3" i="55"/>
  <c r="V3" i="55"/>
  <c r="N3" i="55"/>
  <c r="E3" i="56"/>
  <c r="Y3" i="56"/>
  <c r="D3" i="55"/>
  <c r="P3" i="55"/>
  <c r="N3" i="56"/>
  <c r="J3" i="55"/>
  <c r="L3" i="55"/>
  <c r="U3" i="55"/>
  <c r="AA3" i="55"/>
  <c r="I3" i="56"/>
  <c r="D3" i="56"/>
  <c r="W3" i="55"/>
  <c r="Z3" i="56"/>
  <c r="X3" i="56"/>
  <c r="T3" i="55"/>
  <c r="S3" i="55"/>
  <c r="K3" i="55"/>
  <c r="C3" i="55"/>
  <c r="Q3" i="56"/>
  <c r="V3" i="56"/>
  <c r="I3" i="55"/>
  <c r="H3" i="55"/>
  <c r="L3" i="56"/>
  <c r="T3" i="56"/>
  <c r="G3" i="55"/>
  <c r="Y3" i="55"/>
  <c r="P3" i="56"/>
  <c r="C3" i="56"/>
  <c r="M3" i="55"/>
  <c r="F3" i="56"/>
  <c r="Q3" i="55"/>
  <c r="E3" i="55"/>
  <c r="R3" i="56"/>
  <c r="S3" i="56"/>
  <c r="O3" i="55"/>
  <c r="AI15" i="56" l="1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0" i="56"/>
  <c r="B11" i="56" s="1"/>
  <c r="B12" i="56" s="1"/>
  <c r="B13" i="56" s="1"/>
  <c r="B14" i="56" s="1"/>
  <c r="AM10" i="56"/>
  <c r="AM12" i="56"/>
  <c r="AN14" i="56"/>
  <c r="AM11" i="56"/>
  <c r="AK10" i="55"/>
  <c r="AK12" i="55"/>
  <c r="AB7" i="55"/>
  <c r="B10" i="55"/>
  <c r="B11" i="55" s="1"/>
  <c r="B12" i="55" s="1"/>
  <c r="B13" i="55" s="1"/>
  <c r="B14" i="55" s="1"/>
  <c r="AM10" i="55"/>
  <c r="AM12" i="55"/>
  <c r="AN14" i="55"/>
  <c r="AM11" i="55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<sst xmlns="http://schemas.openxmlformats.org/spreadsheetml/2006/main" count="642" uniqueCount="601">
  <si>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</si>
  <si>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</si>
  <si>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</si>
  <si>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</si>
  <si>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</si>
  <si>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</si>
  <si>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</si>
  <si>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</si>
  <si>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</si>
  <si>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</si>
  <si>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</si>
  <si>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</si>
  <si>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</si>
  <si>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</si>
  <si>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</si>
  <si>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</si>
  <si>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</si>
  <si>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</si>
  <si>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</si>
  <si>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</si>
  <si>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</si>
  <si>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</si>
  <si>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</si>
  <si>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</si>
  <si>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</si>
  <si>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</si>
  <si>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</si>
  <si>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</si>
  <si>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</si>
  <si>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</si>
  <si>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</si>
  <si>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</si>
  <si>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</si>
  <si>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</si>
  <si>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</si>
  <si>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</si>
  <si>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</si>
  <si>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</si>
  <si>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</si>
  <si>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</si>
  <si>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</si>
  <si>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</si>
  <si>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</si>
  <si>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</si>
  <si>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</si>
  <si>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</si>
  <si>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</si>
  <si>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</si>
  <si>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</si>
  <si>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</si>
  <si>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</si>
  <si>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</si>
  <si>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</si>
  <si>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</si>
  <si>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</si>
  <si>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</si>
  <si>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</si>
  <si>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</si>
  <si>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</si>
  <si>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</si>
  <si>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</si>
  <si>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</si>
  <si>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</si>
  <si>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</si>
  <si>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</si>
  <si>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</si>
  <si>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</si>
  <si>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</si>
  <si>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</si>
  <si>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</si>
  <si>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</si>
  <si>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</si>
  <si>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</si>
  <si>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</si>
  <si>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</si>
  <si>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</si>
  <si>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</si>
  <si>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</si>
  <si>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</si>
  <si>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</si>
  <si>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</si>
  <si>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</si>
  <si>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</si>
  <si>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</si>
  <si>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</si>
  <si>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</si>
  <si>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</si>
  <si>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</si>
  <si>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</si>
  <si>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</si>
  <si>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</si>
  <si>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</si>
  <si>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</si>
  <si>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</si>
  <si>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</si>
  <si>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</si>
  <si>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</si>
  <si>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</si>
  <si>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</si>
  <si>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</si>
  <si>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</si>
  <si>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</si>
  <si>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</si>
  <si>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</si>
  <si>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</si>
  <si>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</si>
  <si>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</si>
  <si>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</si>
  <si>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</si>
  <si>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</si>
  <si>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</si>
  <si>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</si>
  <si>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</si>
  <si>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</si>
  <si>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</si>
  <si>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</si>
  <si>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</si>
  <si>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</si>
  <si>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</si>
  <si>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</si>
  <si>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</si>
  <si>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</si>
  <si>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</si>
  <si>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</si>
  <si>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</si>
  <si>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</si>
  <si>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</si>
  <si>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</si>
  <si>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</si>
  <si>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</si>
  <si>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</si>
  <si>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</si>
  <si>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</si>
  <si>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</si>
  <si>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</si>
  <si>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</si>
  <si>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</si>
  <si>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</si>
  <si>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</si>
  <si>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</si>
  <si>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</si>
  <si>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</si>
  <si>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</si>
  <si>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</si>
  <si>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</si>
  <si>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</si>
  <si>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</si>
  <si>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</si>
  <si>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</si>
  <si>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</si>
  <si>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</si>
  <si>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</si>
  <si>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</si>
  <si>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</si>
  <si>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</si>
  <si>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</si>
  <si>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</si>
  <si>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</si>
  <si>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</si>
  <si>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</si>
  <si>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</si>
  <si>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</si>
  <si>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</si>
  <si>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</si>
  <si>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</si>
  <si>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</si>
  <si>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</si>
  <si>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</si>
  <si>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</si>
  <si>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</si>
  <si>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</si>
  <si>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</si>
  <si>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</si>
  <si>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</si>
  <si>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</si>
  <si>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</si>
  <si>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</si>
  <si>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</si>
  <si>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</si>
  <si>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</si>
  <si>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</si>
  <si>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</si>
  <si>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</si>
  <si>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</si>
  <si>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</si>
  <si>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</si>
  <si>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</si>
  <si>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</si>
  <si>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</si>
  <si>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</si>
  <si>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</si>
  <si>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</si>
  <si>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</si>
  <si>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</si>
  <si>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</si>
  <si>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</si>
  <si>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</si>
  <si>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</si>
  <si>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</si>
  <si>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</si>
  <si>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</si>
  <si>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</si>
  <si>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</si>
  <si>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</si>
  <si>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</si>
  <si>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</si>
  <si>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</si>
  <si>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</si>
  <si>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</si>
  <si>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</si>
  <si>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</si>
  <si>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</si>
  <si>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</si>
  <si>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</si>
  <si>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</si>
  <si>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</si>
  <si>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</si>
  <si>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</si>
  <si>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</si>
  <si>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</si>
  <si>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</si>
  <si>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</si>
  <si>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</si>
  <si>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</si>
  <si>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</si>
  <si>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</si>
  <si>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</si>
  <si>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</si>
  <si>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</si>
  <si>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</si>
  <si>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</si>
  <si>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</si>
  <si>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</si>
  <si>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</si>
  <si>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</si>
  <si>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</si>
  <si>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</si>
  <si>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</si>
  <si>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</si>
  <si>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</si>
  <si>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</si>
  <si>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</si>
  <si>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</si>
  <si>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</si>
  <si>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</si>
  <si>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</si>
  <si>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</si>
  <si>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</si>
  <si>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</si>
  <si>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</si>
  <si>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</si>
  <si>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</si>
  <si>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</si>
  <si>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</si>
  <si>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</si>
  <si>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</si>
  <si>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</si>
  <si>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</si>
  <si>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</si>
  <si>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</si>
  <si>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</si>
  <si>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</si>
  <si>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</si>
  <si>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</si>
  <si>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</si>
  <si>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</si>
  <si>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</si>
  <si>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</si>
  <si>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</si>
  <si>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</si>
  <si>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</si>
  <si>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</si>
  <si>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</si>
  <si>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</si>
  <si>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</si>
  <si>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</si>
  <si>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</si>
  <si>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</si>
  <si>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</si>
  <si>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</si>
  <si>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</si>
  <si>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</si>
  <si>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</si>
  <si>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</si>
  <si>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</si>
  <si>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</si>
  <si>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</si>
  <si>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</si>
  <si>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</si>
  <si>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</si>
  <si>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</si>
  <si>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</si>
  <si>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</si>
  <si>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</si>
  <si>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</si>
  <si>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</si>
  <si>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</si>
  <si>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</si>
  <si>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</si>
  <si>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</si>
  <si>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</si>
  <si>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</si>
  <si>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</si>
  <si>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</si>
  <si>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</si>
  <si>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</si>
  <si>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</si>
  <si>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</si>
  <si>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</si>
  <si>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</si>
  <si>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</si>
  <si>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</si>
  <si>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</si>
  <si>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</si>
  <si>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</si>
  <si>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</si>
  <si>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</si>
  <si>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</si>
  <si>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</si>
  <si>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</si>
  <si>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</si>
  <si>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</si>
  <si>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</si>
  <si>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</si>
  <si>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</si>
  <si>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</si>
  <si>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</si>
  <si>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</si>
  <si>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</si>
  <si>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</si>
  <si>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</si>
  <si>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</si>
  <si>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</si>
  <si>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</si>
  <si>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</si>
  <si>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</si>
  <si>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</si>
  <si>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</si>
  <si>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</si>
  <si>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</si>
  <si>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</si>
  <si>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</si>
  <si>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</si>
  <si>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</si>
  <si>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</si>
  <si>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</si>
  <si>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</si>
  <si>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</si>
  <si>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</si>
  <si>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</si>
  <si>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</si>
  <si>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</si>
  <si>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</si>
  <si>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</si>
  <si>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</si>
  <si>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</si>
  <si>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</si>
  <si>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</si>
  <si>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</si>
  <si>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</si>
  <si>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</si>
  <si>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</si>
  <si>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</si>
  <si>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</si>
  <si>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</si>
  <si>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</si>
  <si>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</si>
  <si>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</si>
  <si>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</si>
  <si>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</si>
  <si>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</si>
  <si>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</si>
  <si>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</si>
  <si>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</si>
  <si>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</si>
  <si>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</si>
  <si>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</si>
  <si>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</si>
  <si>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</si>
  <si>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</si>
  <si>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</si>
  <si>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</si>
  <si>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</si>
  <si>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</si>
  <si>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</si>
  <si>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</si>
  <si>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</si>
  <si>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</si>
  <si>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</si>
  <si>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</si>
  <si>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</si>
  <si>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</si>
  <si>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</si>
  <si>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</si>
  <si>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</si>
  <si>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</si>
  <si>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</si>
  <si>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</si>
  <si>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</si>
  <si>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</si>
  <si>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</si>
  <si>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</si>
  <si>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</si>
  <si>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</si>
  <si>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</si>
  <si>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</si>
  <si>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</si>
  <si>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</si>
  <si>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</si>
  <si>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</si>
  <si>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</si>
  <si>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</si>
  <si>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</si>
  <si>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</si>
  <si>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</si>
  <si>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</si>
  <si>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</si>
  <si>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</si>
  <si>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</si>
  <si>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</si>
  <si>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</si>
  <si>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</si>
  <si>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</si>
  <si>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</si>
  <si>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</si>
  <si>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</si>
  <si>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</si>
  <si>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</si>
  <si>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</si>
  <si>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</si>
  <si>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</si>
  <si>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</si>
  <si>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</si>
  <si>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</si>
  <si>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</si>
  <si>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</si>
  <si>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</si>
  <si>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</si>
  <si>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</si>
  <si>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</si>
  <si>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</si>
  <si>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</si>
  <si>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</si>
  <si>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</si>
  <si>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</si>
  <si>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</si>
  <si>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</si>
  <si>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</si>
  <si>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</si>
  <si>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</si>
  <si>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</si>
  <si>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</si>
  <si>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</si>
  <si>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</si>
  <si>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</si>
  <si>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</si>
  <si>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</si>
  <si>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</si>
  <si>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</si>
  <si>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</si>
  <si>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</si>
  <si>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</si>
  <si>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</si>
  <si>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</si>
  <si>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</si>
  <si>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</si>
  <si>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</si>
  <si>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</si>
  <si>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</si>
  <si>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</si>
  <si>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</si>
  <si>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</si>
  <si>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</si>
  <si>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</si>
  <si>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</si>
  <si>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</si>
  <si>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</si>
  <si>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</si>
  <si>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</si>
  <si>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</si>
  <si>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</si>
  <si>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</si>
  <si>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</si>
  <si>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</si>
  <si>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</si>
  <si>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</si>
  <si>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</si>
  <si>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</si>
  <si>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</si>
  <si>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</si>
  <si>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</si>
  <si>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</si>
  <si>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</si>
  <si>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</si>
  <si>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</si>
  <si>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</si>
  <si>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</si>
  <si>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</si>
  <si>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</si>
  <si>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</si>
  <si>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</si>
  <si>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</si>
  <si>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</si>
  <si>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</si>
  <si>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</si>
  <si>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</si>
  <si>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</si>
  <si>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</si>
  <si>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</si>
  <si>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</si>
  <si>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</si>
  <si>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</si>
  <si>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</si>
  <si>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</si>
  <si>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</si>
  <si>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</si>
  <si>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</si>
  <si>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</si>
  <si>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</si>
  <si>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</si>
  <si>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</si>
  <si>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</si>
  <si>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</si>
  <si>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</si>
  <si>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</si>
  <si>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</si>
  <si>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</si>
  <si>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</si>
  <si>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</si>
  <si>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</si>
  <si>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</si>
  <si>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</si>
  <si>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</si>
  <si>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</si>
  <si>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</si>
  <si>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</si>
  <si>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</si>
  <si>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</si>
  <si>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</si>
  <si>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</si>
  <si>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</si>
  <si>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</si>
  <si>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</si>
  <si>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</si>
  <si>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</si>
  <si>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</si>
  <si>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</si>
  <si>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</si>
  <si>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</si>
  <si>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</si>
  <si>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</si>
  <si>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</si>
  <si>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</si>
  <si>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</si>
  <si>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</si>
  <si>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</si>
  <si>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</si>
  <si>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</si>
  <si>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</si>
  <si>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</si>
  <si>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</si>
  <si>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</si>
  <si>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</si>
  <si>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</si>
  <si>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</si>
  <si>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</si>
  <si>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</si>
  <si>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</si>
  <si>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</si>
  <si>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</si>
  <si>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</si>
  <si>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</si>
  <si>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</si>
  <si>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</si>
  <si>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</si>
  <si>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</si>
  <si>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</si>
  <si>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</si>
  <si>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</si>
  <si>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15" type="noConversion"/>
  </si>
  <si>
    <t>FA+FB</t>
    <phoneticPr fontId="15" type="noConversion"/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</si>
  <si>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</si>
  <si>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</si>
  <si>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</si>
  <si>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</si>
  <si>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</si>
  <si>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</si>
  <si>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</si>
  <si>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</si>
  <si>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</si>
  <si>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</si>
  <si>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</si>
  <si>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</si>
  <si>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</si>
  <si>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</si>
  <si>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</si>
  <si>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</si>
  <si>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A</t>
    <phoneticPr fontId="15" type="noConversion"/>
  </si>
  <si>
    <t>Black</t>
    <phoneticPr fontId="15" type="noConversion"/>
  </si>
  <si>
    <t>Ttl. Cons.</t>
    <phoneticPr fontId="15" type="noConversion"/>
  </si>
  <si>
    <t>Need Layers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</si>
</sst>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1" formatCode="&quot;MK-&quot;###"/>
    <numFmt numFmtId="182" formatCode="m&quot;月&quot;d&quot;日&quot;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73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0" fontId="13" fillId="0" borderId="4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181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3" fillId="0" borderId="14" xfId="0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7" fillId="0" borderId="1" xfId="0" applyFont="1" applyFill="1" applyBorder="1" applyAlignment="1" applyProtection="1">
      <alignment horizontal="center" vertical="center"/>
    </xf>
    <xf numFmtId="182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3" fillId="0" borderId="14" xfId="0" applyFont="1" applyFill="1" applyBorder="1" applyAlignment="1" applyProtection="1">
      <alignment horizontal="center" vertical="center"/>
      <protection locked="0"/>
    </xf>
    <xf numFmtId="0" fontId="13" fillId="0" borderId="13" xfId="0" applyFont="1" applyFill="1" applyBorder="1" applyAlignment="1" applyProtection="1">
      <alignment horizontal="center" vertical="center"/>
      <protection locked="0"/>
    </xf>
    <xf numFmtId="0" fontId="13" fillId="0" borderId="15" xfId="0" applyFont="1" applyFill="1" applyBorder="1" applyAlignment="1" applyProtection="1">
      <alignment horizontal="center" vertical="center"/>
      <protection locked="0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4" fillId="0" borderId="12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16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zoomScale="85" zoomScaleNormal="85" workbookViewId="0">
      <selection activeCell="AB14" sqref="AB14"/>
    </sheetView>
  </sheetViews>
  <sheetFormatPr defaultColWidth="8.75" defaultRowHeight="14.25"/>
  <cols>
    <col min="1" max="1" width="15" style="43" customWidth="1"/>
    <col min="2" max="2" width="8.75" style="43"/>
    <col min="3" max="17" width="6.75" style="43" customWidth="1"/>
    <col min="18" max="27" width="6.75" style="43" hidden="1" customWidth="1"/>
    <col min="28" max="28" width="9.5" style="43" customWidth="1"/>
    <col min="29" max="29" width="10.25" style="43" customWidth="1"/>
    <col min="30" max="33" width="8.75" style="43"/>
    <col min="34" max="48" width="6.75" style="43" customWidth="1"/>
    <col min="49" max="58" width="6.75" style="43" hidden="1" customWidth="1"/>
    <col min="59" max="16384" width="8.75" style="43"/>
  </cols>
  <sheetData>
    <row r="1" spans="1:59" customFormat="1" ht="20.25">
      <c r="A1" s="44" t="s">
        <v>581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36" t="s">
        <v>1</v>
      </c>
      <c r="AH1" s="45"/>
      <c r="AI1" s="46"/>
      <c r="AJ1" s="46"/>
      <c r="AK1" s="46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40"/>
      <c r="BG1" s="37"/>
    </row>
    <row r="2" spans="1:59" s="42" customFormat="1" ht="15.75" thickBot="1">
      <c r="A2" s="29" t="s">
        <v>6</v>
      </c>
      <c r="B2" s="47"/>
      <c r="C2" s="47"/>
      <c r="D2" s="47"/>
      <c r="E2" s="47"/>
      <c r="F2" s="29" t="s">
        <v>9</v>
      </c>
      <c r="G2" s="47"/>
      <c r="H2" s="47"/>
      <c r="I2" s="47"/>
      <c r="J2" s="47"/>
      <c r="K2" s="48" t="s">
        <v>594</v>
      </c>
      <c r="L2" s="49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2"/>
      <c r="AB2" s="28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9"/>
      <c r="BG2" s="41"/>
    </row>
    <row r="3" spans="1:59" customFormat="1" ht="15">
      <c r="A3" s="18" t="s">
        <v>583</v>
      </c>
      <c r="B3" s="11"/>
      <c r="C3" s="19" t="str">
        <f ca="1">IF(INDIRECT("B" &amp; (COLUMN()-COLUMN($C$3))*23 + 5) = "", "", INDIRECT("B" &amp; (COLUMN()-COLUMN($C$3))*23 + 5))</f>
        <v/>
      </c>
      <c r="D3" s="19" t="str">
        <f t="shared" ref="D3:AA3" ca="1" si="0">IF(INDIRECT("B" &amp; (COLUMN()-COLUMN($C$3))*23 + 5) = "", "", INDIRECT("B" &amp; (COLUMN()-COLUMN($C$3))*23 + 5))</f>
        <v/>
      </c>
      <c r="E3" s="19" t="str">
        <f t="shared" ca="1" si="0"/>
        <v/>
      </c>
      <c r="F3" s="19" t="str">
        <f t="shared" ca="1" si="0"/>
        <v/>
      </c>
      <c r="G3" s="19" t="str">
        <f t="shared" ca="1" si="0"/>
        <v/>
      </c>
      <c r="H3" s="19" t="str">
        <f t="shared" ca="1" si="0"/>
        <v/>
      </c>
      <c r="I3" s="19" t="str">
        <f t="shared" ca="1" si="0"/>
        <v/>
      </c>
      <c r="J3" s="19" t="str">
        <f t="shared" ca="1" si="0"/>
        <v/>
      </c>
      <c r="K3" s="19" t="str">
        <f t="shared" ca="1" si="0"/>
        <v/>
      </c>
      <c r="L3" s="19" t="str">
        <f t="shared" ca="1" si="0"/>
        <v/>
      </c>
      <c r="M3" s="19" t="str">
        <f t="shared" ca="1" si="0"/>
        <v/>
      </c>
      <c r="N3" s="19" t="str">
        <f t="shared" ca="1" si="0"/>
        <v/>
      </c>
      <c r="O3" s="19" t="str">
        <f t="shared" ca="1" si="0"/>
        <v/>
      </c>
      <c r="P3" s="19" t="str">
        <f t="shared" ca="1" si="0"/>
        <v/>
      </c>
      <c r="Q3" s="19" t="str">
        <f t="shared" ca="1" si="0"/>
        <v/>
      </c>
      <c r="R3" s="19" t="str">
        <f t="shared" ca="1" si="0"/>
        <v/>
      </c>
      <c r="S3" s="19" t="str">
        <f t="shared" ca="1" si="0"/>
        <v/>
      </c>
      <c r="T3" s="19" t="str">
        <f t="shared" ca="1" si="0"/>
        <v/>
      </c>
      <c r="U3" s="19" t="str">
        <f t="shared" ca="1" si="0"/>
        <v/>
      </c>
      <c r="V3" s="19" t="str">
        <f t="shared" ca="1" si="0"/>
        <v/>
      </c>
      <c r="W3" s="19" t="str">
        <f t="shared" ca="1" si="0"/>
        <v/>
      </c>
      <c r="X3" s="19" t="str">
        <f t="shared" ca="1" si="0"/>
        <v/>
      </c>
      <c r="Y3" s="19" t="str">
        <f t="shared" ca="1" si="0"/>
        <v/>
      </c>
      <c r="Z3" s="19" t="str">
        <f t="shared" ca="1" si="0"/>
        <v/>
      </c>
      <c r="AA3" s="19" t="str">
        <f t="shared" ca="1" si="0"/>
        <v/>
      </c>
      <c r="AB3" s="53"/>
      <c r="AC3" s="53"/>
      <c r="AD3" s="53"/>
      <c r="AE3" s="53"/>
      <c r="AF3" s="53"/>
      <c r="AG3" s="53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5"/>
      <c r="AV3" s="9"/>
      <c r="AW3" s="9"/>
      <c r="AX3" s="9"/>
      <c r="AY3" s="9"/>
      <c r="AZ3" s="9"/>
      <c r="BA3" s="9"/>
      <c r="BB3" s="9"/>
      <c r="BC3" s="9"/>
      <c r="BD3" s="9"/>
      <c r="BE3" s="9"/>
      <c r="BF3" s="40"/>
      <c r="BG3" s="37"/>
    </row>
    <row r="4" spans="1:59" customFormat="1" ht="15">
      <c r="A4" s="31" t="s">
        <v>594</v>
      </c>
      <c r="B4" s="12"/>
      <c r="C4" s="56" t="s">
        <v>582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7" t="s">
        <v>595</v>
      </c>
      <c r="AC4" s="56" t="s">
        <v>584</v>
      </c>
      <c r="AD4" s="56"/>
      <c r="AE4" s="58"/>
      <c r="AF4" s="46"/>
      <c r="AG4" s="59"/>
      <c r="AH4" s="62" t="s">
        <v>582</v>
      </c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4"/>
      <c r="BG4" s="37"/>
    </row>
    <row r="5" spans="1:59" customFormat="1" ht="15">
      <c r="A5" s="35" t="s">
        <v>7</v>
      </c>
      <c r="B5" s="12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57"/>
      <c r="AC5" s="56" t="s">
        <v>585</v>
      </c>
      <c r="AD5" s="56"/>
      <c r="AE5" s="65">
        <f>SUM(AF10:AF24)</f>
        <v>0</v>
      </c>
      <c r="AF5" s="65"/>
      <c r="AG5" s="60"/>
      <c r="AH5" s="34" t="str">
        <f t="shared" ref="AH5:AQ5" si="1">IF(C5="", "", C5)</f>
        <v/>
      </c>
      <c r="AI5" s="34" t="str">
        <f t="shared" si="1"/>
        <v/>
      </c>
      <c r="AJ5" s="34" t="str">
        <f t="shared" si="1"/>
        <v/>
      </c>
      <c r="AK5" s="34" t="str">
        <f t="shared" si="1"/>
        <v/>
      </c>
      <c r="AL5" s="34" t="str">
        <f t="shared" si="1"/>
        <v/>
      </c>
      <c r="AM5" s="34" t="str">
        <f t="shared" si="1"/>
        <v/>
      </c>
      <c r="AN5" s="34" t="str">
        <f t="shared" si="1"/>
        <v/>
      </c>
      <c r="AO5" s="34" t="str">
        <f t="shared" si="1"/>
        <v/>
      </c>
      <c r="AP5" s="34" t="str">
        <f t="shared" si="1"/>
        <v/>
      </c>
      <c r="AQ5" s="34" t="str">
        <f t="shared" si="1"/>
        <v/>
      </c>
      <c r="AR5" s="34" t="str">
        <f t="shared" ref="AR5:AU5" si="2">IF(M5="", "", M5)</f>
        <v/>
      </c>
      <c r="AS5" s="34" t="str">
        <f t="shared" si="2"/>
        <v/>
      </c>
      <c r="AT5" s="34" t="str">
        <f t="shared" si="2"/>
        <v/>
      </c>
      <c r="AU5" s="34" t="str">
        <f t="shared" si="2"/>
        <v/>
      </c>
      <c r="AV5" s="34" t="str">
        <f>IF(Q5="", "", Q5)</f>
        <v/>
      </c>
      <c r="AW5" s="34" t="str">
        <f t="shared" ref="AW5:BF5" si="3">IF(R5="", "", R5)</f>
        <v/>
      </c>
      <c r="AX5" s="34" t="str">
        <f t="shared" si="3"/>
        <v/>
      </c>
      <c r="AY5" s="34" t="str">
        <f t="shared" si="3"/>
        <v/>
      </c>
      <c r="AZ5" s="34" t="str">
        <f t="shared" si="3"/>
        <v/>
      </c>
      <c r="BA5" s="34" t="str">
        <f t="shared" si="3"/>
        <v/>
      </c>
      <c r="BB5" s="34" t="str">
        <f t="shared" si="3"/>
        <v/>
      </c>
      <c r="BC5" s="34" t="str">
        <f t="shared" si="3"/>
        <v/>
      </c>
      <c r="BD5" s="34" t="str">
        <f t="shared" si="3"/>
        <v/>
      </c>
      <c r="BE5" s="34" t="str">
        <f t="shared" si="3"/>
        <v/>
      </c>
      <c r="BF5" s="34" t="str">
        <f t="shared" si="3"/>
        <v/>
      </c>
      <c r="BG5" s="37"/>
    </row>
    <row r="6" spans="1:59" customFormat="1" ht="15">
      <c r="A6" s="67" t="s">
        <v>586</v>
      </c>
      <c r="B6" s="67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20">
        <f>SUM(C6:AA6)</f>
        <v>0</v>
      </c>
      <c r="AC6" s="71" t="str">
        <f>IF(AE6&lt;5,"NO ",IF(AE6=5,"OK",IF(AE6&gt;5,"OK")))</f>
        <v xml:space="preserve">NO </v>
      </c>
      <c r="AD6" s="71"/>
      <c r="AE6" s="65">
        <f>AE4-AE5-AE7</f>
        <v>0</v>
      </c>
      <c r="AF6" s="65"/>
      <c r="AG6" s="60"/>
      <c r="AH6" s="66" t="s">
        <v>600</v>
      </c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37"/>
    </row>
    <row r="7" spans="1:59" customFormat="1" ht="15">
      <c r="A7" s="67" t="s">
        <v>593</v>
      </c>
      <c r="B7" s="67"/>
      <c r="C7" s="32" t="str">
        <f t="shared" ref="C7:AA7" si="4">IF(C5="","",C6-C10*$AB10-C11*$AB11-C12*$AB12-C13*$AB13-C14*$AB14-C15*$AB15-C16*$AB16-C17*$AB17-C18*$AB18-C19*$AB19-C20*$AB20-C21*$AB21-C22*$AB22-C23*$AB23-C24*$AB24)</f>
        <v/>
      </c>
      <c r="D7" s="32" t="str">
        <f t="shared" si="4"/>
        <v/>
      </c>
      <c r="E7" s="32" t="str">
        <f t="shared" si="4"/>
        <v/>
      </c>
      <c r="F7" s="32" t="str">
        <f t="shared" si="4"/>
        <v/>
      </c>
      <c r="G7" s="32" t="str">
        <f t="shared" si="4"/>
        <v/>
      </c>
      <c r="H7" s="32" t="str">
        <f t="shared" si="4"/>
        <v/>
      </c>
      <c r="I7" s="32" t="str">
        <f t="shared" si="4"/>
        <v/>
      </c>
      <c r="J7" s="32" t="str">
        <f t="shared" si="4"/>
        <v/>
      </c>
      <c r="K7" s="32" t="str">
        <f t="shared" si="4"/>
        <v/>
      </c>
      <c r="L7" s="32" t="str">
        <f t="shared" si="4"/>
        <v/>
      </c>
      <c r="M7" s="32" t="str">
        <f t="shared" si="4"/>
        <v/>
      </c>
      <c r="N7" s="32" t="str">
        <f t="shared" si="4"/>
        <v/>
      </c>
      <c r="O7" s="32" t="str">
        <f t="shared" si="4"/>
        <v/>
      </c>
      <c r="P7" s="32" t="str">
        <f t="shared" si="4"/>
        <v/>
      </c>
      <c r="Q7" s="32" t="str">
        <f t="shared" si="4"/>
        <v/>
      </c>
      <c r="R7" s="32" t="str">
        <f t="shared" si="4"/>
        <v/>
      </c>
      <c r="S7" s="32" t="str">
        <f t="shared" si="4"/>
        <v/>
      </c>
      <c r="T7" s="32" t="str">
        <f t="shared" si="4"/>
        <v/>
      </c>
      <c r="U7" s="32" t="str">
        <f t="shared" si="4"/>
        <v/>
      </c>
      <c r="V7" s="32" t="str">
        <f t="shared" si="4"/>
        <v/>
      </c>
      <c r="W7" s="32" t="str">
        <f t="shared" si="4"/>
        <v/>
      </c>
      <c r="X7" s="32" t="str">
        <f t="shared" si="4"/>
        <v/>
      </c>
      <c r="Y7" s="32" t="str">
        <f t="shared" si="4"/>
        <v/>
      </c>
      <c r="Z7" s="32" t="str">
        <f t="shared" si="4"/>
        <v/>
      </c>
      <c r="AA7" s="32" t="str">
        <f t="shared" si="4"/>
        <v/>
      </c>
      <c r="AB7" s="32">
        <f>SUM(C7:AA7)</f>
        <v>0</v>
      </c>
      <c r="AC7" s="56" t="s">
        <v>592</v>
      </c>
      <c r="AD7" s="56"/>
      <c r="AE7" s="46"/>
      <c r="AF7" s="46"/>
      <c r="AG7" s="60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37"/>
    </row>
    <row r="8" spans="1:59" customFormat="1" ht="15">
      <c r="A8" s="68" t="s">
        <v>596</v>
      </c>
      <c r="B8" s="56" t="s">
        <v>10</v>
      </c>
      <c r="C8" s="56" t="s">
        <v>0</v>
      </c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 t="s">
        <v>8</v>
      </c>
      <c r="AC8" s="68" t="s">
        <v>586</v>
      </c>
      <c r="AD8" s="68" t="s">
        <v>587</v>
      </c>
      <c r="AE8" s="68"/>
      <c r="AF8" s="69" t="s">
        <v>588</v>
      </c>
      <c r="AG8" s="60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37"/>
    </row>
    <row r="9" spans="1:59" customFormat="1" ht="1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68"/>
      <c r="AD9" s="30" t="s">
        <v>589</v>
      </c>
      <c r="AE9" s="30" t="s">
        <v>590</v>
      </c>
      <c r="AF9" s="69"/>
      <c r="AG9" s="60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37"/>
    </row>
    <row r="10" spans="1:59" customFormat="1">
      <c r="A10" s="13"/>
      <c r="B10" s="21" t="str">
        <f>IF(AC10="","",IF(AC10&gt;0,1,0))</f>
        <v/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22" t="str">
        <f t="shared" ref="AC10:AC24" si="5">IF(AB10="","",SUM(C10:AA10)*AB10)</f>
        <v/>
      </c>
      <c r="AD10" s="33"/>
      <c r="AE10" s="33"/>
      <c r="AF10" s="20" t="str">
        <f>IF(AB10="","",(AD10+(AE10/36))*AB10)</f>
        <v/>
      </c>
      <c r="AG10" s="60"/>
      <c r="AH10" s="23" t="str">
        <f t="shared" ref="AH10:AH24" si="6">IF(C10=0,"",ROUNDUP(C$7/C10,0))</f>
        <v/>
      </c>
      <c r="AI10" s="23" t="str">
        <f t="shared" ref="AI10:AI24" si="7">IF(D10=0,"",ROUNDUP(D$7/D10,0))</f>
        <v/>
      </c>
      <c r="AJ10" s="23" t="str">
        <f t="shared" ref="AJ10:AJ24" si="8">IF(E10=0,"",ROUNDUP(E$7/E10,0))</f>
        <v/>
      </c>
      <c r="AK10" s="23" t="str">
        <f t="shared" ref="AK10:AK24" si="9">IF(F10=0,"",ROUNDUP(F$7/F10,0))</f>
        <v/>
      </c>
      <c r="AL10" s="23" t="str">
        <f t="shared" ref="AL10:AL24" si="10">IF(G10=0,"",ROUNDUP(G$7/G10,0))</f>
        <v/>
      </c>
      <c r="AM10" s="23" t="str">
        <f t="shared" ref="AM10:AM24" si="11">IF(H10=0,"",ROUNDUP(H$7/H10,0))</f>
        <v/>
      </c>
      <c r="AN10" s="23" t="str">
        <f t="shared" ref="AN10:AN24" si="12">IF(I10=0,"",ROUNDUP(I$7/I10,0))</f>
        <v/>
      </c>
      <c r="AO10" s="23" t="str">
        <f t="shared" ref="AO10:AO24" si="13">IF(J10=0,"",ROUNDUP(J$7/J10,0))</f>
        <v/>
      </c>
      <c r="AP10" s="23" t="str">
        <f t="shared" ref="AP10:AP24" si="14">IF(K10=0,"",ROUNDUP(K$7/K10,0))</f>
        <v/>
      </c>
      <c r="AQ10" s="23" t="str">
        <f t="shared" ref="AQ10:AQ24" si="15">IF(L10=0,"",ROUNDUP(L$7/L10,0))</f>
        <v/>
      </c>
      <c r="AR10" s="23" t="str">
        <f t="shared" ref="AR10:AW10" si="16">IF(M10=0,"",ROUNDUP(M$7/M10,0))</f>
        <v/>
      </c>
      <c r="AS10" s="23" t="str">
        <f t="shared" si="16"/>
        <v/>
      </c>
      <c r="AT10" s="23" t="str">
        <f t="shared" si="16"/>
        <v/>
      </c>
      <c r="AU10" s="23" t="str">
        <f t="shared" si="16"/>
        <v/>
      </c>
      <c r="AV10" s="23" t="str">
        <f t="shared" si="16"/>
        <v/>
      </c>
      <c r="AW10" s="23" t="str">
        <f t="shared" si="16"/>
        <v/>
      </c>
      <c r="AX10" s="23" t="str">
        <f t="shared" ref="AR10:BF24" si="17">IF(S10=0,"",ROUNDUP(S$7/S10,0))</f>
        <v/>
      </c>
      <c r="AY10" s="23" t="str">
        <f t="shared" si="17"/>
        <v/>
      </c>
      <c r="AZ10" s="23" t="str">
        <f t="shared" si="17"/>
        <v/>
      </c>
      <c r="BA10" s="23" t="str">
        <f t="shared" si="17"/>
        <v/>
      </c>
      <c r="BB10" s="23" t="str">
        <f t="shared" si="17"/>
        <v/>
      </c>
      <c r="BC10" s="23" t="str">
        <f t="shared" si="17"/>
        <v/>
      </c>
      <c r="BD10" s="23" t="str">
        <f t="shared" si="17"/>
        <v/>
      </c>
      <c r="BE10" s="23" t="str">
        <f t="shared" si="17"/>
        <v/>
      </c>
      <c r="BF10" s="23" t="str">
        <f t="shared" si="17"/>
        <v/>
      </c>
      <c r="BG10" s="37"/>
    </row>
    <row r="11" spans="1:59" customFormat="1">
      <c r="A11" s="13"/>
      <c r="B11" s="21" t="str">
        <f t="shared" ref="B11:B24" si="18">IF(AC11="","",IF(AC11=0,"",IF(B10="","",B10+1)))</f>
        <v/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22" t="str">
        <f t="shared" si="5"/>
        <v/>
      </c>
      <c r="AD11" s="33"/>
      <c r="AE11" s="33"/>
      <c r="AF11" s="20" t="str">
        <f>IF(AB11="","",(AD11+(AE11/36))*AB11)</f>
        <v/>
      </c>
      <c r="AG11" s="60"/>
      <c r="AH11" s="23" t="str">
        <f t="shared" si="6"/>
        <v/>
      </c>
      <c r="AI11" s="23" t="str">
        <f t="shared" si="7"/>
        <v/>
      </c>
      <c r="AJ11" s="23" t="str">
        <f t="shared" si="8"/>
        <v/>
      </c>
      <c r="AK11" s="23" t="str">
        <f t="shared" si="9"/>
        <v/>
      </c>
      <c r="AL11" s="23" t="str">
        <f t="shared" si="10"/>
        <v/>
      </c>
      <c r="AM11" s="23" t="str">
        <f t="shared" si="11"/>
        <v/>
      </c>
      <c r="AN11" s="23" t="str">
        <f t="shared" si="12"/>
        <v/>
      </c>
      <c r="AO11" s="23" t="str">
        <f t="shared" si="13"/>
        <v/>
      </c>
      <c r="AP11" s="23" t="str">
        <f t="shared" si="14"/>
        <v/>
      </c>
      <c r="AQ11" s="23" t="str">
        <f t="shared" si="15"/>
        <v/>
      </c>
      <c r="AR11" s="23" t="str">
        <f t="shared" si="17"/>
        <v/>
      </c>
      <c r="AS11" s="23" t="str">
        <f t="shared" si="17"/>
        <v/>
      </c>
      <c r="AT11" s="23" t="str">
        <f t="shared" si="17"/>
        <v/>
      </c>
      <c r="AU11" s="23" t="str">
        <f t="shared" si="17"/>
        <v/>
      </c>
      <c r="AV11" s="23" t="str">
        <f t="shared" si="17"/>
        <v/>
      </c>
      <c r="AW11" s="23" t="str">
        <f t="shared" si="17"/>
        <v/>
      </c>
      <c r="AX11" s="23" t="str">
        <f t="shared" si="17"/>
        <v/>
      </c>
      <c r="AY11" s="23" t="str">
        <f t="shared" si="17"/>
        <v/>
      </c>
      <c r="AZ11" s="23" t="str">
        <f t="shared" si="17"/>
        <v/>
      </c>
      <c r="BA11" s="23" t="str">
        <f t="shared" si="17"/>
        <v/>
      </c>
      <c r="BB11" s="23" t="str">
        <f t="shared" si="17"/>
        <v/>
      </c>
      <c r="BC11" s="23" t="str">
        <f t="shared" si="17"/>
        <v/>
      </c>
      <c r="BD11" s="23" t="str">
        <f t="shared" si="17"/>
        <v/>
      </c>
      <c r="BE11" s="23" t="str">
        <f t="shared" si="17"/>
        <v/>
      </c>
      <c r="BF11" s="23" t="str">
        <f t="shared" si="17"/>
        <v/>
      </c>
      <c r="BG11" s="37"/>
    </row>
    <row r="12" spans="1:59" customFormat="1">
      <c r="A12" s="13"/>
      <c r="B12" s="21" t="str">
        <f t="shared" si="18"/>
        <v/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22" t="str">
        <f t="shared" si="5"/>
        <v/>
      </c>
      <c r="AD12" s="33"/>
      <c r="AE12" s="33"/>
      <c r="AF12" s="20" t="str">
        <f>IF(AB12="","",(AD12+(AE12/36))*AB12)</f>
        <v/>
      </c>
      <c r="AG12" s="60"/>
      <c r="AH12" s="23" t="str">
        <f t="shared" si="6"/>
        <v/>
      </c>
      <c r="AI12" s="23" t="str">
        <f t="shared" si="7"/>
        <v/>
      </c>
      <c r="AJ12" s="23" t="str">
        <f t="shared" si="8"/>
        <v/>
      </c>
      <c r="AK12" s="23" t="str">
        <f t="shared" si="9"/>
        <v/>
      </c>
      <c r="AL12" s="23" t="str">
        <f t="shared" si="10"/>
        <v/>
      </c>
      <c r="AM12" s="23" t="str">
        <f t="shared" si="11"/>
        <v/>
      </c>
      <c r="AN12" s="23" t="str">
        <f t="shared" si="12"/>
        <v/>
      </c>
      <c r="AO12" s="23" t="str">
        <f t="shared" si="13"/>
        <v/>
      </c>
      <c r="AP12" s="23" t="str">
        <f t="shared" si="14"/>
        <v/>
      </c>
      <c r="AQ12" s="23" t="str">
        <f t="shared" si="15"/>
        <v/>
      </c>
      <c r="AR12" s="23" t="str">
        <f t="shared" si="17"/>
        <v/>
      </c>
      <c r="AS12" s="23" t="str">
        <f t="shared" si="17"/>
        <v/>
      </c>
      <c r="AT12" s="23" t="str">
        <f t="shared" si="17"/>
        <v/>
      </c>
      <c r="AU12" s="23" t="str">
        <f t="shared" si="17"/>
        <v/>
      </c>
      <c r="AV12" s="23" t="str">
        <f t="shared" si="17"/>
        <v/>
      </c>
      <c r="AW12" s="23" t="str">
        <f t="shared" si="17"/>
        <v/>
      </c>
      <c r="AX12" s="23" t="str">
        <f t="shared" si="17"/>
        <v/>
      </c>
      <c r="AY12" s="23" t="str">
        <f t="shared" si="17"/>
        <v/>
      </c>
      <c r="AZ12" s="23" t="str">
        <f t="shared" si="17"/>
        <v/>
      </c>
      <c r="BA12" s="23" t="str">
        <f t="shared" si="17"/>
        <v/>
      </c>
      <c r="BB12" s="23" t="str">
        <f t="shared" si="17"/>
        <v/>
      </c>
      <c r="BC12" s="23" t="str">
        <f t="shared" si="17"/>
        <v/>
      </c>
      <c r="BD12" s="23" t="str">
        <f t="shared" si="17"/>
        <v/>
      </c>
      <c r="BE12" s="23" t="str">
        <f t="shared" si="17"/>
        <v/>
      </c>
      <c r="BF12" s="23" t="str">
        <f t="shared" si="17"/>
        <v/>
      </c>
      <c r="BG12" s="37"/>
    </row>
    <row r="13" spans="1:59" customFormat="1">
      <c r="A13" s="13"/>
      <c r="B13" s="21" t="str">
        <f t="shared" si="18"/>
        <v/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22" t="str">
        <f t="shared" si="5"/>
        <v/>
      </c>
      <c r="AD13" s="33"/>
      <c r="AE13" s="33"/>
      <c r="AF13" s="20" t="str">
        <f>IF(AB13="","",(AD13+(AE13/36))*AB13)</f>
        <v/>
      </c>
      <c r="AG13" s="60"/>
      <c r="AH13" s="23" t="str">
        <f t="shared" si="6"/>
        <v/>
      </c>
      <c r="AI13" s="23" t="str">
        <f t="shared" si="7"/>
        <v/>
      </c>
      <c r="AJ13" s="23" t="str">
        <f t="shared" si="8"/>
        <v/>
      </c>
      <c r="AK13" s="23" t="str">
        <f t="shared" si="9"/>
        <v/>
      </c>
      <c r="AL13" s="23" t="str">
        <f t="shared" si="10"/>
        <v/>
      </c>
      <c r="AM13" s="23" t="str">
        <f t="shared" si="11"/>
        <v/>
      </c>
      <c r="AN13" s="23" t="str">
        <f t="shared" si="12"/>
        <v/>
      </c>
      <c r="AO13" s="23" t="str">
        <f t="shared" si="13"/>
        <v/>
      </c>
      <c r="AP13" s="23" t="str">
        <f t="shared" si="14"/>
        <v/>
      </c>
      <c r="AQ13" s="23" t="str">
        <f t="shared" si="15"/>
        <v/>
      </c>
      <c r="AR13" s="23" t="str">
        <f t="shared" si="17"/>
        <v/>
      </c>
      <c r="AS13" s="23" t="str">
        <f t="shared" si="17"/>
        <v/>
      </c>
      <c r="AT13" s="23" t="str">
        <f t="shared" si="17"/>
        <v/>
      </c>
      <c r="AU13" s="23" t="str">
        <f t="shared" si="17"/>
        <v/>
      </c>
      <c r="AV13" s="23" t="str">
        <f t="shared" si="17"/>
        <v/>
      </c>
      <c r="AW13" s="23" t="str">
        <f t="shared" si="17"/>
        <v/>
      </c>
      <c r="AX13" s="23" t="str">
        <f t="shared" si="17"/>
        <v/>
      </c>
      <c r="AY13" s="23" t="str">
        <f t="shared" si="17"/>
        <v/>
      </c>
      <c r="AZ13" s="23" t="str">
        <f t="shared" si="17"/>
        <v/>
      </c>
      <c r="BA13" s="23" t="str">
        <f t="shared" si="17"/>
        <v/>
      </c>
      <c r="BB13" s="23" t="str">
        <f t="shared" si="17"/>
        <v/>
      </c>
      <c r="BC13" s="23" t="str">
        <f t="shared" si="17"/>
        <v/>
      </c>
      <c r="BD13" s="23" t="str">
        <f t="shared" si="17"/>
        <v/>
      </c>
      <c r="BE13" s="23" t="str">
        <f t="shared" si="17"/>
        <v/>
      </c>
      <c r="BF13" s="23" t="str">
        <f t="shared" si="17"/>
        <v/>
      </c>
      <c r="BG13" s="37"/>
    </row>
    <row r="14" spans="1:59" customFormat="1">
      <c r="A14" s="13"/>
      <c r="B14" s="21" t="str">
        <f t="shared" si="18"/>
        <v/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22" t="str">
        <f t="shared" si="5"/>
        <v/>
      </c>
      <c r="AD14" s="33"/>
      <c r="AE14" s="33"/>
      <c r="AF14" s="20" t="str">
        <f>IF(AB14="","",(AD14+(AE14/36))*AB14)</f>
        <v/>
      </c>
      <c r="AG14" s="60"/>
      <c r="AH14" s="23" t="str">
        <f t="shared" si="6"/>
        <v/>
      </c>
      <c r="AI14" s="23" t="str">
        <f t="shared" si="7"/>
        <v/>
      </c>
      <c r="AJ14" s="23" t="str">
        <f t="shared" si="8"/>
        <v/>
      </c>
      <c r="AK14" s="23" t="str">
        <f t="shared" si="9"/>
        <v/>
      </c>
      <c r="AL14" s="23" t="str">
        <f t="shared" si="10"/>
        <v/>
      </c>
      <c r="AM14" s="23" t="str">
        <f t="shared" si="11"/>
        <v/>
      </c>
      <c r="AN14" s="23" t="str">
        <f t="shared" si="12"/>
        <v/>
      </c>
      <c r="AO14" s="23" t="str">
        <f t="shared" si="13"/>
        <v/>
      </c>
      <c r="AP14" s="23" t="str">
        <f t="shared" si="14"/>
        <v/>
      </c>
      <c r="AQ14" s="23" t="str">
        <f t="shared" si="15"/>
        <v/>
      </c>
      <c r="AR14" s="23" t="str">
        <f t="shared" si="17"/>
        <v/>
      </c>
      <c r="AS14" s="23" t="str">
        <f t="shared" si="17"/>
        <v/>
      </c>
      <c r="AT14" s="23" t="str">
        <f t="shared" si="17"/>
        <v/>
      </c>
      <c r="AU14" s="23" t="str">
        <f t="shared" si="17"/>
        <v/>
      </c>
      <c r="AV14" s="23" t="str">
        <f t="shared" si="17"/>
        <v/>
      </c>
      <c r="AW14" s="23" t="str">
        <f t="shared" si="17"/>
        <v/>
      </c>
      <c r="AX14" s="23" t="str">
        <f t="shared" si="17"/>
        <v/>
      </c>
      <c r="AY14" s="23" t="str">
        <f t="shared" si="17"/>
        <v/>
      </c>
      <c r="AZ14" s="23" t="str">
        <f t="shared" si="17"/>
        <v/>
      </c>
      <c r="BA14" s="23" t="str">
        <f t="shared" si="17"/>
        <v/>
      </c>
      <c r="BB14" s="23" t="str">
        <f t="shared" si="17"/>
        <v/>
      </c>
      <c r="BC14" s="23" t="str">
        <f t="shared" si="17"/>
        <v/>
      </c>
      <c r="BD14" s="23" t="str">
        <f t="shared" si="17"/>
        <v/>
      </c>
      <c r="BE14" s="23" t="str">
        <f t="shared" si="17"/>
        <v/>
      </c>
      <c r="BF14" s="23" t="str">
        <f t="shared" si="17"/>
        <v/>
      </c>
      <c r="BG14" s="37"/>
    </row>
    <row r="15" spans="1:59" customFormat="1">
      <c r="A15" s="13"/>
      <c r="B15" s="21" t="str">
        <f t="shared" si="18"/>
        <v/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22" t="str">
        <f t="shared" si="5"/>
        <v/>
      </c>
      <c r="AD15" s="13"/>
      <c r="AE15" s="13"/>
      <c r="AF15" s="20" t="str">
        <f t="shared" ref="AF15:AF24" si="19">IF(AB15="","",(AD15+(AE15/36))*AB15)</f>
        <v/>
      </c>
      <c r="AG15" s="60"/>
      <c r="AH15" s="23" t="str">
        <f t="shared" si="6"/>
        <v/>
      </c>
      <c r="AI15" s="23" t="str">
        <f t="shared" si="7"/>
        <v/>
      </c>
      <c r="AJ15" s="23" t="str">
        <f t="shared" si="8"/>
        <v/>
      </c>
      <c r="AK15" s="23" t="str">
        <f t="shared" si="9"/>
        <v/>
      </c>
      <c r="AL15" s="23" t="str">
        <f t="shared" si="10"/>
        <v/>
      </c>
      <c r="AM15" s="23" t="str">
        <f t="shared" si="11"/>
        <v/>
      </c>
      <c r="AN15" s="23" t="str">
        <f t="shared" si="12"/>
        <v/>
      </c>
      <c r="AO15" s="23" t="str">
        <f t="shared" si="13"/>
        <v/>
      </c>
      <c r="AP15" s="23" t="str">
        <f t="shared" si="14"/>
        <v/>
      </c>
      <c r="AQ15" s="23" t="str">
        <f t="shared" si="15"/>
        <v/>
      </c>
      <c r="AR15" s="23" t="str">
        <f t="shared" si="17"/>
        <v/>
      </c>
      <c r="AS15" s="23" t="str">
        <f t="shared" si="17"/>
        <v/>
      </c>
      <c r="AT15" s="23" t="str">
        <f t="shared" si="17"/>
        <v/>
      </c>
      <c r="AU15" s="23" t="str">
        <f t="shared" si="17"/>
        <v/>
      </c>
      <c r="AV15" s="23" t="str">
        <f t="shared" si="17"/>
        <v/>
      </c>
      <c r="AW15" s="23" t="str">
        <f t="shared" si="17"/>
        <v/>
      </c>
      <c r="AX15" s="23" t="str">
        <f t="shared" si="17"/>
        <v/>
      </c>
      <c r="AY15" s="23" t="str">
        <f t="shared" si="17"/>
        <v/>
      </c>
      <c r="AZ15" s="23" t="str">
        <f t="shared" si="17"/>
        <v/>
      </c>
      <c r="BA15" s="23" t="str">
        <f t="shared" si="17"/>
        <v/>
      </c>
      <c r="BB15" s="23" t="str">
        <f t="shared" si="17"/>
        <v/>
      </c>
      <c r="BC15" s="23" t="str">
        <f t="shared" si="17"/>
        <v/>
      </c>
      <c r="BD15" s="23" t="str">
        <f t="shared" si="17"/>
        <v/>
      </c>
      <c r="BE15" s="23" t="str">
        <f t="shared" si="17"/>
        <v/>
      </c>
      <c r="BF15" s="23" t="str">
        <f t="shared" si="17"/>
        <v/>
      </c>
      <c r="BG15" s="37"/>
    </row>
    <row r="16" spans="1:59" customFormat="1">
      <c r="A16" s="13"/>
      <c r="B16" s="21" t="str">
        <f t="shared" si="18"/>
        <v/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22" t="str">
        <f t="shared" si="5"/>
        <v/>
      </c>
      <c r="AD16" s="13"/>
      <c r="AE16" s="13"/>
      <c r="AF16" s="20" t="str">
        <f t="shared" si="19"/>
        <v/>
      </c>
      <c r="AG16" s="60"/>
      <c r="AH16" s="23" t="str">
        <f t="shared" si="6"/>
        <v/>
      </c>
      <c r="AI16" s="23" t="str">
        <f t="shared" si="7"/>
        <v/>
      </c>
      <c r="AJ16" s="23" t="str">
        <f t="shared" si="8"/>
        <v/>
      </c>
      <c r="AK16" s="23" t="str">
        <f t="shared" si="9"/>
        <v/>
      </c>
      <c r="AL16" s="23" t="str">
        <f t="shared" si="10"/>
        <v/>
      </c>
      <c r="AM16" s="23" t="str">
        <f t="shared" si="11"/>
        <v/>
      </c>
      <c r="AN16" s="23" t="str">
        <f t="shared" si="12"/>
        <v/>
      </c>
      <c r="AO16" s="23" t="str">
        <f t="shared" si="13"/>
        <v/>
      </c>
      <c r="AP16" s="23" t="str">
        <f t="shared" si="14"/>
        <v/>
      </c>
      <c r="AQ16" s="23" t="str">
        <f t="shared" si="15"/>
        <v/>
      </c>
      <c r="AR16" s="23" t="str">
        <f t="shared" si="17"/>
        <v/>
      </c>
      <c r="AS16" s="23" t="str">
        <f t="shared" si="17"/>
        <v/>
      </c>
      <c r="AT16" s="23" t="str">
        <f t="shared" si="17"/>
        <v/>
      </c>
      <c r="AU16" s="23" t="str">
        <f t="shared" si="17"/>
        <v/>
      </c>
      <c r="AV16" s="23" t="str">
        <f t="shared" si="17"/>
        <v/>
      </c>
      <c r="AW16" s="23" t="str">
        <f t="shared" si="17"/>
        <v/>
      </c>
      <c r="AX16" s="23" t="str">
        <f t="shared" si="17"/>
        <v/>
      </c>
      <c r="AY16" s="23" t="str">
        <f t="shared" si="17"/>
        <v/>
      </c>
      <c r="AZ16" s="23" t="str">
        <f t="shared" si="17"/>
        <v/>
      </c>
      <c r="BA16" s="23" t="str">
        <f t="shared" si="17"/>
        <v/>
      </c>
      <c r="BB16" s="23" t="str">
        <f t="shared" si="17"/>
        <v/>
      </c>
      <c r="BC16" s="23" t="str">
        <f t="shared" si="17"/>
        <v/>
      </c>
      <c r="BD16" s="23" t="str">
        <f t="shared" si="17"/>
        <v/>
      </c>
      <c r="BE16" s="23" t="str">
        <f t="shared" si="17"/>
        <v/>
      </c>
      <c r="BF16" s="23" t="str">
        <f t="shared" si="17"/>
        <v/>
      </c>
      <c r="BG16" s="37"/>
    </row>
    <row r="17" spans="1:59" customFormat="1">
      <c r="A17" s="13"/>
      <c r="B17" s="21" t="str">
        <f t="shared" si="18"/>
        <v/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22" t="str">
        <f t="shared" si="5"/>
        <v/>
      </c>
      <c r="AD17" s="13"/>
      <c r="AE17" s="13"/>
      <c r="AF17" s="20" t="str">
        <f t="shared" si="19"/>
        <v/>
      </c>
      <c r="AG17" s="60"/>
      <c r="AH17" s="23" t="str">
        <f t="shared" si="6"/>
        <v/>
      </c>
      <c r="AI17" s="23" t="str">
        <f t="shared" si="7"/>
        <v/>
      </c>
      <c r="AJ17" s="23" t="str">
        <f t="shared" si="8"/>
        <v/>
      </c>
      <c r="AK17" s="23" t="str">
        <f t="shared" si="9"/>
        <v/>
      </c>
      <c r="AL17" s="23" t="str">
        <f t="shared" si="10"/>
        <v/>
      </c>
      <c r="AM17" s="23" t="str">
        <f t="shared" si="11"/>
        <v/>
      </c>
      <c r="AN17" s="23" t="str">
        <f t="shared" si="12"/>
        <v/>
      </c>
      <c r="AO17" s="23" t="str">
        <f t="shared" si="13"/>
        <v/>
      </c>
      <c r="AP17" s="23" t="str">
        <f t="shared" si="14"/>
        <v/>
      </c>
      <c r="AQ17" s="23" t="str">
        <f t="shared" si="15"/>
        <v/>
      </c>
      <c r="AR17" s="23" t="str">
        <f t="shared" si="17"/>
        <v/>
      </c>
      <c r="AS17" s="23" t="str">
        <f t="shared" si="17"/>
        <v/>
      </c>
      <c r="AT17" s="23" t="str">
        <f t="shared" si="17"/>
        <v/>
      </c>
      <c r="AU17" s="23" t="str">
        <f t="shared" si="17"/>
        <v/>
      </c>
      <c r="AV17" s="23" t="str">
        <f t="shared" si="17"/>
        <v/>
      </c>
      <c r="AW17" s="23" t="str">
        <f t="shared" si="17"/>
        <v/>
      </c>
      <c r="AX17" s="23" t="str">
        <f t="shared" si="17"/>
        <v/>
      </c>
      <c r="AY17" s="23" t="str">
        <f t="shared" si="17"/>
        <v/>
      </c>
      <c r="AZ17" s="23" t="str">
        <f t="shared" si="17"/>
        <v/>
      </c>
      <c r="BA17" s="23" t="str">
        <f t="shared" si="17"/>
        <v/>
      </c>
      <c r="BB17" s="23" t="str">
        <f t="shared" si="17"/>
        <v/>
      </c>
      <c r="BC17" s="23" t="str">
        <f t="shared" si="17"/>
        <v/>
      </c>
      <c r="BD17" s="23" t="str">
        <f t="shared" si="17"/>
        <v/>
      </c>
      <c r="BE17" s="23" t="str">
        <f t="shared" si="17"/>
        <v/>
      </c>
      <c r="BF17" s="23" t="str">
        <f t="shared" si="17"/>
        <v/>
      </c>
      <c r="BG17" s="37"/>
    </row>
    <row r="18" spans="1:59" customFormat="1">
      <c r="A18" s="13"/>
      <c r="B18" s="21" t="str">
        <f t="shared" si="18"/>
        <v/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22" t="str">
        <f t="shared" si="5"/>
        <v/>
      </c>
      <c r="AD18" s="13"/>
      <c r="AE18" s="13"/>
      <c r="AF18" s="20" t="str">
        <f t="shared" si="19"/>
        <v/>
      </c>
      <c r="AG18" s="60"/>
      <c r="AH18" s="23" t="str">
        <f t="shared" si="6"/>
        <v/>
      </c>
      <c r="AI18" s="23" t="str">
        <f t="shared" si="7"/>
        <v/>
      </c>
      <c r="AJ18" s="23" t="str">
        <f t="shared" si="8"/>
        <v/>
      </c>
      <c r="AK18" s="23" t="str">
        <f t="shared" si="9"/>
        <v/>
      </c>
      <c r="AL18" s="23" t="str">
        <f t="shared" si="10"/>
        <v/>
      </c>
      <c r="AM18" s="23" t="str">
        <f t="shared" si="11"/>
        <v/>
      </c>
      <c r="AN18" s="23" t="str">
        <f t="shared" si="12"/>
        <v/>
      </c>
      <c r="AO18" s="23" t="str">
        <f t="shared" si="13"/>
        <v/>
      </c>
      <c r="AP18" s="23" t="str">
        <f t="shared" si="14"/>
        <v/>
      </c>
      <c r="AQ18" s="23" t="str">
        <f t="shared" si="15"/>
        <v/>
      </c>
      <c r="AR18" s="23" t="str">
        <f t="shared" si="17"/>
        <v/>
      </c>
      <c r="AS18" s="23" t="str">
        <f t="shared" si="17"/>
        <v/>
      </c>
      <c r="AT18" s="23" t="str">
        <f t="shared" si="17"/>
        <v/>
      </c>
      <c r="AU18" s="23" t="str">
        <f t="shared" si="17"/>
        <v/>
      </c>
      <c r="AV18" s="23" t="str">
        <f t="shared" si="17"/>
        <v/>
      </c>
      <c r="AW18" s="23" t="str">
        <f t="shared" si="17"/>
        <v/>
      </c>
      <c r="AX18" s="23" t="str">
        <f t="shared" si="17"/>
        <v/>
      </c>
      <c r="AY18" s="23" t="str">
        <f t="shared" si="17"/>
        <v/>
      </c>
      <c r="AZ18" s="23" t="str">
        <f t="shared" si="17"/>
        <v/>
      </c>
      <c r="BA18" s="23" t="str">
        <f t="shared" si="17"/>
        <v/>
      </c>
      <c r="BB18" s="23" t="str">
        <f t="shared" si="17"/>
        <v/>
      </c>
      <c r="BC18" s="23" t="str">
        <f t="shared" si="17"/>
        <v/>
      </c>
      <c r="BD18" s="23" t="str">
        <f t="shared" si="17"/>
        <v/>
      </c>
      <c r="BE18" s="23" t="str">
        <f t="shared" si="17"/>
        <v/>
      </c>
      <c r="BF18" s="23" t="str">
        <f t="shared" si="17"/>
        <v/>
      </c>
      <c r="BG18" s="37"/>
    </row>
    <row r="19" spans="1:59" customFormat="1">
      <c r="A19" s="13"/>
      <c r="B19" s="21" t="str">
        <f t="shared" si="18"/>
        <v/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22" t="str">
        <f t="shared" si="5"/>
        <v/>
      </c>
      <c r="AD19" s="13"/>
      <c r="AE19" s="13"/>
      <c r="AF19" s="20" t="str">
        <f t="shared" si="19"/>
        <v/>
      </c>
      <c r="AG19" s="60"/>
      <c r="AH19" s="23" t="str">
        <f t="shared" si="6"/>
        <v/>
      </c>
      <c r="AI19" s="23" t="str">
        <f t="shared" si="7"/>
        <v/>
      </c>
      <c r="AJ19" s="23" t="str">
        <f t="shared" si="8"/>
        <v/>
      </c>
      <c r="AK19" s="23" t="str">
        <f t="shared" si="9"/>
        <v/>
      </c>
      <c r="AL19" s="23" t="str">
        <f t="shared" si="10"/>
        <v/>
      </c>
      <c r="AM19" s="23" t="str">
        <f t="shared" si="11"/>
        <v/>
      </c>
      <c r="AN19" s="23" t="str">
        <f t="shared" si="12"/>
        <v/>
      </c>
      <c r="AO19" s="23" t="str">
        <f t="shared" si="13"/>
        <v/>
      </c>
      <c r="AP19" s="23" t="str">
        <f t="shared" si="14"/>
        <v/>
      </c>
      <c r="AQ19" s="23" t="str">
        <f t="shared" si="15"/>
        <v/>
      </c>
      <c r="AR19" s="23" t="str">
        <f t="shared" si="17"/>
        <v/>
      </c>
      <c r="AS19" s="23" t="str">
        <f t="shared" si="17"/>
        <v/>
      </c>
      <c r="AT19" s="23" t="str">
        <f t="shared" si="17"/>
        <v/>
      </c>
      <c r="AU19" s="23" t="str">
        <f t="shared" si="17"/>
        <v/>
      </c>
      <c r="AV19" s="23" t="str">
        <f t="shared" si="17"/>
        <v/>
      </c>
      <c r="AW19" s="23" t="str">
        <f t="shared" si="17"/>
        <v/>
      </c>
      <c r="AX19" s="23" t="str">
        <f t="shared" si="17"/>
        <v/>
      </c>
      <c r="AY19" s="23" t="str">
        <f t="shared" si="17"/>
        <v/>
      </c>
      <c r="AZ19" s="23" t="str">
        <f t="shared" si="17"/>
        <v/>
      </c>
      <c r="BA19" s="23" t="str">
        <f t="shared" si="17"/>
        <v/>
      </c>
      <c r="BB19" s="23" t="str">
        <f t="shared" si="17"/>
        <v/>
      </c>
      <c r="BC19" s="23" t="str">
        <f t="shared" si="17"/>
        <v/>
      </c>
      <c r="BD19" s="23" t="str">
        <f t="shared" si="17"/>
        <v/>
      </c>
      <c r="BE19" s="23" t="str">
        <f t="shared" si="17"/>
        <v/>
      </c>
      <c r="BF19" s="23" t="str">
        <f t="shared" si="17"/>
        <v/>
      </c>
      <c r="BG19" s="37"/>
    </row>
    <row r="20" spans="1:59" customFormat="1">
      <c r="A20" s="13"/>
      <c r="B20" s="21" t="str">
        <f t="shared" si="18"/>
        <v/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27"/>
      <c r="Z20" s="33"/>
      <c r="AA20" s="33"/>
      <c r="AB20" s="33"/>
      <c r="AC20" s="22" t="str">
        <f t="shared" si="5"/>
        <v/>
      </c>
      <c r="AD20" s="13"/>
      <c r="AE20" s="13"/>
      <c r="AF20" s="20" t="str">
        <f t="shared" si="19"/>
        <v/>
      </c>
      <c r="AG20" s="60"/>
      <c r="AH20" s="23" t="str">
        <f t="shared" si="6"/>
        <v/>
      </c>
      <c r="AI20" s="23" t="str">
        <f t="shared" si="7"/>
        <v/>
      </c>
      <c r="AJ20" s="23" t="str">
        <f t="shared" si="8"/>
        <v/>
      </c>
      <c r="AK20" s="23" t="str">
        <f t="shared" si="9"/>
        <v/>
      </c>
      <c r="AL20" s="23" t="str">
        <f t="shared" si="10"/>
        <v/>
      </c>
      <c r="AM20" s="23" t="str">
        <f t="shared" si="11"/>
        <v/>
      </c>
      <c r="AN20" s="23" t="str">
        <f t="shared" si="12"/>
        <v/>
      </c>
      <c r="AO20" s="23" t="str">
        <f t="shared" si="13"/>
        <v/>
      </c>
      <c r="AP20" s="23" t="str">
        <f t="shared" si="14"/>
        <v/>
      </c>
      <c r="AQ20" s="23" t="str">
        <f t="shared" si="15"/>
        <v/>
      </c>
      <c r="AR20" s="23" t="str">
        <f t="shared" si="17"/>
        <v/>
      </c>
      <c r="AS20" s="23" t="str">
        <f t="shared" si="17"/>
        <v/>
      </c>
      <c r="AT20" s="23" t="str">
        <f t="shared" si="17"/>
        <v/>
      </c>
      <c r="AU20" s="23" t="str">
        <f t="shared" si="17"/>
        <v/>
      </c>
      <c r="AV20" s="23" t="str">
        <f t="shared" si="17"/>
        <v/>
      </c>
      <c r="AW20" s="23" t="str">
        <f t="shared" si="17"/>
        <v/>
      </c>
      <c r="AX20" s="23" t="str">
        <f t="shared" si="17"/>
        <v/>
      </c>
      <c r="AY20" s="23" t="str">
        <f t="shared" si="17"/>
        <v/>
      </c>
      <c r="AZ20" s="23" t="str">
        <f t="shared" si="17"/>
        <v/>
      </c>
      <c r="BA20" s="23" t="str">
        <f t="shared" si="17"/>
        <v/>
      </c>
      <c r="BB20" s="23" t="str">
        <f t="shared" si="17"/>
        <v/>
      </c>
      <c r="BC20" s="23" t="str">
        <f t="shared" si="17"/>
        <v/>
      </c>
      <c r="BD20" s="23" t="str">
        <f t="shared" si="17"/>
        <v/>
      </c>
      <c r="BE20" s="23" t="str">
        <f t="shared" si="17"/>
        <v/>
      </c>
      <c r="BF20" s="23" t="str">
        <f t="shared" si="17"/>
        <v/>
      </c>
      <c r="BG20" s="37"/>
    </row>
    <row r="21" spans="1:59" customFormat="1">
      <c r="A21" s="13"/>
      <c r="B21" s="21" t="str">
        <f t="shared" si="18"/>
        <v/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22" t="str">
        <f t="shared" si="5"/>
        <v/>
      </c>
      <c r="AD21" s="13"/>
      <c r="AE21" s="13"/>
      <c r="AF21" s="20" t="str">
        <f t="shared" si="19"/>
        <v/>
      </c>
      <c r="AG21" s="60"/>
      <c r="AH21" s="23" t="str">
        <f t="shared" si="6"/>
        <v/>
      </c>
      <c r="AI21" s="23" t="str">
        <f t="shared" si="7"/>
        <v/>
      </c>
      <c r="AJ21" s="23" t="str">
        <f t="shared" si="8"/>
        <v/>
      </c>
      <c r="AK21" s="23" t="str">
        <f t="shared" si="9"/>
        <v/>
      </c>
      <c r="AL21" s="23" t="str">
        <f t="shared" si="10"/>
        <v/>
      </c>
      <c r="AM21" s="23" t="str">
        <f t="shared" si="11"/>
        <v/>
      </c>
      <c r="AN21" s="23" t="str">
        <f t="shared" si="12"/>
        <v/>
      </c>
      <c r="AO21" s="23" t="str">
        <f t="shared" si="13"/>
        <v/>
      </c>
      <c r="AP21" s="23" t="str">
        <f t="shared" si="14"/>
        <v/>
      </c>
      <c r="AQ21" s="23" t="str">
        <f t="shared" si="15"/>
        <v/>
      </c>
      <c r="AR21" s="23" t="str">
        <f t="shared" si="17"/>
        <v/>
      </c>
      <c r="AS21" s="23" t="str">
        <f t="shared" si="17"/>
        <v/>
      </c>
      <c r="AT21" s="23" t="str">
        <f t="shared" si="17"/>
        <v/>
      </c>
      <c r="AU21" s="23" t="str">
        <f t="shared" si="17"/>
        <v/>
      </c>
      <c r="AV21" s="23" t="str">
        <f t="shared" si="17"/>
        <v/>
      </c>
      <c r="AW21" s="23" t="str">
        <f t="shared" si="17"/>
        <v/>
      </c>
      <c r="AX21" s="23" t="str">
        <f t="shared" si="17"/>
        <v/>
      </c>
      <c r="AY21" s="23" t="str">
        <f t="shared" si="17"/>
        <v/>
      </c>
      <c r="AZ21" s="23" t="str">
        <f t="shared" si="17"/>
        <v/>
      </c>
      <c r="BA21" s="23" t="str">
        <f t="shared" si="17"/>
        <v/>
      </c>
      <c r="BB21" s="23" t="str">
        <f t="shared" si="17"/>
        <v/>
      </c>
      <c r="BC21" s="23" t="str">
        <f t="shared" si="17"/>
        <v/>
      </c>
      <c r="BD21" s="23" t="str">
        <f t="shared" si="17"/>
        <v/>
      </c>
      <c r="BE21" s="23" t="str">
        <f t="shared" si="17"/>
        <v/>
      </c>
      <c r="BF21" s="23" t="str">
        <f t="shared" si="17"/>
        <v/>
      </c>
      <c r="BG21" s="37"/>
    </row>
    <row r="22" spans="1:59" customFormat="1">
      <c r="A22" s="13"/>
      <c r="B22" s="21" t="str">
        <f t="shared" si="18"/>
        <v/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22" t="str">
        <f t="shared" si="5"/>
        <v/>
      </c>
      <c r="AD22" s="13"/>
      <c r="AE22" s="13"/>
      <c r="AF22" s="20" t="str">
        <f t="shared" si="19"/>
        <v/>
      </c>
      <c r="AG22" s="60"/>
      <c r="AH22" s="23" t="str">
        <f t="shared" si="6"/>
        <v/>
      </c>
      <c r="AI22" s="23" t="str">
        <f t="shared" si="7"/>
        <v/>
      </c>
      <c r="AJ22" s="23" t="str">
        <f t="shared" si="8"/>
        <v/>
      </c>
      <c r="AK22" s="23" t="str">
        <f t="shared" si="9"/>
        <v/>
      </c>
      <c r="AL22" s="23" t="str">
        <f t="shared" si="10"/>
        <v/>
      </c>
      <c r="AM22" s="23" t="str">
        <f t="shared" si="11"/>
        <v/>
      </c>
      <c r="AN22" s="23" t="str">
        <f t="shared" si="12"/>
        <v/>
      </c>
      <c r="AO22" s="23" t="str">
        <f t="shared" si="13"/>
        <v/>
      </c>
      <c r="AP22" s="23" t="str">
        <f t="shared" si="14"/>
        <v/>
      </c>
      <c r="AQ22" s="23" t="str">
        <f t="shared" si="15"/>
        <v/>
      </c>
      <c r="AR22" s="23" t="str">
        <f t="shared" si="17"/>
        <v/>
      </c>
      <c r="AS22" s="23" t="str">
        <f t="shared" si="17"/>
        <v/>
      </c>
      <c r="AT22" s="23" t="str">
        <f t="shared" si="17"/>
        <v/>
      </c>
      <c r="AU22" s="23" t="str">
        <f t="shared" si="17"/>
        <v/>
      </c>
      <c r="AV22" s="23" t="str">
        <f t="shared" si="17"/>
        <v/>
      </c>
      <c r="AW22" s="23" t="str">
        <f t="shared" si="17"/>
        <v/>
      </c>
      <c r="AX22" s="23" t="str">
        <f t="shared" si="17"/>
        <v/>
      </c>
      <c r="AY22" s="23" t="str">
        <f t="shared" si="17"/>
        <v/>
      </c>
      <c r="AZ22" s="23" t="str">
        <f t="shared" si="17"/>
        <v/>
      </c>
      <c r="BA22" s="23" t="str">
        <f t="shared" si="17"/>
        <v/>
      </c>
      <c r="BB22" s="23" t="str">
        <f t="shared" si="17"/>
        <v/>
      </c>
      <c r="BC22" s="23" t="str">
        <f t="shared" si="17"/>
        <v/>
      </c>
      <c r="BD22" s="23" t="str">
        <f t="shared" si="17"/>
        <v/>
      </c>
      <c r="BE22" s="23" t="str">
        <f t="shared" si="17"/>
        <v/>
      </c>
      <c r="BF22" s="23" t="str">
        <f t="shared" si="17"/>
        <v/>
      </c>
      <c r="BG22" s="37"/>
    </row>
    <row r="23" spans="1:59" customFormat="1">
      <c r="A23" s="13"/>
      <c r="B23" s="21" t="str">
        <f t="shared" si="18"/>
        <v/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22" t="str">
        <f t="shared" si="5"/>
        <v/>
      </c>
      <c r="AD23" s="13"/>
      <c r="AE23" s="13"/>
      <c r="AF23" s="20" t="str">
        <f t="shared" si="19"/>
        <v/>
      </c>
      <c r="AG23" s="60"/>
      <c r="AH23" s="23" t="str">
        <f t="shared" si="6"/>
        <v/>
      </c>
      <c r="AI23" s="23" t="str">
        <f t="shared" si="7"/>
        <v/>
      </c>
      <c r="AJ23" s="23" t="str">
        <f t="shared" si="8"/>
        <v/>
      </c>
      <c r="AK23" s="23" t="str">
        <f t="shared" si="9"/>
        <v/>
      </c>
      <c r="AL23" s="23" t="str">
        <f t="shared" si="10"/>
        <v/>
      </c>
      <c r="AM23" s="23" t="str">
        <f t="shared" si="11"/>
        <v/>
      </c>
      <c r="AN23" s="23" t="str">
        <f t="shared" si="12"/>
        <v/>
      </c>
      <c r="AO23" s="23" t="str">
        <f t="shared" si="13"/>
        <v/>
      </c>
      <c r="AP23" s="23" t="str">
        <f t="shared" si="14"/>
        <v/>
      </c>
      <c r="AQ23" s="23" t="str">
        <f t="shared" si="15"/>
        <v/>
      </c>
      <c r="AR23" s="23" t="str">
        <f t="shared" si="17"/>
        <v/>
      </c>
      <c r="AS23" s="23" t="str">
        <f t="shared" si="17"/>
        <v/>
      </c>
      <c r="AT23" s="23" t="str">
        <f t="shared" si="17"/>
        <v/>
      </c>
      <c r="AU23" s="23" t="str">
        <f t="shared" si="17"/>
        <v/>
      </c>
      <c r="AV23" s="23" t="str">
        <f t="shared" si="17"/>
        <v/>
      </c>
      <c r="AW23" s="23" t="str">
        <f t="shared" si="17"/>
        <v/>
      </c>
      <c r="AX23" s="23" t="str">
        <f t="shared" si="17"/>
        <v/>
      </c>
      <c r="AY23" s="23" t="str">
        <f t="shared" si="17"/>
        <v/>
      </c>
      <c r="AZ23" s="23" t="str">
        <f t="shared" si="17"/>
        <v/>
      </c>
      <c r="BA23" s="23" t="str">
        <f t="shared" si="17"/>
        <v/>
      </c>
      <c r="BB23" s="23" t="str">
        <f t="shared" si="17"/>
        <v/>
      </c>
      <c r="BC23" s="23" t="str">
        <f t="shared" si="17"/>
        <v/>
      </c>
      <c r="BD23" s="23" t="str">
        <f t="shared" si="17"/>
        <v/>
      </c>
      <c r="BE23" s="23" t="str">
        <f t="shared" si="17"/>
        <v/>
      </c>
      <c r="BF23" s="23" t="str">
        <f t="shared" si="17"/>
        <v/>
      </c>
      <c r="BG23" s="37"/>
    </row>
    <row r="24" spans="1:59" customFormat="1">
      <c r="A24" s="13"/>
      <c r="B24" s="21" t="str">
        <f t="shared" si="18"/>
        <v/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22" t="str">
        <f t="shared" si="5"/>
        <v/>
      </c>
      <c r="AD24" s="13"/>
      <c r="AE24" s="13"/>
      <c r="AF24" s="20" t="str">
        <f t="shared" si="19"/>
        <v/>
      </c>
      <c r="AG24" s="61"/>
      <c r="AH24" s="23" t="str">
        <f t="shared" si="6"/>
        <v/>
      </c>
      <c r="AI24" s="23" t="str">
        <f t="shared" si="7"/>
        <v/>
      </c>
      <c r="AJ24" s="23" t="str">
        <f t="shared" si="8"/>
        <v/>
      </c>
      <c r="AK24" s="23" t="str">
        <f t="shared" si="9"/>
        <v/>
      </c>
      <c r="AL24" s="23" t="str">
        <f t="shared" si="10"/>
        <v/>
      </c>
      <c r="AM24" s="23" t="str">
        <f t="shared" si="11"/>
        <v/>
      </c>
      <c r="AN24" s="23" t="str">
        <f t="shared" si="12"/>
        <v/>
      </c>
      <c r="AO24" s="23" t="str">
        <f t="shared" si="13"/>
        <v/>
      </c>
      <c r="AP24" s="23" t="str">
        <f t="shared" si="14"/>
        <v/>
      </c>
      <c r="AQ24" s="23" t="str">
        <f t="shared" si="15"/>
        <v/>
      </c>
      <c r="AR24" s="23" t="str">
        <f t="shared" si="17"/>
        <v/>
      </c>
      <c r="AS24" s="23" t="str">
        <f t="shared" si="17"/>
        <v/>
      </c>
      <c r="AT24" s="23" t="str">
        <f t="shared" si="17"/>
        <v/>
      </c>
      <c r="AU24" s="23" t="str">
        <f t="shared" si="17"/>
        <v/>
      </c>
      <c r="AV24" s="23" t="str">
        <f t="shared" si="17"/>
        <v/>
      </c>
      <c r="AW24" s="23" t="str">
        <f t="shared" si="17"/>
        <v/>
      </c>
      <c r="AX24" s="23" t="str">
        <f t="shared" si="17"/>
        <v/>
      </c>
      <c r="AY24" s="23" t="str">
        <f t="shared" si="17"/>
        <v/>
      </c>
      <c r="AZ24" s="23" t="str">
        <f t="shared" si="17"/>
        <v/>
      </c>
      <c r="BA24" s="23" t="str">
        <f t="shared" si="17"/>
        <v/>
      </c>
      <c r="BB24" s="23" t="str">
        <f t="shared" si="17"/>
        <v/>
      </c>
      <c r="BC24" s="23" t="str">
        <f t="shared" si="17"/>
        <v/>
      </c>
      <c r="BD24" s="23" t="str">
        <f t="shared" si="17"/>
        <v/>
      </c>
      <c r="BE24" s="23" t="str">
        <f t="shared" si="17"/>
        <v/>
      </c>
      <c r="BF24" s="23" t="str">
        <f t="shared" si="17"/>
        <v/>
      </c>
      <c r="BG24" s="37"/>
    </row>
    <row r="25" spans="1:59" s="42" customFormat="1" ht="15.75" thickBot="1">
      <c r="A25" s="24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0" t="s">
        <v>591</v>
      </c>
      <c r="AB25" s="70"/>
      <c r="AC25" s="25">
        <f>SUM(AC10:AC24)</f>
        <v>0</v>
      </c>
      <c r="AD25" s="70" t="s">
        <v>599</v>
      </c>
      <c r="AE25" s="70"/>
      <c r="AF25" s="25">
        <f>SUM(AF10:AF24)</f>
        <v>0</v>
      </c>
      <c r="AG25" s="2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8"/>
      <c r="BG25" s="41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</protectedRanges>
  <mergeCells count="31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AH6:BF9"/>
    <mergeCell ref="A1:AF1"/>
    <mergeCell ref="AH1:AK1"/>
    <mergeCell ref="B2:E2"/>
    <mergeCell ref="G2:J2"/>
    <mergeCell ref="K2:L2"/>
    <mergeCell ref="M2:AA2"/>
  </mergeCells>
  <phoneticPr fontId="15" type="noConversion"/>
  <conditionalFormatting sqref="AE6:AF6 AC7">
    <cfRule type="cellIs" dxfId="15" priority="5" operator="lessThanOrEqual">
      <formula>0</formula>
    </cfRule>
  </conditionalFormatting>
  <conditionalFormatting sqref="AF10:AF25 AC10:AC25 B10:B24 AB6 AE5:AF5 C7:AB7 C3:AA3 AH10:BF24 AH5:BF5">
    <cfRule type="notContainsBlanks" dxfId="14" priority="6">
      <formula>LEN(TRIM(B3))&gt;0</formula>
    </cfRule>
  </conditionalFormatting>
  <conditionalFormatting sqref="AE6:AF6">
    <cfRule type="cellIs" dxfId="13" priority="3" operator="greaterThanOrEqual">
      <formula>20</formula>
    </cfRule>
    <cfRule type="cellIs" dxfId="12" priority="4" operator="greaterThanOrEqual">
      <formula>1</formula>
    </cfRule>
  </conditionalFormatting>
  <conditionalFormatting sqref="AE7 AH1 A10:A24 AD10:AE24 C5:AA6 C10:AB24 B2:B5 G2 AE4">
    <cfRule type="containsBlanks" dxfId="11" priority="7">
      <formula>LEN(TRIM(A1))=0</formula>
    </cfRule>
    <cfRule type="notContainsBlanks" dxfId="10" priority="8">
      <formula>LEN(TRIM(A1))&gt;0</formula>
    </cfRule>
  </conditionalFormatting>
  <conditionalFormatting sqref="M2">
    <cfRule type="containsBlanks" dxfId="9" priority="1">
      <formula>LEN(TRIM(M2))=0</formula>
    </cfRule>
    <cfRule type="notContainsBlanks" dxfId="8" priority="2">
      <formula>LEN(TRIM(M2))&gt;0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25"/>
  <sheetViews>
    <sheetView showGridLines="0" zoomScale="85" zoomScaleNormal="85" workbookViewId="0">
      <selection activeCell="D17" sqref="D17"/>
    </sheetView>
  </sheetViews>
  <sheetFormatPr defaultRowHeight="14.25"/>
  <cols>
    <col min="1" max="1" width="15" customWidth="1"/>
    <col min="3" max="27" width="6.75" customWidth="1"/>
    <col min="28" max="28" width="9.5" customWidth="1"/>
    <col min="29" max="29" width="10.25" customWidth="1"/>
    <col min="34" max="58" width="6.75" customWidth="1"/>
  </cols>
  <sheetData>
    <row r="1" spans="1:59" ht="20.25">
      <c r="A1" s="44" t="s">
        <v>581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36" t="s">
        <v>1</v>
      </c>
      <c r="AH1" s="45"/>
      <c r="AI1" s="46"/>
      <c r="AJ1" s="46"/>
      <c r="AK1" s="46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40"/>
      <c r="BG1" s="37"/>
    </row>
    <row r="2" spans="1:59" s="42" customFormat="1" ht="15.75" thickBot="1">
      <c r="A2" s="29" t="s">
        <v>6</v>
      </c>
      <c r="B2" s="47" t="s">
        <v>576</v>
      </c>
      <c r="C2" s="47"/>
      <c r="D2" s="47"/>
      <c r="E2" s="47"/>
      <c r="F2" s="29" t="s">
        <v>9</v>
      </c>
      <c r="G2" s="47" t="s">
        <v>577</v>
      </c>
      <c r="H2" s="47"/>
      <c r="I2" s="47"/>
      <c r="J2" s="47"/>
      <c r="K2" s="48" t="s">
        <v>594</v>
      </c>
      <c r="L2" s="49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2"/>
      <c r="AB2" s="28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9"/>
      <c r="BG2" s="41"/>
    </row>
    <row r="3" spans="1:59" ht="15">
      <c r="A3" s="18" t="s">
        <v>583</v>
      </c>
      <c r="B3" s="11">
        <v>1</v>
      </c>
      <c r="C3" s="19" t="str">
        <f ca="1">IF(INDIRECT("B" &amp; (COLUMN()-COLUMN($C$3))*23 + 5) = "", "", INDIRECT("B" &amp; (COLUMN()-COLUMN($C$3))*23 + 5))</f>
        <v>Black</v>
      </c>
      <c r="D3" s="19" t="str">
        <f t="shared" ref="D3:AA3" ca="1" si="0">IF(INDIRECT("B" &amp; (COLUMN()-COLUMN($C$3))*23 + 5) = "", "", INDIRECT("B" &amp; (COLUMN()-COLUMN($C$3))*23 + 5))</f>
        <v/>
      </c>
      <c r="E3" s="19" t="str">
        <f t="shared" ca="1" si="0"/>
        <v/>
      </c>
      <c r="F3" s="19" t="str">
        <f t="shared" ca="1" si="0"/>
        <v/>
      </c>
      <c r="G3" s="19" t="str">
        <f t="shared" ca="1" si="0"/>
        <v/>
      </c>
      <c r="H3" s="19" t="str">
        <f t="shared" ca="1" si="0"/>
        <v/>
      </c>
      <c r="I3" s="19" t="str">
        <f t="shared" ca="1" si="0"/>
        <v/>
      </c>
      <c r="J3" s="19" t="str">
        <f t="shared" ca="1" si="0"/>
        <v/>
      </c>
      <c r="K3" s="19" t="str">
        <f t="shared" ca="1" si="0"/>
        <v/>
      </c>
      <c r="L3" s="19" t="str">
        <f t="shared" ca="1" si="0"/>
        <v/>
      </c>
      <c r="M3" s="19" t="str">
        <f t="shared" ca="1" si="0"/>
        <v/>
      </c>
      <c r="N3" s="19" t="str">
        <f t="shared" ca="1" si="0"/>
        <v/>
      </c>
      <c r="O3" s="19" t="str">
        <f t="shared" ca="1" si="0"/>
        <v/>
      </c>
      <c r="P3" s="19" t="str">
        <f t="shared" ca="1" si="0"/>
        <v/>
      </c>
      <c r="Q3" s="19" t="str">
        <f t="shared" ca="1" si="0"/>
        <v/>
      </c>
      <c r="R3" s="19" t="str">
        <f t="shared" ca="1" si="0"/>
        <v/>
      </c>
      <c r="S3" s="19" t="str">
        <f t="shared" ca="1" si="0"/>
        <v/>
      </c>
      <c r="T3" s="19" t="str">
        <f t="shared" ca="1" si="0"/>
        <v/>
      </c>
      <c r="U3" s="19" t="str">
        <f t="shared" ca="1" si="0"/>
        <v/>
      </c>
      <c r="V3" s="19" t="str">
        <f t="shared" ca="1" si="0"/>
        <v/>
      </c>
      <c r="W3" s="19" t="str">
        <f t="shared" ca="1" si="0"/>
        <v/>
      </c>
      <c r="X3" s="19" t="str">
        <f t="shared" ca="1" si="0"/>
        <v/>
      </c>
      <c r="Y3" s="19" t="str">
        <f t="shared" ca="1" si="0"/>
        <v/>
      </c>
      <c r="Z3" s="19" t="str">
        <f t="shared" ca="1" si="0"/>
        <v/>
      </c>
      <c r="AA3" s="19" t="str">
        <f t="shared" ca="1" si="0"/>
        <v/>
      </c>
      <c r="AB3" s="53"/>
      <c r="AC3" s="53"/>
      <c r="AD3" s="53"/>
      <c r="AE3" s="53"/>
      <c r="AF3" s="53"/>
      <c r="AG3" s="53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5"/>
      <c r="AV3" s="9"/>
      <c r="AW3" s="9"/>
      <c r="AX3" s="9"/>
      <c r="AY3" s="9"/>
      <c r="AZ3" s="9"/>
      <c r="BA3" s="9"/>
      <c r="BB3" s="9"/>
      <c r="BC3" s="9"/>
      <c r="BD3" s="9"/>
      <c r="BE3" s="9"/>
      <c r="BF3" s="40"/>
      <c r="BG3" s="37"/>
    </row>
    <row r="4" spans="1:59" ht="15">
      <c r="A4" s="31" t="s">
        <v>594</v>
      </c>
      <c r="B4" s="12" t="s">
        <v>597</v>
      </c>
      <c r="C4" s="56" t="s">
        <v>582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7" t="s">
        <v>595</v>
      </c>
      <c r="AC4" s="56" t="s">
        <v>584</v>
      </c>
      <c r="AD4" s="56"/>
      <c r="AE4" s="58">
        <v>2024</v>
      </c>
      <c r="AF4" s="46"/>
      <c r="AG4" s="59"/>
      <c r="AH4" s="62" t="s">
        <v>582</v>
      </c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4"/>
      <c r="BG4" s="37"/>
    </row>
    <row r="5" spans="1:59" ht="15">
      <c r="A5" s="35" t="s">
        <v>7</v>
      </c>
      <c r="B5" s="12" t="s">
        <v>598</v>
      </c>
      <c r="C5" s="33">
        <v>42</v>
      </c>
      <c r="D5" s="33">
        <v>46</v>
      </c>
      <c r="E5" s="33">
        <v>50</v>
      </c>
      <c r="F5" s="33">
        <v>54</v>
      </c>
      <c r="G5" s="33">
        <v>58</v>
      </c>
      <c r="H5" s="33">
        <v>62</v>
      </c>
      <c r="I5" s="33">
        <v>66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57"/>
      <c r="AC5" s="56" t="s">
        <v>585</v>
      </c>
      <c r="AD5" s="56"/>
      <c r="AE5" s="65">
        <f>SUM(AF10:AF24)</f>
        <v>1918.8923611111111</v>
      </c>
      <c r="AF5" s="65"/>
      <c r="AG5" s="60"/>
      <c r="AH5" s="34">
        <f>IF(C5="", "", C5)</f>
        <v>42</v>
      </c>
      <c r="AI5" s="34">
        <f t="shared" ref="AI5:AU5" si="1">IF(D5="", "", D5)</f>
        <v>46</v>
      </c>
      <c r="AJ5" s="34">
        <f t="shared" si="1"/>
        <v>50</v>
      </c>
      <c r="AK5" s="34">
        <f t="shared" si="1"/>
        <v>54</v>
      </c>
      <c r="AL5" s="34">
        <f t="shared" si="1"/>
        <v>58</v>
      </c>
      <c r="AM5" s="34">
        <f t="shared" si="1"/>
        <v>62</v>
      </c>
      <c r="AN5" s="34">
        <f t="shared" si="1"/>
        <v>66</v>
      </c>
      <c r="AO5" s="34" t="str">
        <f t="shared" si="1"/>
        <v/>
      </c>
      <c r="AP5" s="34" t="str">
        <f t="shared" si="1"/>
        <v/>
      </c>
      <c r="AQ5" s="34" t="str">
        <f t="shared" si="1"/>
        <v/>
      </c>
      <c r="AR5" s="34" t="str">
        <f t="shared" si="1"/>
        <v/>
      </c>
      <c r="AS5" s="34" t="str">
        <f t="shared" si="1"/>
        <v/>
      </c>
      <c r="AT5" s="34" t="str">
        <f t="shared" si="1"/>
        <v/>
      </c>
      <c r="AU5" s="34" t="str">
        <f t="shared" si="1"/>
        <v/>
      </c>
      <c r="AV5" s="34" t="str">
        <f>IF(Q5="", "", Q5)</f>
        <v/>
      </c>
      <c r="AW5" s="34" t="str">
        <f t="shared" ref="AW5:BF5" si="2">IF(R5="", "", R5)</f>
        <v/>
      </c>
      <c r="AX5" s="34" t="str">
        <f t="shared" si="2"/>
        <v/>
      </c>
      <c r="AY5" s="34" t="str">
        <f t="shared" si="2"/>
        <v/>
      </c>
      <c r="AZ5" s="34" t="str">
        <f t="shared" si="2"/>
        <v/>
      </c>
      <c r="BA5" s="34" t="str">
        <f t="shared" si="2"/>
        <v/>
      </c>
      <c r="BB5" s="34" t="str">
        <f t="shared" si="2"/>
        <v/>
      </c>
      <c r="BC5" s="34" t="str">
        <f t="shared" si="2"/>
        <v/>
      </c>
      <c r="BD5" s="34" t="str">
        <f t="shared" si="2"/>
        <v/>
      </c>
      <c r="BE5" s="34" t="str">
        <f t="shared" si="2"/>
        <v/>
      </c>
      <c r="BF5" s="34" t="str">
        <f t="shared" si="2"/>
        <v/>
      </c>
      <c r="BG5" s="37"/>
    </row>
    <row r="6" spans="1:59" ht="15">
      <c r="A6" s="67" t="s">
        <v>586</v>
      </c>
      <c r="B6" s="67"/>
      <c r="C6" s="33">
        <v>10</v>
      </c>
      <c r="D6" s="33">
        <v>350</v>
      </c>
      <c r="E6" s="33">
        <v>114</v>
      </c>
      <c r="F6" s="33">
        <v>594</v>
      </c>
      <c r="G6" s="33">
        <v>324</v>
      </c>
      <c r="H6" s="33">
        <v>328</v>
      </c>
      <c r="I6" s="33">
        <v>10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20">
        <f>SUM(C6:AA6)</f>
        <v>1730</v>
      </c>
      <c r="AC6" s="71" t="str">
        <f>IF(AE6&lt;5,"NO ",IF(AE6=5,"OK",IF(AE6&gt;5,"OK")))</f>
        <v>OK</v>
      </c>
      <c r="AD6" s="71"/>
      <c r="AE6" s="65">
        <f>AE4-AE5-AE7</f>
        <v>105.10763888888891</v>
      </c>
      <c r="AF6" s="65"/>
      <c r="AG6" s="60"/>
      <c r="AH6" s="66" t="s">
        <v>600</v>
      </c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37"/>
    </row>
    <row r="7" spans="1:59" ht="15">
      <c r="A7" s="67" t="s">
        <v>593</v>
      </c>
      <c r="B7" s="67"/>
      <c r="C7" s="32">
        <f t="shared" ref="C7:AA7" si="3">IF(C5="","",C6-C10*$AB10-C11*$AB11-C12*$AB12-C13*$AB13-C14*$AB14-C15*$AB15-C16*$AB16-C17*$AB17-C18*$AB18-C19*$AB19-C20*$AB20-C21*$AB21-C22*$AB22-C23*$AB23-C24*$AB24)</f>
        <v>0</v>
      </c>
      <c r="D7" s="32">
        <f t="shared" si="3"/>
        <v>0</v>
      </c>
      <c r="E7" s="32">
        <f t="shared" si="3"/>
        <v>0</v>
      </c>
      <c r="F7" s="32">
        <f t="shared" si="3"/>
        <v>0</v>
      </c>
      <c r="G7" s="32">
        <f t="shared" si="3"/>
        <v>0</v>
      </c>
      <c r="H7" s="32">
        <f t="shared" si="3"/>
        <v>0</v>
      </c>
      <c r="I7" s="32">
        <f t="shared" si="3"/>
        <v>0</v>
      </c>
      <c r="J7" s="32" t="str">
        <f t="shared" si="3"/>
        <v/>
      </c>
      <c r="K7" s="32" t="str">
        <f t="shared" si="3"/>
        <v/>
      </c>
      <c r="L7" s="32" t="str">
        <f t="shared" si="3"/>
        <v/>
      </c>
      <c r="M7" s="32" t="str">
        <f t="shared" si="3"/>
        <v/>
      </c>
      <c r="N7" s="32" t="str">
        <f t="shared" si="3"/>
        <v/>
      </c>
      <c r="O7" s="32" t="str">
        <f t="shared" si="3"/>
        <v/>
      </c>
      <c r="P7" s="32" t="str">
        <f t="shared" si="3"/>
        <v/>
      </c>
      <c r="Q7" s="32" t="str">
        <f t="shared" si="3"/>
        <v/>
      </c>
      <c r="R7" s="32" t="str">
        <f t="shared" si="3"/>
        <v/>
      </c>
      <c r="S7" s="32" t="str">
        <f t="shared" si="3"/>
        <v/>
      </c>
      <c r="T7" s="32" t="str">
        <f t="shared" si="3"/>
        <v/>
      </c>
      <c r="U7" s="32" t="str">
        <f t="shared" si="3"/>
        <v/>
      </c>
      <c r="V7" s="32" t="str">
        <f t="shared" si="3"/>
        <v/>
      </c>
      <c r="W7" s="32" t="str">
        <f t="shared" si="3"/>
        <v/>
      </c>
      <c r="X7" s="32" t="str">
        <f t="shared" si="3"/>
        <v/>
      </c>
      <c r="Y7" s="32" t="str">
        <f t="shared" si="3"/>
        <v/>
      </c>
      <c r="Z7" s="32" t="str">
        <f t="shared" si="3"/>
        <v/>
      </c>
      <c r="AA7" s="32" t="str">
        <f t="shared" si="3"/>
        <v/>
      </c>
      <c r="AB7" s="32">
        <f>SUM(C7:AA7)</f>
        <v>0</v>
      </c>
      <c r="AC7" s="56" t="s">
        <v>592</v>
      </c>
      <c r="AD7" s="56"/>
      <c r="AE7" s="72"/>
      <c r="AF7" s="72"/>
      <c r="AG7" s="60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37"/>
    </row>
    <row r="8" spans="1:59" ht="15">
      <c r="A8" s="68" t="s">
        <v>596</v>
      </c>
      <c r="B8" s="56" t="s">
        <v>10</v>
      </c>
      <c r="C8" s="56" t="s">
        <v>0</v>
      </c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 t="s">
        <v>8</v>
      </c>
      <c r="AC8" s="68" t="s">
        <v>586</v>
      </c>
      <c r="AD8" s="68" t="s">
        <v>587</v>
      </c>
      <c r="AE8" s="68"/>
      <c r="AF8" s="69" t="s">
        <v>588</v>
      </c>
      <c r="AG8" s="60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37"/>
    </row>
    <row r="9" spans="1:59" ht="1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68"/>
      <c r="AD9" s="30" t="s">
        <v>589</v>
      </c>
      <c r="AE9" s="30" t="s">
        <v>590</v>
      </c>
      <c r="AF9" s="69"/>
      <c r="AG9" s="60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37"/>
    </row>
    <row r="10" spans="1:59">
      <c r="A10" s="13" t="s">
        <v>578</v>
      </c>
      <c r="B10" s="21">
        <f>IF(AC10="","",IF(AC10&gt;0,1,0))</f>
        <v>1</v>
      </c>
      <c r="C10" s="33"/>
      <c r="D10" s="33">
        <v>2</v>
      </c>
      <c r="E10" s="33"/>
      <c r="F10" s="33">
        <v>2</v>
      </c>
      <c r="G10" s="33">
        <v>1</v>
      </c>
      <c r="H10" s="33">
        <v>1</v>
      </c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>
        <v>175</v>
      </c>
      <c r="AC10" s="22">
        <f t="shared" ref="AC10:AC24" si="4">IF(AB10="","",SUM(C10:AA10)*AB10)</f>
        <v>1050</v>
      </c>
      <c r="AD10" s="33">
        <v>6</v>
      </c>
      <c r="AE10" s="33">
        <v>17</v>
      </c>
      <c r="AF10" s="20">
        <f>IF(AB10="","",(AD10+(AE10/36))*AB10)</f>
        <v>1132.6388888888889</v>
      </c>
      <c r="AG10" s="60"/>
      <c r="AH10" s="23" t="str">
        <f t="shared" ref="AH10:AW24" si="5">IF(C10=0,"",ROUNDUP(C$7/C10,0))</f>
        <v/>
      </c>
      <c r="AI10" s="23">
        <f t="shared" si="5"/>
        <v>0</v>
      </c>
      <c r="AJ10" s="23" t="str">
        <f t="shared" si="5"/>
        <v/>
      </c>
      <c r="AK10" s="23">
        <f t="shared" si="5"/>
        <v>0</v>
      </c>
      <c r="AL10" s="23">
        <f t="shared" si="5"/>
        <v>0</v>
      </c>
      <c r="AM10" s="23">
        <f t="shared" si="5"/>
        <v>0</v>
      </c>
      <c r="AN10" s="23" t="str">
        <f t="shared" si="5"/>
        <v/>
      </c>
      <c r="AO10" s="23" t="str">
        <f t="shared" si="5"/>
        <v/>
      </c>
      <c r="AP10" s="23" t="str">
        <f t="shared" si="5"/>
        <v/>
      </c>
      <c r="AQ10" s="23" t="str">
        <f t="shared" si="5"/>
        <v/>
      </c>
      <c r="AR10" s="23" t="str">
        <f t="shared" si="5"/>
        <v/>
      </c>
      <c r="AS10" s="23" t="str">
        <f t="shared" si="5"/>
        <v/>
      </c>
      <c r="AT10" s="23" t="str">
        <f t="shared" si="5"/>
        <v/>
      </c>
      <c r="AU10" s="23" t="str">
        <f t="shared" si="5"/>
        <v/>
      </c>
      <c r="AV10" s="23" t="str">
        <f t="shared" si="5"/>
        <v/>
      </c>
      <c r="AW10" s="23" t="str">
        <f t="shared" si="5"/>
        <v/>
      </c>
      <c r="AX10" s="23" t="str">
        <f t="shared" ref="AR10:BF24" si="6">IF(S10=0,"",ROUNDUP(S$7/S10,0))</f>
        <v/>
      </c>
      <c r="AY10" s="23" t="str">
        <f t="shared" si="6"/>
        <v/>
      </c>
      <c r="AZ10" s="23" t="str">
        <f t="shared" si="6"/>
        <v/>
      </c>
      <c r="BA10" s="23" t="str">
        <f t="shared" si="6"/>
        <v/>
      </c>
      <c r="BB10" s="23" t="str">
        <f t="shared" si="6"/>
        <v/>
      </c>
      <c r="BC10" s="23" t="str">
        <f t="shared" si="6"/>
        <v/>
      </c>
      <c r="BD10" s="23" t="str">
        <f t="shared" si="6"/>
        <v/>
      </c>
      <c r="BE10" s="23" t="str">
        <f t="shared" si="6"/>
        <v/>
      </c>
      <c r="BF10" s="23" t="str">
        <f t="shared" si="6"/>
        <v/>
      </c>
      <c r="BG10" s="37"/>
    </row>
    <row r="11" spans="1:59">
      <c r="A11" s="13" t="s">
        <v>578</v>
      </c>
      <c r="B11" s="21">
        <f t="shared" ref="B11:B24" si="7">IF(AC11="","",IF(AC11=0,"",IF(B10="","",B10+1)))</f>
        <v>2</v>
      </c>
      <c r="C11" s="33"/>
      <c r="D11" s="33"/>
      <c r="E11" s="33">
        <v>1</v>
      </c>
      <c r="F11" s="33">
        <v>2</v>
      </c>
      <c r="G11" s="33">
        <v>1</v>
      </c>
      <c r="H11" s="33">
        <v>1</v>
      </c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>
        <v>114</v>
      </c>
      <c r="AC11" s="22">
        <f t="shared" si="4"/>
        <v>570</v>
      </c>
      <c r="AD11" s="33">
        <v>5</v>
      </c>
      <c r="AE11" s="33">
        <v>26</v>
      </c>
      <c r="AF11" s="20">
        <f>IF(AB11="","",(AD11+(AE11/36))*AB11)</f>
        <v>652.33333333333337</v>
      </c>
      <c r="AG11" s="60"/>
      <c r="AH11" s="23" t="str">
        <f t="shared" si="5"/>
        <v/>
      </c>
      <c r="AI11" s="23" t="str">
        <f t="shared" si="5"/>
        <v/>
      </c>
      <c r="AJ11" s="23">
        <f t="shared" si="5"/>
        <v>0</v>
      </c>
      <c r="AK11" s="23">
        <f t="shared" si="5"/>
        <v>0</v>
      </c>
      <c r="AL11" s="23">
        <f t="shared" si="5"/>
        <v>0</v>
      </c>
      <c r="AM11" s="23">
        <f t="shared" si="5"/>
        <v>0</v>
      </c>
      <c r="AN11" s="23" t="str">
        <f t="shared" si="5"/>
        <v/>
      </c>
      <c r="AO11" s="23" t="str">
        <f t="shared" si="5"/>
        <v/>
      </c>
      <c r="AP11" s="23" t="str">
        <f t="shared" si="5"/>
        <v/>
      </c>
      <c r="AQ11" s="23" t="str">
        <f t="shared" si="5"/>
        <v/>
      </c>
      <c r="AR11" s="23" t="str">
        <f t="shared" si="6"/>
        <v/>
      </c>
      <c r="AS11" s="23" t="str">
        <f t="shared" si="6"/>
        <v/>
      </c>
      <c r="AT11" s="23" t="str">
        <f t="shared" si="6"/>
        <v/>
      </c>
      <c r="AU11" s="23" t="str">
        <f t="shared" si="6"/>
        <v/>
      </c>
      <c r="AV11" s="23" t="str">
        <f t="shared" si="6"/>
        <v/>
      </c>
      <c r="AW11" s="23" t="str">
        <f t="shared" si="6"/>
        <v/>
      </c>
      <c r="AX11" s="23" t="str">
        <f t="shared" si="6"/>
        <v/>
      </c>
      <c r="AY11" s="23" t="str">
        <f t="shared" si="6"/>
        <v/>
      </c>
      <c r="AZ11" s="23" t="str">
        <f t="shared" si="6"/>
        <v/>
      </c>
      <c r="BA11" s="23" t="str">
        <f t="shared" si="6"/>
        <v/>
      </c>
      <c r="BB11" s="23" t="str">
        <f t="shared" si="6"/>
        <v/>
      </c>
      <c r="BC11" s="23" t="str">
        <f t="shared" si="6"/>
        <v/>
      </c>
      <c r="BD11" s="23" t="str">
        <f t="shared" si="6"/>
        <v/>
      </c>
      <c r="BE11" s="23" t="str">
        <f t="shared" si="6"/>
        <v/>
      </c>
      <c r="BF11" s="23" t="str">
        <f t="shared" si="6"/>
        <v/>
      </c>
      <c r="BG11" s="37"/>
    </row>
    <row r="12" spans="1:59">
      <c r="A12" s="13" t="s">
        <v>578</v>
      </c>
      <c r="B12" s="21">
        <f t="shared" si="7"/>
        <v>3</v>
      </c>
      <c r="C12" s="33"/>
      <c r="D12" s="33"/>
      <c r="E12" s="33"/>
      <c r="F12" s="33">
        <v>1</v>
      </c>
      <c r="G12" s="33">
        <v>2</v>
      </c>
      <c r="H12" s="33">
        <v>2</v>
      </c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>
        <v>16</v>
      </c>
      <c r="AC12" s="22">
        <f t="shared" si="4"/>
        <v>80</v>
      </c>
      <c r="AD12" s="33">
        <v>6</v>
      </c>
      <c r="AE12" s="33">
        <v>4</v>
      </c>
      <c r="AF12" s="20">
        <f>IF(AB12="","",(AD12+(AE12/36))*AB12)</f>
        <v>97.777777777777771</v>
      </c>
      <c r="AG12" s="60"/>
      <c r="AH12" s="23" t="str">
        <f t="shared" si="5"/>
        <v/>
      </c>
      <c r="AI12" s="23" t="str">
        <f t="shared" si="5"/>
        <v/>
      </c>
      <c r="AJ12" s="23" t="str">
        <f t="shared" si="5"/>
        <v/>
      </c>
      <c r="AK12" s="23">
        <f t="shared" si="5"/>
        <v>0</v>
      </c>
      <c r="AL12" s="23">
        <f t="shared" si="5"/>
        <v>0</v>
      </c>
      <c r="AM12" s="23">
        <f t="shared" si="5"/>
        <v>0</v>
      </c>
      <c r="AN12" s="23" t="str">
        <f t="shared" si="5"/>
        <v/>
      </c>
      <c r="AO12" s="23" t="str">
        <f t="shared" si="5"/>
        <v/>
      </c>
      <c r="AP12" s="23" t="str">
        <f t="shared" si="5"/>
        <v/>
      </c>
      <c r="AQ12" s="23" t="str">
        <f t="shared" si="5"/>
        <v/>
      </c>
      <c r="AR12" s="23" t="str">
        <f t="shared" si="6"/>
        <v/>
      </c>
      <c r="AS12" s="23" t="str">
        <f t="shared" si="6"/>
        <v/>
      </c>
      <c r="AT12" s="23" t="str">
        <f t="shared" si="6"/>
        <v/>
      </c>
      <c r="AU12" s="23" t="str">
        <f t="shared" si="6"/>
        <v/>
      </c>
      <c r="AV12" s="23" t="str">
        <f t="shared" si="6"/>
        <v/>
      </c>
      <c r="AW12" s="23" t="str">
        <f t="shared" si="6"/>
        <v/>
      </c>
      <c r="AX12" s="23" t="str">
        <f t="shared" si="6"/>
        <v/>
      </c>
      <c r="AY12" s="23" t="str">
        <f t="shared" si="6"/>
        <v/>
      </c>
      <c r="AZ12" s="23" t="str">
        <f t="shared" si="6"/>
        <v/>
      </c>
      <c r="BA12" s="23" t="str">
        <f t="shared" si="6"/>
        <v/>
      </c>
      <c r="BB12" s="23" t="str">
        <f t="shared" si="6"/>
        <v/>
      </c>
      <c r="BC12" s="23" t="str">
        <f t="shared" si="6"/>
        <v/>
      </c>
      <c r="BD12" s="23" t="str">
        <f t="shared" si="6"/>
        <v/>
      </c>
      <c r="BE12" s="23" t="str">
        <f t="shared" si="6"/>
        <v/>
      </c>
      <c r="BF12" s="23" t="str">
        <f t="shared" si="6"/>
        <v/>
      </c>
      <c r="BG12" s="37"/>
    </row>
    <row r="13" spans="1:59">
      <c r="A13" s="13" t="s">
        <v>580</v>
      </c>
      <c r="B13" s="21">
        <f t="shared" si="7"/>
        <v>4</v>
      </c>
      <c r="C13" s="33">
        <v>1</v>
      </c>
      <c r="D13" s="33"/>
      <c r="E13" s="33"/>
      <c r="F13" s="33"/>
      <c r="G13" s="33"/>
      <c r="H13" s="33">
        <v>1</v>
      </c>
      <c r="I13" s="33">
        <v>1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>
        <v>7</v>
      </c>
      <c r="AC13" s="22">
        <f t="shared" si="4"/>
        <v>21</v>
      </c>
      <c r="AD13" s="33">
        <v>3</v>
      </c>
      <c r="AE13" s="33">
        <v>24.25</v>
      </c>
      <c r="AF13" s="20">
        <f>IF(AB13="","",(AD13+(AE13/36))*AB13)</f>
        <v>25.715277777777779</v>
      </c>
      <c r="AG13" s="60"/>
      <c r="AH13" s="23">
        <f t="shared" si="5"/>
        <v>0</v>
      </c>
      <c r="AI13" s="23" t="str">
        <f t="shared" si="5"/>
        <v/>
      </c>
      <c r="AJ13" s="23" t="str">
        <f t="shared" si="5"/>
        <v/>
      </c>
      <c r="AK13" s="23" t="str">
        <f t="shared" si="5"/>
        <v/>
      </c>
      <c r="AL13" s="23" t="str">
        <f t="shared" si="5"/>
        <v/>
      </c>
      <c r="AM13" s="23">
        <f t="shared" si="5"/>
        <v>0</v>
      </c>
      <c r="AN13" s="23">
        <f t="shared" si="5"/>
        <v>0</v>
      </c>
      <c r="AO13" s="23" t="str">
        <f t="shared" si="5"/>
        <v/>
      </c>
      <c r="AP13" s="23" t="str">
        <f t="shared" si="5"/>
        <v/>
      </c>
      <c r="AQ13" s="23" t="str">
        <f t="shared" si="5"/>
        <v/>
      </c>
      <c r="AR13" s="23" t="str">
        <f t="shared" si="6"/>
        <v/>
      </c>
      <c r="AS13" s="23" t="str">
        <f t="shared" si="6"/>
        <v/>
      </c>
      <c r="AT13" s="23" t="str">
        <f t="shared" si="6"/>
        <v/>
      </c>
      <c r="AU13" s="23" t="str">
        <f t="shared" si="6"/>
        <v/>
      </c>
      <c r="AV13" s="23" t="str">
        <f t="shared" si="6"/>
        <v/>
      </c>
      <c r="AW13" s="23" t="str">
        <f t="shared" si="6"/>
        <v/>
      </c>
      <c r="AX13" s="23" t="str">
        <f t="shared" si="6"/>
        <v/>
      </c>
      <c r="AY13" s="23" t="str">
        <f t="shared" si="6"/>
        <v/>
      </c>
      <c r="AZ13" s="23" t="str">
        <f t="shared" si="6"/>
        <v/>
      </c>
      <c r="BA13" s="23" t="str">
        <f t="shared" si="6"/>
        <v/>
      </c>
      <c r="BB13" s="23" t="str">
        <f t="shared" si="6"/>
        <v/>
      </c>
      <c r="BC13" s="23" t="str">
        <f t="shared" si="6"/>
        <v/>
      </c>
      <c r="BD13" s="23" t="str">
        <f t="shared" si="6"/>
        <v/>
      </c>
      <c r="BE13" s="23" t="str">
        <f t="shared" si="6"/>
        <v/>
      </c>
      <c r="BF13" s="23" t="str">
        <f t="shared" si="6"/>
        <v/>
      </c>
      <c r="BG13" s="37"/>
    </row>
    <row r="14" spans="1:59">
      <c r="A14" s="13" t="s">
        <v>579</v>
      </c>
      <c r="B14" s="21">
        <f t="shared" si="7"/>
        <v>5</v>
      </c>
      <c r="C14" s="33">
        <v>1</v>
      </c>
      <c r="D14" s="33"/>
      <c r="E14" s="33"/>
      <c r="F14" s="33"/>
      <c r="G14" s="33">
        <v>1</v>
      </c>
      <c r="H14" s="33"/>
      <c r="I14" s="33">
        <v>1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>
        <v>3</v>
      </c>
      <c r="AC14" s="22">
        <f t="shared" si="4"/>
        <v>9</v>
      </c>
      <c r="AD14" s="33">
        <v>3</v>
      </c>
      <c r="AE14" s="33">
        <v>17.125</v>
      </c>
      <c r="AF14" s="20">
        <f>IF(AB14="","",(AD14+(AE14/36))*AB14)</f>
        <v>10.427083333333334</v>
      </c>
      <c r="AG14" s="60"/>
      <c r="AH14" s="23">
        <f t="shared" si="5"/>
        <v>0</v>
      </c>
      <c r="AI14" s="23" t="str">
        <f t="shared" si="5"/>
        <v/>
      </c>
      <c r="AJ14" s="23" t="str">
        <f t="shared" si="5"/>
        <v/>
      </c>
      <c r="AK14" s="23" t="str">
        <f t="shared" si="5"/>
        <v/>
      </c>
      <c r="AL14" s="23">
        <f t="shared" si="5"/>
        <v>0</v>
      </c>
      <c r="AM14" s="23" t="str">
        <f t="shared" si="5"/>
        <v/>
      </c>
      <c r="AN14" s="23">
        <f t="shared" si="5"/>
        <v>0</v>
      </c>
      <c r="AO14" s="23" t="str">
        <f t="shared" si="5"/>
        <v/>
      </c>
      <c r="AP14" s="23" t="str">
        <f t="shared" si="5"/>
        <v/>
      </c>
      <c r="AQ14" s="23" t="str">
        <f t="shared" si="5"/>
        <v/>
      </c>
      <c r="AR14" s="23" t="str">
        <f t="shared" si="6"/>
        <v/>
      </c>
      <c r="AS14" s="23" t="str">
        <f t="shared" si="6"/>
        <v/>
      </c>
      <c r="AT14" s="23" t="str">
        <f t="shared" si="6"/>
        <v/>
      </c>
      <c r="AU14" s="23" t="str">
        <f t="shared" si="6"/>
        <v/>
      </c>
      <c r="AV14" s="23" t="str">
        <f t="shared" si="6"/>
        <v/>
      </c>
      <c r="AW14" s="23" t="str">
        <f t="shared" si="6"/>
        <v/>
      </c>
      <c r="AX14" s="23" t="str">
        <f t="shared" si="6"/>
        <v/>
      </c>
      <c r="AY14" s="23" t="str">
        <f t="shared" si="6"/>
        <v/>
      </c>
      <c r="AZ14" s="23" t="str">
        <f t="shared" si="6"/>
        <v/>
      </c>
      <c r="BA14" s="23" t="str">
        <f t="shared" si="6"/>
        <v/>
      </c>
      <c r="BB14" s="23" t="str">
        <f t="shared" si="6"/>
        <v/>
      </c>
      <c r="BC14" s="23" t="str">
        <f t="shared" si="6"/>
        <v/>
      </c>
      <c r="BD14" s="23" t="str">
        <f t="shared" si="6"/>
        <v/>
      </c>
      <c r="BE14" s="23" t="str">
        <f t="shared" si="6"/>
        <v/>
      </c>
      <c r="BF14" s="23" t="str">
        <f t="shared" si="6"/>
        <v/>
      </c>
      <c r="BG14" s="37"/>
    </row>
    <row r="15" spans="1:59">
      <c r="A15" s="13"/>
      <c r="B15" s="21" t="str">
        <f t="shared" si="7"/>
        <v/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22" t="str">
        <f t="shared" si="4"/>
        <v/>
      </c>
      <c r="AD15" s="13"/>
      <c r="AE15" s="13"/>
      <c r="AF15" s="20" t="str">
        <f t="shared" ref="AF15:AF24" si="8">IF(AB15="","",(AD15+(AE15/36))*AB15)</f>
        <v/>
      </c>
      <c r="AG15" s="60"/>
      <c r="AH15" s="23" t="str">
        <f t="shared" si="5"/>
        <v/>
      </c>
      <c r="AI15" s="23" t="str">
        <f t="shared" si="5"/>
        <v/>
      </c>
      <c r="AJ15" s="23" t="str">
        <f t="shared" si="5"/>
        <v/>
      </c>
      <c r="AK15" s="23" t="str">
        <f t="shared" si="5"/>
        <v/>
      </c>
      <c r="AL15" s="23" t="str">
        <f t="shared" si="5"/>
        <v/>
      </c>
      <c r="AM15" s="23" t="str">
        <f t="shared" si="5"/>
        <v/>
      </c>
      <c r="AN15" s="23" t="str">
        <f t="shared" si="5"/>
        <v/>
      </c>
      <c r="AO15" s="23" t="str">
        <f t="shared" si="5"/>
        <v/>
      </c>
      <c r="AP15" s="23" t="str">
        <f t="shared" si="5"/>
        <v/>
      </c>
      <c r="AQ15" s="23" t="str">
        <f t="shared" si="5"/>
        <v/>
      </c>
      <c r="AR15" s="23" t="str">
        <f t="shared" si="6"/>
        <v/>
      </c>
      <c r="AS15" s="23" t="str">
        <f t="shared" si="6"/>
        <v/>
      </c>
      <c r="AT15" s="23" t="str">
        <f t="shared" si="6"/>
        <v/>
      </c>
      <c r="AU15" s="23" t="str">
        <f t="shared" si="6"/>
        <v/>
      </c>
      <c r="AV15" s="23" t="str">
        <f t="shared" si="6"/>
        <v/>
      </c>
      <c r="AW15" s="23" t="str">
        <f t="shared" si="6"/>
        <v/>
      </c>
      <c r="AX15" s="23" t="str">
        <f t="shared" si="6"/>
        <v/>
      </c>
      <c r="AY15" s="23" t="str">
        <f t="shared" si="6"/>
        <v/>
      </c>
      <c r="AZ15" s="23" t="str">
        <f t="shared" si="6"/>
        <v/>
      </c>
      <c r="BA15" s="23" t="str">
        <f t="shared" si="6"/>
        <v/>
      </c>
      <c r="BB15" s="23" t="str">
        <f t="shared" si="6"/>
        <v/>
      </c>
      <c r="BC15" s="23" t="str">
        <f t="shared" si="6"/>
        <v/>
      </c>
      <c r="BD15" s="23" t="str">
        <f t="shared" si="6"/>
        <v/>
      </c>
      <c r="BE15" s="23" t="str">
        <f t="shared" si="6"/>
        <v/>
      </c>
      <c r="BF15" s="23" t="str">
        <f t="shared" si="6"/>
        <v/>
      </c>
      <c r="BG15" s="37"/>
    </row>
    <row r="16" spans="1:59">
      <c r="A16" s="13"/>
      <c r="B16" s="21" t="str">
        <f t="shared" si="7"/>
        <v/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22" t="str">
        <f t="shared" si="4"/>
        <v/>
      </c>
      <c r="AD16" s="13"/>
      <c r="AE16" s="13"/>
      <c r="AF16" s="20" t="str">
        <f t="shared" si="8"/>
        <v/>
      </c>
      <c r="AG16" s="60"/>
      <c r="AH16" s="23" t="str">
        <f t="shared" si="5"/>
        <v/>
      </c>
      <c r="AI16" s="23" t="str">
        <f t="shared" si="5"/>
        <v/>
      </c>
      <c r="AJ16" s="23" t="str">
        <f t="shared" si="5"/>
        <v/>
      </c>
      <c r="AK16" s="23" t="str">
        <f t="shared" si="5"/>
        <v/>
      </c>
      <c r="AL16" s="23" t="str">
        <f t="shared" si="5"/>
        <v/>
      </c>
      <c r="AM16" s="23" t="str">
        <f t="shared" si="5"/>
        <v/>
      </c>
      <c r="AN16" s="23" t="str">
        <f t="shared" si="5"/>
        <v/>
      </c>
      <c r="AO16" s="23" t="str">
        <f t="shared" si="5"/>
        <v/>
      </c>
      <c r="AP16" s="23" t="str">
        <f t="shared" si="5"/>
        <v/>
      </c>
      <c r="AQ16" s="23" t="str">
        <f t="shared" si="5"/>
        <v/>
      </c>
      <c r="AR16" s="23" t="str">
        <f t="shared" si="6"/>
        <v/>
      </c>
      <c r="AS16" s="23" t="str">
        <f t="shared" si="6"/>
        <v/>
      </c>
      <c r="AT16" s="23" t="str">
        <f t="shared" si="6"/>
        <v/>
      </c>
      <c r="AU16" s="23" t="str">
        <f t="shared" si="6"/>
        <v/>
      </c>
      <c r="AV16" s="23" t="str">
        <f t="shared" si="6"/>
        <v/>
      </c>
      <c r="AW16" s="23" t="str">
        <f t="shared" si="6"/>
        <v/>
      </c>
      <c r="AX16" s="23" t="str">
        <f t="shared" si="6"/>
        <v/>
      </c>
      <c r="AY16" s="23" t="str">
        <f t="shared" si="6"/>
        <v/>
      </c>
      <c r="AZ16" s="23" t="str">
        <f t="shared" si="6"/>
        <v/>
      </c>
      <c r="BA16" s="23" t="str">
        <f t="shared" si="6"/>
        <v/>
      </c>
      <c r="BB16" s="23" t="str">
        <f t="shared" si="6"/>
        <v/>
      </c>
      <c r="BC16" s="23" t="str">
        <f t="shared" si="6"/>
        <v/>
      </c>
      <c r="BD16" s="23" t="str">
        <f t="shared" si="6"/>
        <v/>
      </c>
      <c r="BE16" s="23" t="str">
        <f t="shared" si="6"/>
        <v/>
      </c>
      <c r="BF16" s="23" t="str">
        <f t="shared" si="6"/>
        <v/>
      </c>
      <c r="BG16" s="37"/>
    </row>
    <row r="17" spans="1:59">
      <c r="A17" s="13"/>
      <c r="B17" s="21" t="str">
        <f t="shared" si="7"/>
        <v/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22" t="str">
        <f t="shared" si="4"/>
        <v/>
      </c>
      <c r="AD17" s="13"/>
      <c r="AE17" s="13"/>
      <c r="AF17" s="20" t="str">
        <f t="shared" si="8"/>
        <v/>
      </c>
      <c r="AG17" s="60"/>
      <c r="AH17" s="23" t="str">
        <f t="shared" si="5"/>
        <v/>
      </c>
      <c r="AI17" s="23" t="str">
        <f t="shared" si="5"/>
        <v/>
      </c>
      <c r="AJ17" s="23" t="str">
        <f t="shared" si="5"/>
        <v/>
      </c>
      <c r="AK17" s="23" t="str">
        <f t="shared" si="5"/>
        <v/>
      </c>
      <c r="AL17" s="23" t="str">
        <f t="shared" si="5"/>
        <v/>
      </c>
      <c r="AM17" s="23" t="str">
        <f t="shared" si="5"/>
        <v/>
      </c>
      <c r="AN17" s="23" t="str">
        <f t="shared" si="5"/>
        <v/>
      </c>
      <c r="AO17" s="23" t="str">
        <f t="shared" si="5"/>
        <v/>
      </c>
      <c r="AP17" s="23" t="str">
        <f t="shared" si="5"/>
        <v/>
      </c>
      <c r="AQ17" s="23" t="str">
        <f t="shared" si="5"/>
        <v/>
      </c>
      <c r="AR17" s="23" t="str">
        <f t="shared" si="6"/>
        <v/>
      </c>
      <c r="AS17" s="23" t="str">
        <f t="shared" si="6"/>
        <v/>
      </c>
      <c r="AT17" s="23" t="str">
        <f t="shared" si="6"/>
        <v/>
      </c>
      <c r="AU17" s="23" t="str">
        <f t="shared" si="6"/>
        <v/>
      </c>
      <c r="AV17" s="23" t="str">
        <f t="shared" si="6"/>
        <v/>
      </c>
      <c r="AW17" s="23" t="str">
        <f t="shared" si="6"/>
        <v/>
      </c>
      <c r="AX17" s="23" t="str">
        <f t="shared" si="6"/>
        <v/>
      </c>
      <c r="AY17" s="23" t="str">
        <f t="shared" si="6"/>
        <v/>
      </c>
      <c r="AZ17" s="23" t="str">
        <f t="shared" si="6"/>
        <v/>
      </c>
      <c r="BA17" s="23" t="str">
        <f t="shared" si="6"/>
        <v/>
      </c>
      <c r="BB17" s="23" t="str">
        <f t="shared" si="6"/>
        <v/>
      </c>
      <c r="BC17" s="23" t="str">
        <f t="shared" si="6"/>
        <v/>
      </c>
      <c r="BD17" s="23" t="str">
        <f t="shared" si="6"/>
        <v/>
      </c>
      <c r="BE17" s="23" t="str">
        <f t="shared" si="6"/>
        <v/>
      </c>
      <c r="BF17" s="23" t="str">
        <f t="shared" si="6"/>
        <v/>
      </c>
      <c r="BG17" s="37"/>
    </row>
    <row r="18" spans="1:59">
      <c r="A18" s="13"/>
      <c r="B18" s="21" t="str">
        <f t="shared" si="7"/>
        <v/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22" t="str">
        <f t="shared" si="4"/>
        <v/>
      </c>
      <c r="AD18" s="13"/>
      <c r="AE18" s="13"/>
      <c r="AF18" s="20" t="str">
        <f t="shared" si="8"/>
        <v/>
      </c>
      <c r="AG18" s="60"/>
      <c r="AH18" s="23" t="str">
        <f t="shared" si="5"/>
        <v/>
      </c>
      <c r="AI18" s="23" t="str">
        <f t="shared" si="5"/>
        <v/>
      </c>
      <c r="AJ18" s="23" t="str">
        <f t="shared" si="5"/>
        <v/>
      </c>
      <c r="AK18" s="23" t="str">
        <f t="shared" si="5"/>
        <v/>
      </c>
      <c r="AL18" s="23" t="str">
        <f t="shared" si="5"/>
        <v/>
      </c>
      <c r="AM18" s="23" t="str">
        <f t="shared" si="5"/>
        <v/>
      </c>
      <c r="AN18" s="23" t="str">
        <f t="shared" si="5"/>
        <v/>
      </c>
      <c r="AO18" s="23" t="str">
        <f t="shared" si="5"/>
        <v/>
      </c>
      <c r="AP18" s="23" t="str">
        <f t="shared" si="5"/>
        <v/>
      </c>
      <c r="AQ18" s="23" t="str">
        <f t="shared" si="5"/>
        <v/>
      </c>
      <c r="AR18" s="23" t="str">
        <f t="shared" si="6"/>
        <v/>
      </c>
      <c r="AS18" s="23" t="str">
        <f t="shared" si="6"/>
        <v/>
      </c>
      <c r="AT18" s="23" t="str">
        <f t="shared" si="6"/>
        <v/>
      </c>
      <c r="AU18" s="23" t="str">
        <f t="shared" si="6"/>
        <v/>
      </c>
      <c r="AV18" s="23" t="str">
        <f t="shared" si="6"/>
        <v/>
      </c>
      <c r="AW18" s="23" t="str">
        <f t="shared" si="6"/>
        <v/>
      </c>
      <c r="AX18" s="23" t="str">
        <f t="shared" si="6"/>
        <v/>
      </c>
      <c r="AY18" s="23" t="str">
        <f t="shared" si="6"/>
        <v/>
      </c>
      <c r="AZ18" s="23" t="str">
        <f t="shared" si="6"/>
        <v/>
      </c>
      <c r="BA18" s="23" t="str">
        <f t="shared" si="6"/>
        <v/>
      </c>
      <c r="BB18" s="23" t="str">
        <f t="shared" si="6"/>
        <v/>
      </c>
      <c r="BC18" s="23" t="str">
        <f t="shared" si="6"/>
        <v/>
      </c>
      <c r="BD18" s="23" t="str">
        <f t="shared" si="6"/>
        <v/>
      </c>
      <c r="BE18" s="23" t="str">
        <f t="shared" si="6"/>
        <v/>
      </c>
      <c r="BF18" s="23" t="str">
        <f t="shared" si="6"/>
        <v/>
      </c>
      <c r="BG18" s="37"/>
    </row>
    <row r="19" spans="1:59">
      <c r="A19" s="13"/>
      <c r="B19" s="21" t="str">
        <f t="shared" si="7"/>
        <v/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22" t="str">
        <f t="shared" si="4"/>
        <v/>
      </c>
      <c r="AD19" s="13"/>
      <c r="AE19" s="13"/>
      <c r="AF19" s="20" t="str">
        <f t="shared" si="8"/>
        <v/>
      </c>
      <c r="AG19" s="60"/>
      <c r="AH19" s="23" t="str">
        <f t="shared" si="5"/>
        <v/>
      </c>
      <c r="AI19" s="23" t="str">
        <f t="shared" si="5"/>
        <v/>
      </c>
      <c r="AJ19" s="23" t="str">
        <f t="shared" si="5"/>
        <v/>
      </c>
      <c r="AK19" s="23" t="str">
        <f t="shared" si="5"/>
        <v/>
      </c>
      <c r="AL19" s="23" t="str">
        <f t="shared" si="5"/>
        <v/>
      </c>
      <c r="AM19" s="23" t="str">
        <f t="shared" si="5"/>
        <v/>
      </c>
      <c r="AN19" s="23" t="str">
        <f t="shared" si="5"/>
        <v/>
      </c>
      <c r="AO19" s="23" t="str">
        <f t="shared" si="5"/>
        <v/>
      </c>
      <c r="AP19" s="23" t="str">
        <f t="shared" si="5"/>
        <v/>
      </c>
      <c r="AQ19" s="23" t="str">
        <f t="shared" si="5"/>
        <v/>
      </c>
      <c r="AR19" s="23" t="str">
        <f t="shared" si="6"/>
        <v/>
      </c>
      <c r="AS19" s="23" t="str">
        <f t="shared" si="6"/>
        <v/>
      </c>
      <c r="AT19" s="23" t="str">
        <f t="shared" si="6"/>
        <v/>
      </c>
      <c r="AU19" s="23" t="str">
        <f t="shared" si="6"/>
        <v/>
      </c>
      <c r="AV19" s="23" t="str">
        <f t="shared" si="6"/>
        <v/>
      </c>
      <c r="AW19" s="23" t="str">
        <f t="shared" si="6"/>
        <v/>
      </c>
      <c r="AX19" s="23" t="str">
        <f t="shared" si="6"/>
        <v/>
      </c>
      <c r="AY19" s="23" t="str">
        <f t="shared" si="6"/>
        <v/>
      </c>
      <c r="AZ19" s="23" t="str">
        <f t="shared" si="6"/>
        <v/>
      </c>
      <c r="BA19" s="23" t="str">
        <f t="shared" si="6"/>
        <v/>
      </c>
      <c r="BB19" s="23" t="str">
        <f t="shared" si="6"/>
        <v/>
      </c>
      <c r="BC19" s="23" t="str">
        <f t="shared" si="6"/>
        <v/>
      </c>
      <c r="BD19" s="23" t="str">
        <f t="shared" si="6"/>
        <v/>
      </c>
      <c r="BE19" s="23" t="str">
        <f t="shared" si="6"/>
        <v/>
      </c>
      <c r="BF19" s="23" t="str">
        <f t="shared" si="6"/>
        <v/>
      </c>
      <c r="BG19" s="37"/>
    </row>
    <row r="20" spans="1:59">
      <c r="A20" s="13"/>
      <c r="B20" s="21" t="str">
        <f t="shared" si="7"/>
        <v/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27"/>
      <c r="Z20" s="33"/>
      <c r="AA20" s="33"/>
      <c r="AB20" s="33"/>
      <c r="AC20" s="22" t="str">
        <f t="shared" si="4"/>
        <v/>
      </c>
      <c r="AD20" s="13"/>
      <c r="AE20" s="13"/>
      <c r="AF20" s="20" t="str">
        <f t="shared" si="8"/>
        <v/>
      </c>
      <c r="AG20" s="60"/>
      <c r="AH20" s="23" t="str">
        <f t="shared" si="5"/>
        <v/>
      </c>
      <c r="AI20" s="23" t="str">
        <f t="shared" si="5"/>
        <v/>
      </c>
      <c r="AJ20" s="23" t="str">
        <f t="shared" si="5"/>
        <v/>
      </c>
      <c r="AK20" s="23" t="str">
        <f t="shared" si="5"/>
        <v/>
      </c>
      <c r="AL20" s="23" t="str">
        <f t="shared" si="5"/>
        <v/>
      </c>
      <c r="AM20" s="23" t="str">
        <f t="shared" si="5"/>
        <v/>
      </c>
      <c r="AN20" s="23" t="str">
        <f t="shared" si="5"/>
        <v/>
      </c>
      <c r="AO20" s="23" t="str">
        <f t="shared" si="5"/>
        <v/>
      </c>
      <c r="AP20" s="23" t="str">
        <f t="shared" si="5"/>
        <v/>
      </c>
      <c r="AQ20" s="23" t="str">
        <f t="shared" si="5"/>
        <v/>
      </c>
      <c r="AR20" s="23" t="str">
        <f t="shared" si="6"/>
        <v/>
      </c>
      <c r="AS20" s="23" t="str">
        <f t="shared" si="6"/>
        <v/>
      </c>
      <c r="AT20" s="23" t="str">
        <f t="shared" si="6"/>
        <v/>
      </c>
      <c r="AU20" s="23" t="str">
        <f t="shared" si="6"/>
        <v/>
      </c>
      <c r="AV20" s="23" t="str">
        <f t="shared" si="6"/>
        <v/>
      </c>
      <c r="AW20" s="23" t="str">
        <f t="shared" si="6"/>
        <v/>
      </c>
      <c r="AX20" s="23" t="str">
        <f t="shared" si="6"/>
        <v/>
      </c>
      <c r="AY20" s="23" t="str">
        <f t="shared" si="6"/>
        <v/>
      </c>
      <c r="AZ20" s="23" t="str">
        <f t="shared" si="6"/>
        <v/>
      </c>
      <c r="BA20" s="23" t="str">
        <f t="shared" si="6"/>
        <v/>
      </c>
      <c r="BB20" s="23" t="str">
        <f t="shared" si="6"/>
        <v/>
      </c>
      <c r="BC20" s="23" t="str">
        <f t="shared" si="6"/>
        <v/>
      </c>
      <c r="BD20" s="23" t="str">
        <f t="shared" si="6"/>
        <v/>
      </c>
      <c r="BE20" s="23" t="str">
        <f t="shared" si="6"/>
        <v/>
      </c>
      <c r="BF20" s="23" t="str">
        <f t="shared" si="6"/>
        <v/>
      </c>
      <c r="BG20" s="37"/>
    </row>
    <row r="21" spans="1:59">
      <c r="A21" s="13"/>
      <c r="B21" s="21" t="str">
        <f t="shared" si="7"/>
        <v/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22" t="str">
        <f t="shared" si="4"/>
        <v/>
      </c>
      <c r="AD21" s="13"/>
      <c r="AE21" s="13"/>
      <c r="AF21" s="20" t="str">
        <f t="shared" si="8"/>
        <v/>
      </c>
      <c r="AG21" s="60"/>
      <c r="AH21" s="23" t="str">
        <f t="shared" si="5"/>
        <v/>
      </c>
      <c r="AI21" s="23" t="str">
        <f t="shared" si="5"/>
        <v/>
      </c>
      <c r="AJ21" s="23" t="str">
        <f t="shared" si="5"/>
        <v/>
      </c>
      <c r="AK21" s="23" t="str">
        <f t="shared" si="5"/>
        <v/>
      </c>
      <c r="AL21" s="23" t="str">
        <f t="shared" si="5"/>
        <v/>
      </c>
      <c r="AM21" s="23" t="str">
        <f t="shared" si="5"/>
        <v/>
      </c>
      <c r="AN21" s="23" t="str">
        <f t="shared" si="5"/>
        <v/>
      </c>
      <c r="AO21" s="23" t="str">
        <f t="shared" si="5"/>
        <v/>
      </c>
      <c r="AP21" s="23" t="str">
        <f t="shared" si="5"/>
        <v/>
      </c>
      <c r="AQ21" s="23" t="str">
        <f t="shared" si="5"/>
        <v/>
      </c>
      <c r="AR21" s="23" t="str">
        <f t="shared" si="6"/>
        <v/>
      </c>
      <c r="AS21" s="23" t="str">
        <f t="shared" si="6"/>
        <v/>
      </c>
      <c r="AT21" s="23" t="str">
        <f t="shared" si="6"/>
        <v/>
      </c>
      <c r="AU21" s="23" t="str">
        <f t="shared" si="6"/>
        <v/>
      </c>
      <c r="AV21" s="23" t="str">
        <f t="shared" si="6"/>
        <v/>
      </c>
      <c r="AW21" s="23" t="str">
        <f t="shared" si="6"/>
        <v/>
      </c>
      <c r="AX21" s="23" t="str">
        <f t="shared" si="6"/>
        <v/>
      </c>
      <c r="AY21" s="23" t="str">
        <f t="shared" si="6"/>
        <v/>
      </c>
      <c r="AZ21" s="23" t="str">
        <f t="shared" si="6"/>
        <v/>
      </c>
      <c r="BA21" s="23" t="str">
        <f t="shared" si="6"/>
        <v/>
      </c>
      <c r="BB21" s="23" t="str">
        <f t="shared" si="6"/>
        <v/>
      </c>
      <c r="BC21" s="23" t="str">
        <f t="shared" si="6"/>
        <v/>
      </c>
      <c r="BD21" s="23" t="str">
        <f t="shared" si="6"/>
        <v/>
      </c>
      <c r="BE21" s="23" t="str">
        <f t="shared" si="6"/>
        <v/>
      </c>
      <c r="BF21" s="23" t="str">
        <f t="shared" si="6"/>
        <v/>
      </c>
      <c r="BG21" s="37"/>
    </row>
    <row r="22" spans="1:59">
      <c r="A22" s="13"/>
      <c r="B22" s="21" t="str">
        <f t="shared" si="7"/>
        <v/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22" t="str">
        <f t="shared" si="4"/>
        <v/>
      </c>
      <c r="AD22" s="13"/>
      <c r="AE22" s="13"/>
      <c r="AF22" s="20" t="str">
        <f t="shared" si="8"/>
        <v/>
      </c>
      <c r="AG22" s="60"/>
      <c r="AH22" s="23" t="str">
        <f t="shared" si="5"/>
        <v/>
      </c>
      <c r="AI22" s="23" t="str">
        <f t="shared" si="5"/>
        <v/>
      </c>
      <c r="AJ22" s="23" t="str">
        <f t="shared" si="5"/>
        <v/>
      </c>
      <c r="AK22" s="23" t="str">
        <f t="shared" si="5"/>
        <v/>
      </c>
      <c r="AL22" s="23" t="str">
        <f t="shared" si="5"/>
        <v/>
      </c>
      <c r="AM22" s="23" t="str">
        <f t="shared" si="5"/>
        <v/>
      </c>
      <c r="AN22" s="23" t="str">
        <f t="shared" si="5"/>
        <v/>
      </c>
      <c r="AO22" s="23" t="str">
        <f t="shared" si="5"/>
        <v/>
      </c>
      <c r="AP22" s="23" t="str">
        <f t="shared" si="5"/>
        <v/>
      </c>
      <c r="AQ22" s="23" t="str">
        <f t="shared" si="5"/>
        <v/>
      </c>
      <c r="AR22" s="23" t="str">
        <f t="shared" si="6"/>
        <v/>
      </c>
      <c r="AS22" s="23" t="str">
        <f t="shared" si="6"/>
        <v/>
      </c>
      <c r="AT22" s="23" t="str">
        <f t="shared" si="6"/>
        <v/>
      </c>
      <c r="AU22" s="23" t="str">
        <f t="shared" si="6"/>
        <v/>
      </c>
      <c r="AV22" s="23" t="str">
        <f t="shared" si="6"/>
        <v/>
      </c>
      <c r="AW22" s="23" t="str">
        <f t="shared" si="6"/>
        <v/>
      </c>
      <c r="AX22" s="23" t="str">
        <f t="shared" si="6"/>
        <v/>
      </c>
      <c r="AY22" s="23" t="str">
        <f t="shared" si="6"/>
        <v/>
      </c>
      <c r="AZ22" s="23" t="str">
        <f t="shared" si="6"/>
        <v/>
      </c>
      <c r="BA22" s="23" t="str">
        <f t="shared" si="6"/>
        <v/>
      </c>
      <c r="BB22" s="23" t="str">
        <f t="shared" si="6"/>
        <v/>
      </c>
      <c r="BC22" s="23" t="str">
        <f t="shared" si="6"/>
        <v/>
      </c>
      <c r="BD22" s="23" t="str">
        <f t="shared" si="6"/>
        <v/>
      </c>
      <c r="BE22" s="23" t="str">
        <f t="shared" si="6"/>
        <v/>
      </c>
      <c r="BF22" s="23" t="str">
        <f t="shared" si="6"/>
        <v/>
      </c>
      <c r="BG22" s="37"/>
    </row>
    <row r="23" spans="1:59">
      <c r="A23" s="13"/>
      <c r="B23" s="21" t="str">
        <f t="shared" si="7"/>
        <v/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22" t="str">
        <f t="shared" si="4"/>
        <v/>
      </c>
      <c r="AD23" s="13"/>
      <c r="AE23" s="13"/>
      <c r="AF23" s="20" t="str">
        <f t="shared" si="8"/>
        <v/>
      </c>
      <c r="AG23" s="60"/>
      <c r="AH23" s="23" t="str">
        <f t="shared" si="5"/>
        <v/>
      </c>
      <c r="AI23" s="23" t="str">
        <f t="shared" si="5"/>
        <v/>
      </c>
      <c r="AJ23" s="23" t="str">
        <f t="shared" si="5"/>
        <v/>
      </c>
      <c r="AK23" s="23" t="str">
        <f t="shared" si="5"/>
        <v/>
      </c>
      <c r="AL23" s="23" t="str">
        <f t="shared" si="5"/>
        <v/>
      </c>
      <c r="AM23" s="23" t="str">
        <f t="shared" si="5"/>
        <v/>
      </c>
      <c r="AN23" s="23" t="str">
        <f t="shared" si="5"/>
        <v/>
      </c>
      <c r="AO23" s="23" t="str">
        <f t="shared" si="5"/>
        <v/>
      </c>
      <c r="AP23" s="23" t="str">
        <f t="shared" si="5"/>
        <v/>
      </c>
      <c r="AQ23" s="23" t="str">
        <f t="shared" si="5"/>
        <v/>
      </c>
      <c r="AR23" s="23" t="str">
        <f t="shared" si="6"/>
        <v/>
      </c>
      <c r="AS23" s="23" t="str">
        <f t="shared" si="6"/>
        <v/>
      </c>
      <c r="AT23" s="23" t="str">
        <f t="shared" si="6"/>
        <v/>
      </c>
      <c r="AU23" s="23" t="str">
        <f t="shared" si="6"/>
        <v/>
      </c>
      <c r="AV23" s="23" t="str">
        <f t="shared" si="6"/>
        <v/>
      </c>
      <c r="AW23" s="23" t="str">
        <f t="shared" si="6"/>
        <v/>
      </c>
      <c r="AX23" s="23" t="str">
        <f t="shared" si="6"/>
        <v/>
      </c>
      <c r="AY23" s="23" t="str">
        <f t="shared" si="6"/>
        <v/>
      </c>
      <c r="AZ23" s="23" t="str">
        <f t="shared" si="6"/>
        <v/>
      </c>
      <c r="BA23" s="23" t="str">
        <f t="shared" si="6"/>
        <v/>
      </c>
      <c r="BB23" s="23" t="str">
        <f t="shared" si="6"/>
        <v/>
      </c>
      <c r="BC23" s="23" t="str">
        <f t="shared" si="6"/>
        <v/>
      </c>
      <c r="BD23" s="23" t="str">
        <f t="shared" si="6"/>
        <v/>
      </c>
      <c r="BE23" s="23" t="str">
        <f t="shared" si="6"/>
        <v/>
      </c>
      <c r="BF23" s="23" t="str">
        <f t="shared" si="6"/>
        <v/>
      </c>
      <c r="BG23" s="37"/>
    </row>
    <row r="24" spans="1:59">
      <c r="A24" s="13"/>
      <c r="B24" s="21" t="str">
        <f t="shared" si="7"/>
        <v/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22" t="str">
        <f t="shared" si="4"/>
        <v/>
      </c>
      <c r="AD24" s="13"/>
      <c r="AE24" s="13"/>
      <c r="AF24" s="20" t="str">
        <f t="shared" si="8"/>
        <v/>
      </c>
      <c r="AG24" s="61"/>
      <c r="AH24" s="23" t="str">
        <f t="shared" si="5"/>
        <v/>
      </c>
      <c r="AI24" s="23" t="str">
        <f t="shared" si="5"/>
        <v/>
      </c>
      <c r="AJ24" s="23" t="str">
        <f t="shared" si="5"/>
        <v/>
      </c>
      <c r="AK24" s="23" t="str">
        <f t="shared" si="5"/>
        <v/>
      </c>
      <c r="AL24" s="23" t="str">
        <f t="shared" si="5"/>
        <v/>
      </c>
      <c r="AM24" s="23" t="str">
        <f t="shared" si="5"/>
        <v/>
      </c>
      <c r="AN24" s="23" t="str">
        <f t="shared" si="5"/>
        <v/>
      </c>
      <c r="AO24" s="23" t="str">
        <f t="shared" si="5"/>
        <v/>
      </c>
      <c r="AP24" s="23" t="str">
        <f t="shared" si="5"/>
        <v/>
      </c>
      <c r="AQ24" s="23" t="str">
        <f t="shared" si="5"/>
        <v/>
      </c>
      <c r="AR24" s="23" t="str">
        <f t="shared" si="6"/>
        <v/>
      </c>
      <c r="AS24" s="23" t="str">
        <f t="shared" si="6"/>
        <v/>
      </c>
      <c r="AT24" s="23" t="str">
        <f t="shared" si="6"/>
        <v/>
      </c>
      <c r="AU24" s="23" t="str">
        <f t="shared" si="6"/>
        <v/>
      </c>
      <c r="AV24" s="23" t="str">
        <f t="shared" si="6"/>
        <v/>
      </c>
      <c r="AW24" s="23" t="str">
        <f t="shared" si="6"/>
        <v/>
      </c>
      <c r="AX24" s="23" t="str">
        <f t="shared" si="6"/>
        <v/>
      </c>
      <c r="AY24" s="23" t="str">
        <f t="shared" si="6"/>
        <v/>
      </c>
      <c r="AZ24" s="23" t="str">
        <f t="shared" si="6"/>
        <v/>
      </c>
      <c r="BA24" s="23" t="str">
        <f t="shared" si="6"/>
        <v/>
      </c>
      <c r="BB24" s="23" t="str">
        <f t="shared" si="6"/>
        <v/>
      </c>
      <c r="BC24" s="23" t="str">
        <f t="shared" si="6"/>
        <v/>
      </c>
      <c r="BD24" s="23" t="str">
        <f t="shared" si="6"/>
        <v/>
      </c>
      <c r="BE24" s="23" t="str">
        <f t="shared" si="6"/>
        <v/>
      </c>
      <c r="BF24" s="23" t="str">
        <f t="shared" si="6"/>
        <v/>
      </c>
      <c r="BG24" s="37"/>
    </row>
    <row r="25" spans="1:59" s="42" customFormat="1" ht="15.75" thickBot="1">
      <c r="A25" s="24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0" t="s">
        <v>591</v>
      </c>
      <c r="AB25" s="70"/>
      <c r="AC25" s="25">
        <f>SUM(AC10:AC24)</f>
        <v>1730</v>
      </c>
      <c r="AD25" s="70" t="s">
        <v>599</v>
      </c>
      <c r="AE25" s="70"/>
      <c r="AF25" s="25">
        <f>SUM(AF10:AF24)</f>
        <v>1918.8923611111111</v>
      </c>
      <c r="AG25" s="2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8"/>
      <c r="BG25" s="41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</protectedRanges>
  <mergeCells count="31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AH6:BF9"/>
    <mergeCell ref="A1:AF1"/>
    <mergeCell ref="AH1:AK1"/>
    <mergeCell ref="B2:E2"/>
    <mergeCell ref="G2:J2"/>
    <mergeCell ref="K2:L2"/>
    <mergeCell ref="M2:AA2"/>
  </mergeCells>
  <phoneticPr fontId="15" type="noConversion"/>
  <conditionalFormatting sqref="AE6:AF6 AC7">
    <cfRule type="cellIs" dxfId="7" priority="5" operator="lessThanOrEqual">
      <formula>0</formula>
    </cfRule>
  </conditionalFormatting>
  <conditionalFormatting sqref="AF10:AF25 AC10:AC25 B10:B24 AB6 AE5:AF5 C7:AB7 C3:AA3 AH10:BF24 AH5:BF5">
    <cfRule type="notContainsBlanks" dxfId="6" priority="6">
      <formula>LEN(TRIM(B3))&gt;0</formula>
    </cfRule>
  </conditionalFormatting>
  <conditionalFormatting sqref="AE6:AF6">
    <cfRule type="cellIs" dxfId="5" priority="3" operator="greaterThanOrEqual">
      <formula>20</formula>
    </cfRule>
    <cfRule type="cellIs" dxfId="4" priority="4" operator="greaterThanOrEqual">
      <formula>1</formula>
    </cfRule>
  </conditionalFormatting>
  <conditionalFormatting sqref="AE7 AH1 A10:A24 AD10:AE24 C5:AA6 C10:AB24 B2:B5 G2 AE4">
    <cfRule type="containsBlanks" dxfId="3" priority="7">
      <formula>LEN(TRIM(A1))=0</formula>
    </cfRule>
    <cfRule type="notContainsBlanks" dxfId="2" priority="8">
      <formula>LEN(TRIM(A1))&gt;0</formula>
    </cfRule>
  </conditionalFormatting>
  <conditionalFormatting sqref="M2">
    <cfRule type="containsBlanks" dxfId="1" priority="1">
      <formula>LEN(TRIM(M2))=0</formula>
    </cfRule>
    <cfRule type="notContainsBlanks" dxfId="0" priority="2">
      <formula>LEN(TRIM(M2))&gt;0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B26" sqref="B26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Example</vt:lpstr>
      <vt:lpstr>公式转换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ShrekChen陳奕瑄7503</dc:creator>
  <cp:lastModifiedBy>ShrekChen陳奕瑄7503</cp:lastModifiedBy>
  <cp:lastPrinted>2024-02-22T02:24:19Z</cp:lastPrinted>
  <dcterms:created xsi:type="dcterms:W3CDTF">1996-12-17T01:32:42Z</dcterms:created>
  <dcterms:modified xsi:type="dcterms:W3CDTF">2024-06-06T01:23:38Z</dcterms:modified>
</cp:coreProperties>
</file>