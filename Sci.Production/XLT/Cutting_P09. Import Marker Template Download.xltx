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8" r:id="rId2"/>
    <sheet name="公式转换" sheetId="43" state="hidden" r:id="rId3"/>
    <sheet name="Notice" sheetId="59" r:id="rId4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Y22" i="58" l="1"/>
  <c r="AX22" i="58"/>
  <c r="AW22" i="58"/>
  <c r="AV22" i="58"/>
  <c r="AU22" i="58"/>
  <c r="AT22" i="58"/>
  <c r="AS22" i="58"/>
  <c r="AR22" i="58"/>
  <c r="AQ22" i="58"/>
  <c r="AP22" i="58"/>
  <c r="AO22" i="58"/>
  <c r="AN22" i="58"/>
  <c r="AM22" i="58"/>
  <c r="AL22" i="58"/>
  <c r="AK22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AM19" i="58"/>
  <c r="AL19" i="58"/>
  <c r="AK19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AM18" i="58"/>
  <c r="AL18" i="58"/>
  <c r="AK18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AM17" i="58"/>
  <c r="AL17" i="58"/>
  <c r="AK17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AM16" i="58"/>
  <c r="AL16" i="58"/>
  <c r="AK16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AM15" i="58"/>
  <c r="AL15" i="58"/>
  <c r="AK15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Y12" i="58"/>
  <c r="AX12" i="58"/>
  <c r="AW12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Y11" i="58"/>
  <c r="AX11" i="58"/>
  <c r="AW11" i="58"/>
  <c r="AV11" i="58"/>
  <c r="AU11" i="58"/>
  <c r="AT11" i="58"/>
  <c r="AS11" i="58"/>
  <c r="AR11" i="58"/>
  <c r="AQ11" i="58"/>
  <c r="AP11" i="58"/>
  <c r="AO11" i="58"/>
  <c r="AN11" i="58"/>
  <c r="AM11" i="58"/>
  <c r="AL11" i="58"/>
  <c r="AK11" i="58"/>
  <c r="AY10" i="58"/>
  <c r="AX10" i="58"/>
  <c r="AW10" i="58"/>
  <c r="AV10" i="58"/>
  <c r="AU10" i="58"/>
  <c r="AT10" i="58"/>
  <c r="AS10" i="58"/>
  <c r="AR10" i="58"/>
  <c r="AQ10" i="58"/>
  <c r="AP10" i="58"/>
  <c r="AO10" i="58"/>
  <c r="AN10" i="58"/>
  <c r="AM10" i="58"/>
  <c r="AL10" i="58"/>
  <c r="AK10" i="58"/>
  <c r="AY9" i="58"/>
  <c r="AX9" i="58"/>
  <c r="AW9" i="58"/>
  <c r="AV9" i="58"/>
  <c r="AU9" i="58"/>
  <c r="AT9" i="58"/>
  <c r="AS9" i="58"/>
  <c r="AR9" i="58"/>
  <c r="AQ9" i="58"/>
  <c r="AP9" i="58"/>
  <c r="AO9" i="58"/>
  <c r="AN9" i="58"/>
  <c r="AM9" i="58"/>
  <c r="AL9" i="58"/>
  <c r="AK9" i="58"/>
  <c r="AY8" i="58"/>
  <c r="AX8" i="58"/>
  <c r="AW8" i="58"/>
  <c r="AV8" i="58"/>
  <c r="AU8" i="58"/>
  <c r="AT8" i="58"/>
  <c r="AS8" i="58"/>
  <c r="AR8" i="58"/>
  <c r="AQ8" i="58"/>
  <c r="AP8" i="58"/>
  <c r="AO8" i="58"/>
  <c r="AN8" i="58"/>
  <c r="AM8" i="58"/>
  <c r="AL8" i="58"/>
  <c r="AK8" i="58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Y23" i="56"/>
  <c r="AX23" i="56"/>
  <c r="AW23" i="56"/>
  <c r="AV23" i="56"/>
  <c r="AU23" i="56"/>
  <c r="AT23" i="56"/>
  <c r="AS23" i="56"/>
  <c r="AR23" i="56"/>
  <c r="AQ23" i="56"/>
  <c r="AP23" i="56"/>
  <c r="AO23" i="56"/>
  <c r="AN23" i="56"/>
  <c r="AM23" i="56"/>
  <c r="AL23" i="56"/>
  <c r="AK23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Y17" i="56"/>
  <c r="AX17" i="56"/>
  <c r="AW17" i="56"/>
  <c r="AV17" i="56"/>
  <c r="AU17" i="56"/>
  <c r="AT17" i="56"/>
  <c r="AS17" i="56"/>
  <c r="AR17" i="56"/>
  <c r="AQ17" i="56"/>
  <c r="AP17" i="56"/>
  <c r="AO17" i="56"/>
  <c r="AN17" i="56"/>
  <c r="AM17" i="56"/>
  <c r="AL17" i="56"/>
  <c r="AK17" i="56"/>
  <c r="AY16" i="56"/>
  <c r="AX16" i="56"/>
  <c r="AW16" i="56"/>
  <c r="AV16" i="56"/>
  <c r="AU16" i="56"/>
  <c r="AT16" i="56"/>
  <c r="AS16" i="56"/>
  <c r="AR16" i="56"/>
  <c r="AQ16" i="56"/>
  <c r="AP16" i="56"/>
  <c r="AO16" i="56"/>
  <c r="AN16" i="56"/>
  <c r="AM16" i="56"/>
  <c r="AL16" i="56"/>
  <c r="AK16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Y14" i="56"/>
  <c r="AX14" i="56"/>
  <c r="AW14" i="56"/>
  <c r="AV14" i="56"/>
  <c r="AU14" i="56"/>
  <c r="AT14" i="56"/>
  <c r="AS14" i="56"/>
  <c r="AR14" i="56"/>
  <c r="AQ14" i="56"/>
  <c r="AP14" i="56"/>
  <c r="AO14" i="56"/>
  <c r="AN14" i="56"/>
  <c r="AM14" i="56"/>
  <c r="AL14" i="56"/>
  <c r="AK14" i="56"/>
  <c r="AY13" i="56"/>
  <c r="AX13" i="56"/>
  <c r="AW13" i="56"/>
  <c r="AV13" i="56"/>
  <c r="AU13" i="56"/>
  <c r="AT13" i="56"/>
  <c r="AS13" i="56"/>
  <c r="AR13" i="56"/>
  <c r="AQ13" i="56"/>
  <c r="AP13" i="56"/>
  <c r="AO13" i="56"/>
  <c r="AN13" i="56"/>
  <c r="AM13" i="56"/>
  <c r="AL13" i="56"/>
  <c r="AK13" i="56"/>
  <c r="AY12" i="56"/>
  <c r="AX12" i="56"/>
  <c r="AW12" i="56"/>
  <c r="AV12" i="56"/>
  <c r="AU12" i="56"/>
  <c r="AT12" i="56"/>
  <c r="AS12" i="56"/>
  <c r="AR12" i="56"/>
  <c r="AQ12" i="56"/>
  <c r="AP12" i="56"/>
  <c r="AO12" i="56"/>
  <c r="AN12" i="56"/>
  <c r="AM12" i="56"/>
  <c r="AL12" i="56"/>
  <c r="AK12" i="56"/>
  <c r="AY11" i="56"/>
  <c r="AX11" i="56"/>
  <c r="AW11" i="56"/>
  <c r="AV11" i="56"/>
  <c r="AU11" i="56"/>
  <c r="AT11" i="56"/>
  <c r="AS11" i="56"/>
  <c r="AR11" i="56"/>
  <c r="AQ11" i="56"/>
  <c r="AP11" i="56"/>
  <c r="AO11" i="56"/>
  <c r="AN11" i="56"/>
  <c r="AM11" i="56"/>
  <c r="AL11" i="56"/>
  <c r="AK11" i="56"/>
  <c r="AY10" i="56"/>
  <c r="AX10" i="56"/>
  <c r="AW10" i="56"/>
  <c r="AV10" i="56"/>
  <c r="AU10" i="56"/>
  <c r="AT10" i="56"/>
  <c r="AS10" i="56"/>
  <c r="AR10" i="56"/>
  <c r="AQ10" i="56"/>
  <c r="AP10" i="56"/>
  <c r="AO10" i="56"/>
  <c r="AN10" i="56"/>
  <c r="AM10" i="56"/>
  <c r="AL10" i="56"/>
  <c r="AK10" i="56"/>
  <c r="BI22" i="58" l="1"/>
  <c r="BH22" i="58"/>
  <c r="BG22" i="58"/>
  <c r="BF22" i="58"/>
  <c r="BE22" i="58"/>
  <c r="BD22" i="58"/>
  <c r="BC22" i="58"/>
  <c r="BB22" i="58"/>
  <c r="BA22" i="58"/>
  <c r="AZ22" i="58"/>
  <c r="AI22" i="58"/>
  <c r="AE22" i="58"/>
  <c r="BI21" i="58"/>
  <c r="BH21" i="58"/>
  <c r="BG21" i="58"/>
  <c r="BF21" i="58"/>
  <c r="BE21" i="58"/>
  <c r="BD21" i="58"/>
  <c r="BC21" i="58"/>
  <c r="BB21" i="58"/>
  <c r="BA21" i="58"/>
  <c r="AZ21" i="58"/>
  <c r="AI21" i="58"/>
  <c r="AE21" i="58"/>
  <c r="BI20" i="58"/>
  <c r="BH20" i="58"/>
  <c r="BG20" i="58"/>
  <c r="BF20" i="58"/>
  <c r="BE20" i="58"/>
  <c r="BD20" i="58"/>
  <c r="BC20" i="58"/>
  <c r="BB20" i="58"/>
  <c r="BA20" i="58"/>
  <c r="AZ20" i="58"/>
  <c r="AI20" i="58"/>
  <c r="AE20" i="58"/>
  <c r="BI19" i="58"/>
  <c r="BH19" i="58"/>
  <c r="BG19" i="58"/>
  <c r="BF19" i="58"/>
  <c r="BE19" i="58"/>
  <c r="BD19" i="58"/>
  <c r="BC19" i="58"/>
  <c r="BB19" i="58"/>
  <c r="BA19" i="58"/>
  <c r="AZ19" i="58"/>
  <c r="AI19" i="58"/>
  <c r="AE19" i="58"/>
  <c r="BI18" i="58"/>
  <c r="BH18" i="58"/>
  <c r="BG18" i="58"/>
  <c r="BF18" i="58"/>
  <c r="BE18" i="58"/>
  <c r="BD18" i="58"/>
  <c r="BC18" i="58"/>
  <c r="BB18" i="58"/>
  <c r="BA18" i="58"/>
  <c r="AZ18" i="58"/>
  <c r="AI18" i="58"/>
  <c r="AE18" i="58"/>
  <c r="BI17" i="58"/>
  <c r="BH17" i="58"/>
  <c r="BG17" i="58"/>
  <c r="BF17" i="58"/>
  <c r="BE17" i="58"/>
  <c r="BD17" i="58"/>
  <c r="BC17" i="58"/>
  <c r="BB17" i="58"/>
  <c r="BA17" i="58"/>
  <c r="AZ17" i="58"/>
  <c r="AI17" i="58"/>
  <c r="AE17" i="58"/>
  <c r="BI16" i="58"/>
  <c r="BH16" i="58"/>
  <c r="BG16" i="58"/>
  <c r="BF16" i="58"/>
  <c r="BE16" i="58"/>
  <c r="BD16" i="58"/>
  <c r="BC16" i="58"/>
  <c r="BB16" i="58"/>
  <c r="BA16" i="58"/>
  <c r="AZ16" i="58"/>
  <c r="AI16" i="58"/>
  <c r="AE16" i="58"/>
  <c r="BI15" i="58"/>
  <c r="BH15" i="58"/>
  <c r="BG15" i="58"/>
  <c r="BF15" i="58"/>
  <c r="BE15" i="58"/>
  <c r="BD15" i="58"/>
  <c r="BC15" i="58"/>
  <c r="BB15" i="58"/>
  <c r="BA15" i="58"/>
  <c r="AZ15" i="58"/>
  <c r="AI15" i="58"/>
  <c r="AE15" i="58"/>
  <c r="BI14" i="58"/>
  <c r="BH14" i="58"/>
  <c r="BG14" i="58"/>
  <c r="BF14" i="58"/>
  <c r="BE14" i="58"/>
  <c r="BD14" i="58"/>
  <c r="BC14" i="58"/>
  <c r="BB14" i="58"/>
  <c r="BA14" i="58"/>
  <c r="AZ14" i="58"/>
  <c r="AI14" i="58"/>
  <c r="AE14" i="58"/>
  <c r="BI13" i="58"/>
  <c r="BH13" i="58"/>
  <c r="BG13" i="58"/>
  <c r="BF13" i="58"/>
  <c r="BE13" i="58"/>
  <c r="BD13" i="58"/>
  <c r="BC13" i="58"/>
  <c r="BB13" i="58"/>
  <c r="BA13" i="58"/>
  <c r="AZ13" i="58"/>
  <c r="AI13" i="58"/>
  <c r="AE13" i="58"/>
  <c r="BI12" i="58"/>
  <c r="BH12" i="58"/>
  <c r="BG12" i="58"/>
  <c r="BF12" i="58"/>
  <c r="BE12" i="58"/>
  <c r="BD12" i="58"/>
  <c r="BC12" i="58"/>
  <c r="BB12" i="58"/>
  <c r="BA12" i="58"/>
  <c r="AZ12" i="58"/>
  <c r="AI12" i="58"/>
  <c r="AE12" i="58"/>
  <c r="BI11" i="58"/>
  <c r="BH11" i="58"/>
  <c r="BG11" i="58"/>
  <c r="BF11" i="58"/>
  <c r="BE11" i="58"/>
  <c r="BD11" i="58"/>
  <c r="BC11" i="58"/>
  <c r="BB11" i="58"/>
  <c r="BA11" i="58"/>
  <c r="AZ11" i="58"/>
  <c r="AI11" i="58"/>
  <c r="AE11" i="58"/>
  <c r="BI10" i="58"/>
  <c r="BH10" i="58"/>
  <c r="BG10" i="58"/>
  <c r="BF10" i="58"/>
  <c r="BE10" i="58"/>
  <c r="BD10" i="58"/>
  <c r="BC10" i="58"/>
  <c r="BB10" i="58"/>
  <c r="BA10" i="58"/>
  <c r="AI10" i="58"/>
  <c r="AE10" i="58"/>
  <c r="BI9" i="58"/>
  <c r="BH9" i="58"/>
  <c r="BG9" i="58"/>
  <c r="BF9" i="58"/>
  <c r="BE9" i="58"/>
  <c r="BD9" i="58"/>
  <c r="BC9" i="58"/>
  <c r="BB9" i="58"/>
  <c r="BA9" i="58"/>
  <c r="AZ9" i="58"/>
  <c r="AI9" i="58"/>
  <c r="AE9" i="58"/>
  <c r="BI8" i="58"/>
  <c r="BH8" i="58"/>
  <c r="BG8" i="58"/>
  <c r="BF8" i="58"/>
  <c r="BE8" i="58"/>
  <c r="BD8" i="58"/>
  <c r="BC8" i="58"/>
  <c r="BB8" i="58"/>
  <c r="BA8" i="58"/>
  <c r="AZ8" i="58"/>
  <c r="AI8" i="58"/>
  <c r="AE8" i="58"/>
  <c r="AC5" i="58"/>
  <c r="AB5" i="58"/>
  <c r="AA5" i="58"/>
  <c r="Z5" i="58"/>
  <c r="Y5" i="58"/>
  <c r="X5" i="58"/>
  <c r="W5" i="58"/>
  <c r="V5" i="58"/>
  <c r="U5" i="58"/>
  <c r="T5" i="58"/>
  <c r="AZ10" i="58" s="1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AD4" i="58"/>
  <c r="BI3" i="58"/>
  <c r="BH3" i="58"/>
  <c r="BG3" i="58"/>
  <c r="BF3" i="58"/>
  <c r="BE3" i="58"/>
  <c r="BD3" i="58"/>
  <c r="BC3" i="58"/>
  <c r="BB3" i="58"/>
  <c r="BA3" i="58"/>
  <c r="AZ3" i="58"/>
  <c r="AY3" i="58"/>
  <c r="AX3" i="58"/>
  <c r="AW3" i="58"/>
  <c r="AV3" i="58"/>
  <c r="AU3" i="58"/>
  <c r="AT3" i="58"/>
  <c r="AS3" i="58"/>
  <c r="AR3" i="58"/>
  <c r="AQ3" i="58"/>
  <c r="AP3" i="58"/>
  <c r="AO3" i="58"/>
  <c r="AN3" i="58"/>
  <c r="AM3" i="58"/>
  <c r="AL3" i="58"/>
  <c r="AK3" i="58"/>
  <c r="AI23" i="58" l="1"/>
  <c r="AD5" i="58"/>
  <c r="AE23" i="58"/>
  <c r="AG3" i="58"/>
  <c r="AG4" i="58" s="1"/>
  <c r="AE4" i="58" s="1"/>
  <c r="BI24" i="56"/>
  <c r="BH24" i="56"/>
  <c r="BG24" i="56"/>
  <c r="BF24" i="56"/>
  <c r="BE24" i="56"/>
  <c r="BD24" i="56"/>
  <c r="BC24" i="56"/>
  <c r="BB24" i="56"/>
  <c r="BA24" i="56"/>
  <c r="AZ24" i="56"/>
  <c r="AI24" i="56"/>
  <c r="AE24" i="56"/>
  <c r="BI23" i="56"/>
  <c r="BH23" i="56"/>
  <c r="BG23" i="56"/>
  <c r="BF23" i="56"/>
  <c r="BE23" i="56"/>
  <c r="BD23" i="56"/>
  <c r="BC23" i="56"/>
  <c r="BB23" i="56"/>
  <c r="BA23" i="56"/>
  <c r="AZ23" i="56"/>
  <c r="AI23" i="56"/>
  <c r="AE23" i="56"/>
  <c r="BI22" i="56"/>
  <c r="BH22" i="56"/>
  <c r="BG22" i="56"/>
  <c r="BF22" i="56"/>
  <c r="BE22" i="56"/>
  <c r="BD22" i="56"/>
  <c r="BC22" i="56"/>
  <c r="BB22" i="56"/>
  <c r="BA22" i="56"/>
  <c r="AZ22" i="56"/>
  <c r="AI22" i="56"/>
  <c r="AE22" i="56"/>
  <c r="BI21" i="56"/>
  <c r="BH21" i="56"/>
  <c r="BG21" i="56"/>
  <c r="BF21" i="56"/>
  <c r="BE21" i="56"/>
  <c r="BD21" i="56"/>
  <c r="BC21" i="56"/>
  <c r="BB21" i="56"/>
  <c r="BA21" i="56"/>
  <c r="AZ21" i="56"/>
  <c r="AI21" i="56"/>
  <c r="AE21" i="56"/>
  <c r="BI20" i="56"/>
  <c r="BH20" i="56"/>
  <c r="BG20" i="56"/>
  <c r="BF20" i="56"/>
  <c r="BE20" i="56"/>
  <c r="BD20" i="56"/>
  <c r="BC20" i="56"/>
  <c r="BB20" i="56"/>
  <c r="BA20" i="56"/>
  <c r="AZ20" i="56"/>
  <c r="AI20" i="56"/>
  <c r="AE20" i="56"/>
  <c r="BI19" i="56"/>
  <c r="BH19" i="56"/>
  <c r="BG19" i="56"/>
  <c r="BF19" i="56"/>
  <c r="BE19" i="56"/>
  <c r="BD19" i="56"/>
  <c r="BC19" i="56"/>
  <c r="BB19" i="56"/>
  <c r="BA19" i="56"/>
  <c r="AZ19" i="56"/>
  <c r="AI19" i="56"/>
  <c r="AE19" i="56"/>
  <c r="BI18" i="56"/>
  <c r="BH18" i="56"/>
  <c r="BG18" i="56"/>
  <c r="BF18" i="56"/>
  <c r="BE18" i="56"/>
  <c r="BD18" i="56"/>
  <c r="BC18" i="56"/>
  <c r="BB18" i="56"/>
  <c r="BA18" i="56"/>
  <c r="AZ18" i="56"/>
  <c r="AI18" i="56"/>
  <c r="AE18" i="56"/>
  <c r="BI17" i="56"/>
  <c r="BH17" i="56"/>
  <c r="BG17" i="56"/>
  <c r="BF17" i="56"/>
  <c r="BE17" i="56"/>
  <c r="BD17" i="56"/>
  <c r="BC17" i="56"/>
  <c r="BB17" i="56"/>
  <c r="BA17" i="56"/>
  <c r="AZ17" i="56"/>
  <c r="AI17" i="56"/>
  <c r="AE17" i="56"/>
  <c r="BI16" i="56"/>
  <c r="BH16" i="56"/>
  <c r="BG16" i="56"/>
  <c r="BF16" i="56"/>
  <c r="BE16" i="56"/>
  <c r="BD16" i="56"/>
  <c r="BC16" i="56"/>
  <c r="BB16" i="56"/>
  <c r="BA16" i="56"/>
  <c r="AZ16" i="56"/>
  <c r="AI16" i="56"/>
  <c r="AE16" i="56"/>
  <c r="BI15" i="56"/>
  <c r="BH15" i="56"/>
  <c r="BG15" i="56"/>
  <c r="BF15" i="56"/>
  <c r="BE15" i="56"/>
  <c r="BD15" i="56"/>
  <c r="BC15" i="56"/>
  <c r="BB15" i="56"/>
  <c r="BA15" i="56"/>
  <c r="AZ15" i="56"/>
  <c r="AI15" i="56"/>
  <c r="AE15" i="56"/>
  <c r="BI14" i="56"/>
  <c r="BH14" i="56"/>
  <c r="BG14" i="56"/>
  <c r="BF14" i="56"/>
  <c r="BE14" i="56"/>
  <c r="BD14" i="56"/>
  <c r="BC14" i="56"/>
  <c r="BB14" i="56"/>
  <c r="BA14" i="56"/>
  <c r="AZ14" i="56"/>
  <c r="AI14" i="56"/>
  <c r="AE14" i="56"/>
  <c r="BI13" i="56"/>
  <c r="BH13" i="56"/>
  <c r="BG13" i="56"/>
  <c r="BF13" i="56"/>
  <c r="BE13" i="56"/>
  <c r="BD13" i="56"/>
  <c r="BC13" i="56"/>
  <c r="BB13" i="56"/>
  <c r="BA13" i="56"/>
  <c r="AZ13" i="56"/>
  <c r="AI13" i="56"/>
  <c r="AE13" i="56"/>
  <c r="BI12" i="56"/>
  <c r="BH12" i="56"/>
  <c r="BG12" i="56"/>
  <c r="BF12" i="56"/>
  <c r="BE12" i="56"/>
  <c r="BD12" i="56"/>
  <c r="BC12" i="56"/>
  <c r="BB12" i="56"/>
  <c r="BA12" i="56"/>
  <c r="AI12" i="56"/>
  <c r="AE12" i="56"/>
  <c r="BI11" i="56"/>
  <c r="BH11" i="56"/>
  <c r="BG11" i="56"/>
  <c r="BF11" i="56"/>
  <c r="BE11" i="56"/>
  <c r="BC11" i="56"/>
  <c r="BB11" i="56"/>
  <c r="BA11" i="56"/>
  <c r="AI11" i="56"/>
  <c r="AE11" i="56"/>
  <c r="BI10" i="56"/>
  <c r="BH10" i="56"/>
  <c r="BG10" i="56"/>
  <c r="BF10" i="56"/>
  <c r="BE10" i="56"/>
  <c r="BD10" i="56"/>
  <c r="BC10" i="56"/>
  <c r="BB10" i="56"/>
  <c r="BA10" i="56"/>
  <c r="AZ10" i="56"/>
  <c r="AI10" i="56"/>
  <c r="AE10" i="56"/>
  <c r="AC7" i="56"/>
  <c r="AB7" i="56"/>
  <c r="AA7" i="56"/>
  <c r="Z7" i="56"/>
  <c r="Y7" i="56"/>
  <c r="X7" i="56"/>
  <c r="BD11" i="56" s="1"/>
  <c r="W7" i="56"/>
  <c r="V7" i="56"/>
  <c r="U7" i="56"/>
  <c r="T7" i="56"/>
  <c r="AZ11" i="56" s="1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AD6" i="56"/>
  <c r="BI5" i="56"/>
  <c r="BH5" i="56"/>
  <c r="BG5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Z12" i="56" l="1"/>
  <c r="AE25" i="56"/>
  <c r="AG5" i="56"/>
  <c r="AG6" i="56" s="1"/>
  <c r="AE6" i="56" s="1"/>
  <c r="AI25" i="56"/>
  <c r="AD7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<sst xmlns="http://schemas.openxmlformats.org/spreadsheetml/2006/main" count="641" uniqueCount="602">
  <si>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</si>
  <si>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</si>
  <si>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</si>
  <si>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</si>
  <si>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</si>
  <si>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</si>
  <si>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</si>
  <si>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</si>
  <si>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</si>
  <si>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</si>
  <si>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</si>
  <si>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</si>
  <si>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</si>
  <si>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</si>
  <si>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</si>
  <si>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</si>
  <si>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</si>
  <si>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</si>
  <si>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</si>
  <si>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</si>
  <si>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</si>
  <si>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</si>
  <si>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</si>
  <si>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</si>
  <si>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</si>
  <si>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</si>
  <si>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</si>
  <si>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</si>
  <si>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</si>
  <si>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</si>
  <si>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</si>
  <si>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</si>
  <si>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</si>
  <si>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</si>
  <si>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</si>
  <si>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</si>
  <si>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</si>
  <si>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</si>
  <si>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</si>
  <si>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</si>
  <si>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</si>
  <si>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</si>
  <si>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</si>
  <si>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</si>
  <si>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</si>
  <si>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</si>
  <si>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</si>
  <si>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</si>
  <si>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</si>
  <si>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</si>
  <si>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</si>
  <si>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</si>
  <si>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</si>
  <si>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</si>
  <si>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</si>
  <si>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</si>
  <si>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</si>
  <si>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</si>
  <si>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</si>
  <si>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</si>
  <si>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</si>
  <si>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</si>
  <si>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</si>
  <si>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</si>
  <si>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</si>
  <si>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</si>
  <si>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</si>
  <si>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</si>
  <si>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</si>
  <si>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</si>
  <si>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</si>
  <si>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</si>
  <si>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</si>
  <si>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</si>
  <si>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</si>
  <si>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</si>
  <si>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</si>
  <si>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</si>
  <si>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</si>
  <si>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</si>
  <si>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</si>
  <si>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</si>
  <si>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</si>
  <si>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</si>
  <si>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</si>
  <si>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</si>
  <si>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</si>
  <si>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</si>
  <si>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</si>
  <si>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</si>
  <si>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</si>
  <si>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</si>
  <si>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</si>
  <si>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</si>
  <si>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</si>
  <si>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</si>
  <si>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</si>
  <si>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</si>
  <si>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</si>
  <si>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</si>
  <si>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</si>
  <si>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</si>
  <si>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</si>
  <si>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</si>
  <si>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</si>
  <si>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</si>
  <si>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</si>
  <si>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</si>
  <si>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</si>
  <si>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</si>
  <si>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</si>
  <si>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</si>
  <si>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</si>
  <si>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</si>
  <si>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</si>
  <si>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</si>
  <si>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</si>
  <si>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</si>
  <si>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</si>
  <si>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</si>
  <si>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</si>
  <si>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</si>
  <si>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</si>
  <si>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</si>
  <si>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</si>
  <si>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</si>
  <si>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</si>
  <si>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</si>
  <si>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</si>
  <si>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</si>
  <si>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</si>
  <si>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</si>
  <si>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</si>
  <si>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</si>
  <si>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</si>
  <si>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</si>
  <si>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</si>
  <si>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</si>
  <si>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</si>
  <si>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</si>
  <si>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</si>
  <si>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</si>
  <si>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</si>
  <si>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</si>
  <si>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</si>
  <si>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</si>
  <si>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</si>
  <si>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</si>
  <si>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</si>
  <si>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</si>
  <si>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</si>
  <si>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</si>
  <si>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</si>
  <si>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</si>
  <si>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</si>
  <si>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</si>
  <si>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</si>
  <si>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</si>
  <si>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</si>
  <si>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</si>
  <si>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</si>
  <si>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</si>
  <si>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</si>
  <si>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</si>
  <si>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</si>
  <si>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</si>
  <si>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</si>
  <si>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</si>
  <si>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</si>
  <si>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</si>
  <si>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</si>
  <si>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</si>
  <si>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</si>
  <si>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</si>
  <si>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</si>
  <si>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</si>
  <si>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</si>
  <si>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</si>
  <si>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</si>
  <si>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</si>
  <si>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</si>
  <si>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</si>
  <si>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</si>
  <si>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</si>
  <si>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</si>
  <si>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</si>
  <si>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</si>
  <si>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</si>
  <si>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</si>
  <si>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</si>
  <si>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</si>
  <si>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</si>
  <si>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</si>
  <si>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</si>
  <si>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</si>
  <si>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</si>
  <si>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</si>
  <si>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</si>
  <si>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</si>
  <si>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</si>
  <si>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</si>
  <si>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</si>
  <si>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</si>
  <si>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</si>
  <si>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</si>
  <si>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</si>
  <si>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</si>
  <si>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</si>
  <si>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</si>
  <si>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</si>
  <si>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</si>
  <si>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</si>
  <si>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</si>
  <si>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</si>
  <si>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</si>
  <si>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</si>
  <si>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</si>
  <si>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</si>
  <si>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</si>
  <si>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</si>
  <si>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</si>
  <si>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</si>
  <si>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</si>
  <si>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</si>
  <si>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</si>
  <si>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</si>
  <si>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</si>
  <si>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</si>
  <si>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</si>
  <si>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</si>
  <si>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</si>
  <si>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</si>
  <si>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</si>
  <si>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</si>
  <si>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</si>
  <si>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</si>
  <si>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</si>
  <si>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</si>
  <si>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</si>
  <si>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</si>
  <si>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</si>
  <si>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</si>
  <si>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</si>
  <si>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</si>
  <si>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</si>
  <si>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</si>
  <si>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</si>
  <si>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</si>
  <si>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</si>
  <si>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</si>
  <si>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</si>
  <si>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</si>
  <si>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</si>
  <si>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</si>
  <si>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</si>
  <si>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</si>
  <si>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</si>
  <si>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</si>
  <si>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</si>
  <si>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</si>
  <si>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</si>
  <si>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</si>
  <si>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</si>
  <si>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</si>
  <si>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</si>
  <si>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</si>
  <si>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</si>
  <si>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</si>
  <si>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</si>
  <si>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</si>
  <si>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</si>
  <si>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</si>
  <si>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</si>
  <si>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</si>
  <si>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</si>
  <si>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</si>
  <si>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</si>
  <si>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</si>
  <si>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</si>
  <si>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</si>
  <si>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</si>
  <si>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</si>
  <si>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</si>
  <si>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</si>
  <si>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</si>
  <si>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</si>
  <si>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</si>
  <si>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</si>
  <si>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</si>
  <si>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</si>
  <si>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</si>
  <si>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</si>
  <si>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</si>
  <si>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</si>
  <si>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</si>
  <si>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</si>
  <si>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</si>
  <si>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</si>
  <si>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</si>
  <si>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</si>
  <si>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</si>
  <si>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</si>
  <si>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</si>
  <si>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</si>
  <si>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</si>
  <si>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</si>
  <si>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</si>
  <si>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</si>
  <si>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</si>
  <si>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</si>
  <si>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</si>
  <si>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</si>
  <si>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</si>
  <si>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</si>
  <si>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</si>
  <si>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</si>
  <si>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</si>
  <si>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</si>
  <si>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</si>
  <si>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</si>
  <si>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</si>
  <si>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</si>
  <si>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</si>
  <si>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</si>
  <si>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</si>
  <si>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</si>
  <si>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</si>
  <si>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</si>
  <si>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</si>
  <si>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</si>
  <si>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</si>
  <si>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</si>
  <si>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</si>
  <si>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</si>
  <si>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</si>
  <si>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</si>
  <si>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</si>
  <si>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</si>
  <si>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</si>
  <si>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</si>
  <si>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</si>
  <si>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</si>
  <si>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</si>
  <si>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</si>
  <si>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</si>
  <si>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</si>
  <si>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</si>
  <si>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</si>
  <si>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</si>
  <si>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</si>
  <si>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</si>
  <si>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</si>
  <si>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</si>
  <si>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</si>
  <si>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</si>
  <si>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</si>
  <si>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</si>
  <si>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</si>
  <si>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</si>
  <si>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</si>
  <si>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</si>
  <si>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</si>
  <si>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</si>
  <si>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</si>
  <si>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</si>
  <si>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</si>
  <si>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</si>
  <si>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</si>
  <si>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</si>
  <si>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</si>
  <si>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</si>
  <si>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</si>
  <si>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</si>
  <si>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</si>
  <si>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</si>
  <si>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</si>
  <si>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</si>
  <si>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</si>
  <si>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</si>
  <si>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</si>
  <si>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</si>
  <si>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</si>
  <si>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</si>
  <si>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</si>
  <si>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</si>
  <si>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</si>
  <si>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</si>
  <si>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</si>
  <si>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</si>
  <si>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</si>
  <si>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</si>
  <si>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</si>
  <si>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</si>
  <si>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</si>
  <si>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</si>
  <si>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</si>
  <si>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</si>
  <si>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</si>
  <si>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</si>
  <si>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</si>
  <si>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</si>
  <si>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</si>
  <si>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</si>
  <si>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</si>
  <si>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</si>
  <si>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</si>
  <si>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</si>
  <si>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</si>
  <si>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</si>
  <si>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</si>
  <si>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</si>
  <si>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</si>
  <si>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</si>
  <si>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</si>
  <si>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</si>
  <si>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</si>
  <si>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</si>
  <si>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</si>
  <si>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</si>
  <si>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</si>
  <si>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</si>
  <si>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</si>
  <si>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</si>
  <si>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</si>
  <si>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</si>
  <si>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</si>
  <si>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</si>
  <si>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</si>
  <si>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</si>
  <si>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</si>
  <si>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</si>
  <si>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</si>
  <si>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</si>
  <si>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</si>
  <si>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</si>
  <si>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</si>
  <si>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</si>
  <si>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</si>
  <si>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</si>
  <si>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</si>
  <si>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</si>
  <si>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</si>
  <si>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</si>
  <si>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</si>
  <si>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</si>
  <si>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</si>
  <si>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</si>
  <si>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</si>
  <si>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</si>
  <si>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</si>
  <si>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</si>
  <si>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</si>
  <si>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</si>
  <si>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</si>
  <si>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</si>
  <si>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</si>
  <si>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</si>
  <si>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</si>
  <si>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</si>
  <si>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</si>
  <si>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</si>
  <si>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</si>
  <si>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</si>
  <si>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</si>
  <si>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</si>
  <si>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</si>
  <si>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</si>
  <si>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</si>
  <si>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</si>
  <si>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</si>
  <si>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</si>
  <si>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</si>
  <si>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</si>
  <si>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</si>
  <si>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</si>
  <si>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</si>
  <si>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</si>
  <si>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</si>
  <si>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</si>
  <si>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</si>
  <si>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</si>
  <si>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</si>
  <si>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</si>
  <si>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</si>
  <si>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</si>
  <si>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</si>
  <si>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</si>
  <si>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</si>
  <si>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</si>
  <si>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</si>
  <si>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</si>
  <si>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</si>
  <si>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</si>
  <si>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</si>
  <si>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</si>
  <si>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</si>
  <si>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</si>
  <si>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</si>
  <si>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</si>
  <si>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</si>
  <si>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</si>
  <si>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</si>
  <si>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</si>
  <si>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</si>
  <si>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</si>
  <si>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</si>
  <si>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</si>
  <si>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</si>
  <si>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</si>
  <si>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</si>
  <si>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</si>
  <si>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</si>
  <si>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</si>
  <si>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</si>
  <si>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</si>
  <si>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</si>
  <si>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</si>
  <si>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</si>
  <si>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</si>
  <si>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</si>
  <si>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</si>
  <si>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</si>
  <si>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</si>
  <si>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</si>
  <si>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</si>
  <si>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</si>
  <si>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</si>
  <si>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</si>
  <si>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</si>
  <si>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</si>
  <si>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</si>
  <si>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</si>
  <si>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</si>
  <si>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</si>
  <si>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</si>
  <si>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</si>
  <si>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</si>
  <si>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</si>
  <si>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</si>
  <si>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</si>
  <si>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</si>
  <si>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</si>
  <si>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</si>
  <si>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</si>
  <si>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</si>
  <si>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</si>
  <si>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</si>
  <si>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</si>
  <si>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</si>
  <si>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</si>
  <si>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</si>
  <si>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</si>
  <si>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</si>
  <si>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</si>
  <si>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</si>
  <si>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</si>
  <si>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</si>
  <si>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</si>
  <si>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</si>
  <si>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</si>
  <si>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</si>
  <si>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</si>
  <si>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</si>
  <si>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</si>
  <si>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</si>
  <si>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</si>
  <si>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</si>
  <si>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</si>
  <si>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</si>
  <si>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</si>
  <si>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</si>
  <si>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</si>
  <si>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</si>
  <si>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</si>
  <si>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</si>
  <si>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</si>
  <si>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</si>
  <si>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</si>
  <si>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</si>
  <si>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</si>
  <si>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</si>
  <si>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</si>
  <si>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</si>
  <si>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</si>
  <si>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</si>
  <si>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</si>
  <si>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</si>
  <si>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</si>
  <si>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</si>
  <si>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</si>
  <si>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</si>
  <si>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</si>
  <si>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</si>
  <si>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</si>
  <si>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</si>
  <si>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</si>
  <si>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Seq/
Cut#</t>
    <phoneticPr fontId="15" type="noConversion"/>
  </si>
  <si>
    <t>Tone</t>
    <phoneticPr fontId="15" type="noConversion"/>
  </si>
  <si>
    <t>Fabric Width</t>
    <phoneticPr fontId="15" type="noConversion"/>
  </si>
  <si>
    <t>Marker Length</t>
    <phoneticPr fontId="15" type="noConversion"/>
  </si>
  <si>
    <t>Notes :</t>
  </si>
  <si>
    <t>1. Marker Length: If users enter both sides, the right-side Marker Length will take priority.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</si>
</sst>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yyyy/mm/dd"/>
    <numFmt numFmtId="181" formatCode="###"/>
  </numFmts>
  <fonts count="20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  <font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102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/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vertical="center"/>
    </xf>
    <xf numFmtId="0" fontId="14" fillId="0" borderId="3" xfId="0" applyFont="1" applyFill="1" applyBorder="1" applyAlignment="1" applyProtection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7" fillId="0" borderId="1" xfId="0" applyFont="1" applyFill="1" applyBorder="1" applyAlignment="1" applyProtection="1">
      <alignment horizontal="center" vertical="center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3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1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4" fillId="0" borderId="5" xfId="0" applyFont="1" applyFill="1" applyBorder="1" applyAlignment="1" applyProtection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0" fontId="14" fillId="0" borderId="20" xfId="0" applyFont="1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 shrinkToFit="1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32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J25"/>
  <sheetViews>
    <sheetView showGridLines="0" tabSelected="1" zoomScale="85" zoomScaleNormal="85" workbookViewId="0">
      <selection sqref="A1:AI1"/>
    </sheetView>
  </sheetViews>
  <sheetFormatPr defaultColWidth="8.75" defaultRowHeight="14.25"/>
  <cols>
    <col min="1" max="1" width="15" style="37" customWidth="1"/>
    <col min="2" max="3" width="10.625" style="37" customWidth="1"/>
    <col min="4" max="4" width="8.75" style="37"/>
    <col min="5" max="19" width="6.75" style="37" customWidth="1"/>
    <col min="20" max="29" width="6.75" style="37" hidden="1" customWidth="1"/>
    <col min="30" max="30" width="9.5" style="37" customWidth="1"/>
    <col min="31" max="31" width="10.25" style="37" customWidth="1"/>
    <col min="32" max="33" width="8.75" style="37"/>
    <col min="34" max="34" width="15" style="37" bestFit="1" customWidth="1"/>
    <col min="35" max="36" width="8.75" style="37"/>
    <col min="37" max="51" width="6.75" style="37" customWidth="1"/>
    <col min="52" max="61" width="6.75" style="37" hidden="1" customWidth="1"/>
    <col min="62" max="16384" width="8.75" style="37"/>
  </cols>
  <sheetData>
    <row r="1" spans="1:62" customFormat="1" ht="20.25">
      <c r="A1" s="52" t="s">
        <v>576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30" t="s">
        <v>1</v>
      </c>
      <c r="AK1" s="53"/>
      <c r="AL1" s="53"/>
      <c r="AM1" s="53"/>
      <c r="AN1" s="53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9"/>
      <c r="AZ1" s="9"/>
      <c r="BA1" s="9"/>
      <c r="BB1" s="9"/>
      <c r="BC1" s="9"/>
      <c r="BD1" s="9"/>
      <c r="BE1" s="9"/>
      <c r="BF1" s="9"/>
      <c r="BG1" s="9"/>
      <c r="BH1" s="9"/>
      <c r="BI1" s="34"/>
      <c r="BJ1" s="31"/>
    </row>
    <row r="2" spans="1:62" s="36" customFormat="1" ht="15.75" thickBot="1">
      <c r="A2" s="55" t="s">
        <v>6</v>
      </c>
      <c r="B2" s="100"/>
      <c r="C2" s="79"/>
      <c r="D2" s="54"/>
      <c r="E2" s="54"/>
      <c r="F2" s="54"/>
      <c r="G2" s="54"/>
      <c r="H2" s="25" t="s">
        <v>9</v>
      </c>
      <c r="I2" s="54"/>
      <c r="J2" s="54"/>
      <c r="K2" s="54"/>
      <c r="L2" s="54"/>
      <c r="M2" s="55"/>
      <c r="N2" s="56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33"/>
      <c r="BJ2" s="35"/>
    </row>
    <row r="3" spans="1:62" customFormat="1" ht="15">
      <c r="A3" s="62" t="s">
        <v>578</v>
      </c>
      <c r="B3" s="101"/>
      <c r="C3" s="83"/>
      <c r="D3" s="11"/>
      <c r="E3" s="62" t="s">
        <v>595</v>
      </c>
      <c r="F3" s="63"/>
      <c r="G3" s="64"/>
      <c r="H3" s="65"/>
      <c r="I3" s="66"/>
      <c r="J3" s="67"/>
      <c r="K3" s="62" t="s">
        <v>594</v>
      </c>
      <c r="L3" s="64"/>
      <c r="M3" s="47"/>
      <c r="N3" s="68"/>
      <c r="O3" s="62" t="s">
        <v>598</v>
      </c>
      <c r="P3" s="64"/>
      <c r="Q3" s="47"/>
      <c r="R3" s="48"/>
      <c r="S3" s="49"/>
      <c r="T3" s="42"/>
      <c r="U3" s="42"/>
      <c r="V3" s="42"/>
      <c r="W3" s="42"/>
      <c r="X3" s="42"/>
      <c r="Y3" s="42"/>
      <c r="Z3" s="42"/>
      <c r="AA3" s="42"/>
      <c r="AB3" s="42"/>
      <c r="AC3" s="43"/>
      <c r="AD3" s="87"/>
      <c r="AE3" s="87"/>
      <c r="AF3" s="87"/>
      <c r="AG3" s="87"/>
      <c r="AH3" s="87"/>
      <c r="AI3" s="87"/>
      <c r="AJ3" s="87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9"/>
      <c r="AY3" s="9"/>
      <c r="AZ3" s="9"/>
      <c r="BA3" s="9"/>
      <c r="BB3" s="9"/>
      <c r="BC3" s="9"/>
      <c r="BD3" s="9"/>
      <c r="BE3" s="9"/>
      <c r="BF3" s="9"/>
      <c r="BG3" s="9"/>
      <c r="BH3" s="9"/>
      <c r="BI3" s="34"/>
      <c r="BJ3" s="31"/>
    </row>
    <row r="4" spans="1:62" customFormat="1" ht="15">
      <c r="A4" s="57" t="s">
        <v>589</v>
      </c>
      <c r="B4" s="98"/>
      <c r="C4" s="84"/>
      <c r="D4" s="12"/>
      <c r="E4" s="60" t="s">
        <v>577</v>
      </c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70" t="s">
        <v>590</v>
      </c>
      <c r="AE4" s="60" t="s">
        <v>579</v>
      </c>
      <c r="AF4" s="60"/>
      <c r="AG4" s="71"/>
      <c r="AH4" s="71"/>
      <c r="AI4" s="72"/>
      <c r="AJ4" s="73"/>
      <c r="AK4" s="57" t="s">
        <v>577</v>
      </c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9"/>
      <c r="BJ4" s="31"/>
    </row>
    <row r="5" spans="1:62" customFormat="1" ht="15">
      <c r="A5" s="85" t="s">
        <v>7</v>
      </c>
      <c r="B5" s="99"/>
      <c r="C5" s="86"/>
      <c r="D5" s="12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70"/>
      <c r="AE5" s="60" t="s">
        <v>580</v>
      </c>
      <c r="AF5" s="60"/>
      <c r="AG5" s="61">
        <f>SUM(AI10:AI24)</f>
        <v>0</v>
      </c>
      <c r="AH5" s="61"/>
      <c r="AI5" s="61"/>
      <c r="AJ5" s="74"/>
      <c r="AK5" s="29" t="str">
        <f t="shared" ref="AK5:AT5" si="0">IF(E5="", "", E5)</f>
        <v/>
      </c>
      <c r="AL5" s="29" t="str">
        <f t="shared" si="0"/>
        <v/>
      </c>
      <c r="AM5" s="29" t="str">
        <f t="shared" si="0"/>
        <v/>
      </c>
      <c r="AN5" s="29" t="str">
        <f t="shared" si="0"/>
        <v/>
      </c>
      <c r="AO5" s="29" t="str">
        <f t="shared" si="0"/>
        <v/>
      </c>
      <c r="AP5" s="29" t="str">
        <f t="shared" si="0"/>
        <v/>
      </c>
      <c r="AQ5" s="29" t="str">
        <f t="shared" si="0"/>
        <v/>
      </c>
      <c r="AR5" s="29" t="str">
        <f t="shared" si="0"/>
        <v/>
      </c>
      <c r="AS5" s="29" t="str">
        <f t="shared" si="0"/>
        <v/>
      </c>
      <c r="AT5" s="29" t="str">
        <f t="shared" si="0"/>
        <v/>
      </c>
      <c r="AU5" s="29" t="str">
        <f t="shared" ref="AU5:AX5" si="1">IF(O5="", "", O5)</f>
        <v/>
      </c>
      <c r="AV5" s="29" t="str">
        <f t="shared" si="1"/>
        <v/>
      </c>
      <c r="AW5" s="29" t="str">
        <f t="shared" si="1"/>
        <v/>
      </c>
      <c r="AX5" s="29" t="str">
        <f t="shared" si="1"/>
        <v/>
      </c>
      <c r="AY5" s="29" t="str">
        <f>IF(S5="", "", S5)</f>
        <v/>
      </c>
      <c r="AZ5" s="29" t="str">
        <f t="shared" ref="AZ5:BI5" si="2">IF(T5="", "", T5)</f>
        <v/>
      </c>
      <c r="BA5" s="29" t="str">
        <f t="shared" si="2"/>
        <v/>
      </c>
      <c r="BB5" s="29" t="str">
        <f t="shared" si="2"/>
        <v/>
      </c>
      <c r="BC5" s="29" t="str">
        <f t="shared" si="2"/>
        <v/>
      </c>
      <c r="BD5" s="29" t="str">
        <f t="shared" si="2"/>
        <v/>
      </c>
      <c r="BE5" s="29" t="str">
        <f t="shared" si="2"/>
        <v/>
      </c>
      <c r="BF5" s="29" t="str">
        <f t="shared" si="2"/>
        <v/>
      </c>
      <c r="BG5" s="29" t="str">
        <f t="shared" si="2"/>
        <v/>
      </c>
      <c r="BH5" s="29" t="str">
        <f t="shared" si="2"/>
        <v/>
      </c>
      <c r="BI5" s="29" t="str">
        <f t="shared" si="2"/>
        <v/>
      </c>
      <c r="BJ5" s="31"/>
    </row>
    <row r="6" spans="1:62" customFormat="1" ht="15">
      <c r="A6" s="91" t="s">
        <v>581</v>
      </c>
      <c r="B6" s="91"/>
      <c r="C6" s="91"/>
      <c r="D6" s="9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18">
        <f>SUM(E6:AC6)</f>
        <v>0</v>
      </c>
      <c r="AE6" s="92" t="str">
        <f>IF(AG6&lt;5,"NO ",IF(AG6=5,"OK",IF(AG6&gt;5,"OK")))</f>
        <v xml:space="preserve">NO </v>
      </c>
      <c r="AF6" s="92"/>
      <c r="AG6" s="61">
        <f>AG4-AG5-AG7</f>
        <v>0</v>
      </c>
      <c r="AH6" s="61"/>
      <c r="AI6" s="61"/>
      <c r="AJ6" s="74"/>
      <c r="AK6" s="69" t="s">
        <v>593</v>
      </c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69"/>
      <c r="BH6" s="69"/>
      <c r="BI6" s="69"/>
      <c r="BJ6" s="31"/>
    </row>
    <row r="7" spans="1:62" customFormat="1" ht="15">
      <c r="A7" s="91" t="s">
        <v>588</v>
      </c>
      <c r="B7" s="91"/>
      <c r="C7" s="91"/>
      <c r="D7" s="91"/>
      <c r="E7" s="27" t="str">
        <f t="shared" ref="E7:AC7" si="3">IF(E5="","",E6-E10*$AD10-E11*$AD11-E12*$AD12-E13*$AD13-E14*$AD14-E15*$AD15-E16*$AD16-E17*$AD17-E18*$AD18-E19*$AD19-E20*$AD20-E21*$AD21-E22*$AD22-E23*$AD23-E24*$AD24)</f>
        <v/>
      </c>
      <c r="F7" s="27" t="str">
        <f t="shared" si="3"/>
        <v/>
      </c>
      <c r="G7" s="27" t="str">
        <f t="shared" si="3"/>
        <v/>
      </c>
      <c r="H7" s="27" t="str">
        <f t="shared" si="3"/>
        <v/>
      </c>
      <c r="I7" s="27" t="str">
        <f t="shared" si="3"/>
        <v/>
      </c>
      <c r="J7" s="27" t="str">
        <f t="shared" si="3"/>
        <v/>
      </c>
      <c r="K7" s="27" t="str">
        <f t="shared" si="3"/>
        <v/>
      </c>
      <c r="L7" s="27" t="str">
        <f t="shared" si="3"/>
        <v/>
      </c>
      <c r="M7" s="27" t="str">
        <f t="shared" si="3"/>
        <v/>
      </c>
      <c r="N7" s="27" t="str">
        <f t="shared" si="3"/>
        <v/>
      </c>
      <c r="O7" s="27" t="str">
        <f t="shared" si="3"/>
        <v/>
      </c>
      <c r="P7" s="27" t="str">
        <f t="shared" si="3"/>
        <v/>
      </c>
      <c r="Q7" s="27" t="str">
        <f t="shared" si="3"/>
        <v/>
      </c>
      <c r="R7" s="27" t="str">
        <f t="shared" si="3"/>
        <v/>
      </c>
      <c r="S7" s="27" t="str">
        <f t="shared" si="3"/>
        <v/>
      </c>
      <c r="T7" s="27" t="str">
        <f t="shared" si="3"/>
        <v/>
      </c>
      <c r="U7" s="27" t="str">
        <f t="shared" si="3"/>
        <v/>
      </c>
      <c r="V7" s="27" t="str">
        <f t="shared" si="3"/>
        <v/>
      </c>
      <c r="W7" s="27" t="str">
        <f t="shared" si="3"/>
        <v/>
      </c>
      <c r="X7" s="27" t="str">
        <f t="shared" si="3"/>
        <v/>
      </c>
      <c r="Y7" s="27" t="str">
        <f t="shared" si="3"/>
        <v/>
      </c>
      <c r="Z7" s="27" t="str">
        <f t="shared" si="3"/>
        <v/>
      </c>
      <c r="AA7" s="27" t="str">
        <f t="shared" si="3"/>
        <v/>
      </c>
      <c r="AB7" s="27" t="str">
        <f t="shared" si="3"/>
        <v/>
      </c>
      <c r="AC7" s="27" t="str">
        <f t="shared" si="3"/>
        <v/>
      </c>
      <c r="AD7" s="27">
        <f>SUM(E7:AC7)</f>
        <v>0</v>
      </c>
      <c r="AE7" s="60" t="s">
        <v>587</v>
      </c>
      <c r="AF7" s="60"/>
      <c r="AG7" s="72"/>
      <c r="AH7" s="72"/>
      <c r="AI7" s="72"/>
      <c r="AJ7" s="74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31"/>
    </row>
    <row r="8" spans="1:62" customFormat="1" ht="15">
      <c r="A8" s="77" t="s">
        <v>591</v>
      </c>
      <c r="B8" s="77" t="s">
        <v>596</v>
      </c>
      <c r="C8" s="60" t="s">
        <v>597</v>
      </c>
      <c r="D8" s="60" t="s">
        <v>10</v>
      </c>
      <c r="E8" s="60" t="s">
        <v>0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 t="s">
        <v>8</v>
      </c>
      <c r="AE8" s="77" t="s">
        <v>581</v>
      </c>
      <c r="AF8" s="77" t="s">
        <v>582</v>
      </c>
      <c r="AG8" s="77"/>
      <c r="AH8" s="50" t="s">
        <v>599</v>
      </c>
      <c r="AI8" s="76" t="s">
        <v>583</v>
      </c>
      <c r="AJ8" s="74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31"/>
    </row>
    <row r="9" spans="1:62" customFormat="1" ht="1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77"/>
      <c r="AF9" s="26" t="s">
        <v>584</v>
      </c>
      <c r="AG9" s="26" t="s">
        <v>585</v>
      </c>
      <c r="AH9" s="51"/>
      <c r="AI9" s="76"/>
      <c r="AJ9" s="74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31"/>
    </row>
    <row r="10" spans="1:62" customFormat="1">
      <c r="A10" s="80"/>
      <c r="B10" s="12"/>
      <c r="C10" s="12"/>
      <c r="D10" s="44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9" t="str">
        <f t="shared" ref="AE10:AE24" si="4">IF(AD10="","",SUM(E10:AC10)*AD10)</f>
        <v/>
      </c>
      <c r="AF10" s="28"/>
      <c r="AG10" s="28"/>
      <c r="AH10" s="45"/>
      <c r="AI10" s="18" t="str">
        <f>IF(AD10="","",(AF10+(AG10/36))*AD10)</f>
        <v/>
      </c>
      <c r="AJ10" s="74"/>
      <c r="AK10" s="20" t="str">
        <f>IF(E10=0,"",ROUNDUP($E7/E10,0))</f>
        <v/>
      </c>
      <c r="AL10" s="20" t="str">
        <f>IF(F10=0,"",ROUNDUP($F7/F10,0))</f>
        <v/>
      </c>
      <c r="AM10" s="20" t="str">
        <f>IF(G10=0,"",ROUNDUP($G7/G10,0))</f>
        <v/>
      </c>
      <c r="AN10" s="20" t="str">
        <f>IF(H10=0,"",ROUNDUP($H7/H10,0))</f>
        <v/>
      </c>
      <c r="AO10" s="20" t="str">
        <f>IF(I10=0,"",ROUNDUP($I7/I10,0))</f>
        <v/>
      </c>
      <c r="AP10" s="20" t="str">
        <f>IF(J10=0,"",ROUNDUP($J7/J10,0))</f>
        <v/>
      </c>
      <c r="AQ10" s="20" t="str">
        <f>IF(K10=0,"",ROUNDUP($K7/K10,0))</f>
        <v/>
      </c>
      <c r="AR10" s="20" t="str">
        <f>IF(L10=0,"",ROUNDUP($L7/L10,0))</f>
        <v/>
      </c>
      <c r="AS10" s="20" t="str">
        <f>IF(M10=0,"",ROUNDUP($M7/M10,0))</f>
        <v/>
      </c>
      <c r="AT10" s="20" t="str">
        <f>IF(N10=0,"",ROUNDUP($N7/N10,0))</f>
        <v/>
      </c>
      <c r="AU10" s="20" t="str">
        <f>IF(O10=0,"",ROUNDUP($O7/O10,0))</f>
        <v/>
      </c>
      <c r="AV10" s="20" t="str">
        <f>IF(P10=0,"",ROUNDUP($P7/P10,0))</f>
        <v/>
      </c>
      <c r="AW10" s="20" t="str">
        <f>IF(Q10=0,"",ROUNDUP($Q7/Q10,0))</f>
        <v/>
      </c>
      <c r="AX10" s="20" t="str">
        <f>IF(R10=0,"",ROUNDUP($R7/R10,0))</f>
        <v/>
      </c>
      <c r="AY10" s="20" t="str">
        <f>IF(S10=0,"",ROUNDUP($S7/S10,0))</f>
        <v/>
      </c>
      <c r="AZ10" s="20" t="str">
        <f t="shared" ref="AZ10" si="5">IF(T10=0,"",ROUNDUP(T$7/T10,0))</f>
        <v/>
      </c>
      <c r="BA10" s="20" t="str">
        <f t="shared" ref="AZ10:BI24" si="6">IF(U10=0,"",ROUNDUP(U$7/U10,0))</f>
        <v/>
      </c>
      <c r="BB10" s="20" t="str">
        <f t="shared" si="6"/>
        <v/>
      </c>
      <c r="BC10" s="20" t="str">
        <f t="shared" si="6"/>
        <v/>
      </c>
      <c r="BD10" s="20" t="str">
        <f t="shared" si="6"/>
        <v/>
      </c>
      <c r="BE10" s="20" t="str">
        <f t="shared" si="6"/>
        <v/>
      </c>
      <c r="BF10" s="20" t="str">
        <f t="shared" si="6"/>
        <v/>
      </c>
      <c r="BG10" s="20" t="str">
        <f t="shared" si="6"/>
        <v/>
      </c>
      <c r="BH10" s="20" t="str">
        <f t="shared" si="6"/>
        <v/>
      </c>
      <c r="BI10" s="20" t="str">
        <f t="shared" si="6"/>
        <v/>
      </c>
      <c r="BJ10" s="31"/>
    </row>
    <row r="11" spans="1:62" customFormat="1">
      <c r="A11" s="81"/>
      <c r="B11" s="12"/>
      <c r="C11" s="12"/>
      <c r="D11" s="44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9" t="str">
        <f t="shared" si="4"/>
        <v/>
      </c>
      <c r="AF11" s="28"/>
      <c r="AG11" s="28"/>
      <c r="AH11" s="45"/>
      <c r="AI11" s="18" t="str">
        <f>IF(AD11="","",(AF11+(AG11/36))*AD11)</f>
        <v/>
      </c>
      <c r="AJ11" s="74"/>
      <c r="AK11" s="20" t="str">
        <f>IF(E11=0,"",ROUNDUP($E7/E11,0))</f>
        <v/>
      </c>
      <c r="AL11" s="20" t="str">
        <f>IF(F11=0,"",ROUNDUP($F7/F11,0))</f>
        <v/>
      </c>
      <c r="AM11" s="20" t="str">
        <f>IF(G11=0,"",ROUNDUP($G7/G11,0))</f>
        <v/>
      </c>
      <c r="AN11" s="20" t="str">
        <f>IF(H11=0,"",ROUNDUP($H7/H11,0))</f>
        <v/>
      </c>
      <c r="AO11" s="20" t="str">
        <f>IF(I11=0,"",ROUNDUP($I7/I11,0))</f>
        <v/>
      </c>
      <c r="AP11" s="20" t="str">
        <f>IF(J11=0,"",ROUNDUP($J7/J11,0))</f>
        <v/>
      </c>
      <c r="AQ11" s="20" t="str">
        <f>IF(K11=0,"",ROUNDUP($K7/K11,0))</f>
        <v/>
      </c>
      <c r="AR11" s="20" t="str">
        <f>IF(L11=0,"",ROUNDUP($L7/L11,0))</f>
        <v/>
      </c>
      <c r="AS11" s="20" t="str">
        <f>IF(M11=0,"",ROUNDUP($M7/M11,0))</f>
        <v/>
      </c>
      <c r="AT11" s="20" t="str">
        <f>IF(N11=0,"",ROUNDUP($N7/N11,0))</f>
        <v/>
      </c>
      <c r="AU11" s="20" t="str">
        <f>IF(O11=0,"",ROUNDUP($O7/O11,0))</f>
        <v/>
      </c>
      <c r="AV11" s="20" t="str">
        <f>IF(P11=0,"",ROUNDUP($P7/P11,0))</f>
        <v/>
      </c>
      <c r="AW11" s="20" t="str">
        <f>IF(Q11=0,"",ROUNDUP($Q7/Q11,0))</f>
        <v/>
      </c>
      <c r="AX11" s="20" t="str">
        <f>IF(R11=0,"",ROUNDUP($R7/R11,0))</f>
        <v/>
      </c>
      <c r="AY11" s="20" t="str">
        <f>IF(S11=0,"",ROUNDUP($S7/S11,0))</f>
        <v/>
      </c>
      <c r="AZ11" s="20" t="str">
        <f t="shared" si="6"/>
        <v/>
      </c>
      <c r="BA11" s="20" t="str">
        <f t="shared" si="6"/>
        <v/>
      </c>
      <c r="BB11" s="20" t="str">
        <f t="shared" si="6"/>
        <v/>
      </c>
      <c r="BC11" s="20" t="str">
        <f t="shared" si="6"/>
        <v/>
      </c>
      <c r="BD11" s="20" t="str">
        <f t="shared" si="6"/>
        <v/>
      </c>
      <c r="BE11" s="20" t="str">
        <f t="shared" si="6"/>
        <v/>
      </c>
      <c r="BF11" s="20" t="str">
        <f t="shared" si="6"/>
        <v/>
      </c>
      <c r="BG11" s="20" t="str">
        <f t="shared" si="6"/>
        <v/>
      </c>
      <c r="BH11" s="20" t="str">
        <f t="shared" si="6"/>
        <v/>
      </c>
      <c r="BI11" s="20" t="str">
        <f t="shared" si="6"/>
        <v/>
      </c>
      <c r="BJ11" s="31"/>
    </row>
    <row r="12" spans="1:62" customFormat="1">
      <c r="A12" s="81"/>
      <c r="B12" s="12"/>
      <c r="C12" s="12"/>
      <c r="D12" s="44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9" t="str">
        <f t="shared" si="4"/>
        <v/>
      </c>
      <c r="AF12" s="28"/>
      <c r="AG12" s="28"/>
      <c r="AH12" s="45"/>
      <c r="AI12" s="18" t="str">
        <f>IF(AD12="","",(AF12+(AG12/36))*AD12)</f>
        <v/>
      </c>
      <c r="AJ12" s="74"/>
      <c r="AK12" s="20" t="str">
        <f>IF(E12=0,"",ROUNDUP($E7/E12,0))</f>
        <v/>
      </c>
      <c r="AL12" s="20" t="str">
        <f>IF(F12=0,"",ROUNDUP($F7/F12,0))</f>
        <v/>
      </c>
      <c r="AM12" s="20" t="str">
        <f>IF(G12=0,"",ROUNDUP($G7/G12,0))</f>
        <v/>
      </c>
      <c r="AN12" s="20" t="str">
        <f>IF(H12=0,"",ROUNDUP($H7/H12,0))</f>
        <v/>
      </c>
      <c r="AO12" s="20" t="str">
        <f>IF(I12=0,"",ROUNDUP($I7/I12,0))</f>
        <v/>
      </c>
      <c r="AP12" s="20" t="str">
        <f>IF(J12=0,"",ROUNDUP($J7/J12,0))</f>
        <v/>
      </c>
      <c r="AQ12" s="20" t="str">
        <f>IF(K12=0,"",ROUNDUP($K7/K12,0))</f>
        <v/>
      </c>
      <c r="AR12" s="20" t="str">
        <f>IF(L12=0,"",ROUNDUP($L7/L12,0))</f>
        <v/>
      </c>
      <c r="AS12" s="20" t="str">
        <f>IF(M12=0,"",ROUNDUP($M7/M12,0))</f>
        <v/>
      </c>
      <c r="AT12" s="20" t="str">
        <f>IF(N12=0,"",ROUNDUP($N7/N12,0))</f>
        <v/>
      </c>
      <c r="AU12" s="20" t="str">
        <f>IF(O12=0,"",ROUNDUP($O7/O12,0))</f>
        <v/>
      </c>
      <c r="AV12" s="20" t="str">
        <f>IF(P12=0,"",ROUNDUP($P7/P12,0))</f>
        <v/>
      </c>
      <c r="AW12" s="20" t="str">
        <f>IF(Q12=0,"",ROUNDUP($Q7/Q12,0))</f>
        <v/>
      </c>
      <c r="AX12" s="20" t="str">
        <f>IF(R12=0,"",ROUNDUP($R7/R12,0))</f>
        <v/>
      </c>
      <c r="AY12" s="20" t="str">
        <f>IF(S12=0,"",ROUNDUP($S7/S12,0))</f>
        <v/>
      </c>
      <c r="AZ12" s="20" t="str">
        <f t="shared" si="6"/>
        <v/>
      </c>
      <c r="BA12" s="20" t="str">
        <f t="shared" si="6"/>
        <v/>
      </c>
      <c r="BB12" s="20" t="str">
        <f t="shared" si="6"/>
        <v/>
      </c>
      <c r="BC12" s="20" t="str">
        <f t="shared" si="6"/>
        <v/>
      </c>
      <c r="BD12" s="20" t="str">
        <f t="shared" si="6"/>
        <v/>
      </c>
      <c r="BE12" s="20" t="str">
        <f t="shared" si="6"/>
        <v/>
      </c>
      <c r="BF12" s="20" t="str">
        <f t="shared" si="6"/>
        <v/>
      </c>
      <c r="BG12" s="20" t="str">
        <f t="shared" si="6"/>
        <v/>
      </c>
      <c r="BH12" s="20" t="str">
        <f t="shared" si="6"/>
        <v/>
      </c>
      <c r="BI12" s="20" t="str">
        <f t="shared" si="6"/>
        <v/>
      </c>
      <c r="BJ12" s="31"/>
    </row>
    <row r="13" spans="1:62" customFormat="1">
      <c r="A13" s="81"/>
      <c r="B13" s="12"/>
      <c r="C13" s="12"/>
      <c r="D13" s="44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9" t="str">
        <f t="shared" si="4"/>
        <v/>
      </c>
      <c r="AF13" s="28"/>
      <c r="AG13" s="28"/>
      <c r="AH13" s="45"/>
      <c r="AI13" s="18" t="str">
        <f>IF(AD13="","",(AF13+(AG13/36))*AD13)</f>
        <v/>
      </c>
      <c r="AJ13" s="74"/>
      <c r="AK13" s="20" t="str">
        <f>IF(E13=0,"",ROUNDUP($E7/E13,0))</f>
        <v/>
      </c>
      <c r="AL13" s="20" t="str">
        <f>IF(F13=0,"",ROUNDUP($F7/F13,0))</f>
        <v/>
      </c>
      <c r="AM13" s="20" t="str">
        <f>IF(G13=0,"",ROUNDUP($G7/G13,0))</f>
        <v/>
      </c>
      <c r="AN13" s="20" t="str">
        <f>IF(H13=0,"",ROUNDUP($H7/H13,0))</f>
        <v/>
      </c>
      <c r="AO13" s="20" t="str">
        <f>IF(I13=0,"",ROUNDUP($I7/I13,0))</f>
        <v/>
      </c>
      <c r="AP13" s="20" t="str">
        <f>IF(J13=0,"",ROUNDUP($J7/J13,0))</f>
        <v/>
      </c>
      <c r="AQ13" s="20" t="str">
        <f>IF(K13=0,"",ROUNDUP($K7/K13,0))</f>
        <v/>
      </c>
      <c r="AR13" s="20" t="str">
        <f>IF(L13=0,"",ROUNDUP($L7/L13,0))</f>
        <v/>
      </c>
      <c r="AS13" s="20" t="str">
        <f>IF(M13=0,"",ROUNDUP($M7/M13,0))</f>
        <v/>
      </c>
      <c r="AT13" s="20" t="str">
        <f>IF(N13=0,"",ROUNDUP($N7/N13,0))</f>
        <v/>
      </c>
      <c r="AU13" s="20" t="str">
        <f>IF(O13=0,"",ROUNDUP($O7/O13,0))</f>
        <v/>
      </c>
      <c r="AV13" s="20" t="str">
        <f>IF(P13=0,"",ROUNDUP($P7/P13,0))</f>
        <v/>
      </c>
      <c r="AW13" s="20" t="str">
        <f>IF(Q13=0,"",ROUNDUP($Q7/Q13,0))</f>
        <v/>
      </c>
      <c r="AX13" s="20" t="str">
        <f>IF(R13=0,"",ROUNDUP($R7/R13,0))</f>
        <v/>
      </c>
      <c r="AY13" s="20" t="str">
        <f>IF(S13=0,"",ROUNDUP($S7/S13,0))</f>
        <v/>
      </c>
      <c r="AZ13" s="20" t="str">
        <f t="shared" si="6"/>
        <v/>
      </c>
      <c r="BA13" s="20" t="str">
        <f t="shared" si="6"/>
        <v/>
      </c>
      <c r="BB13" s="20" t="str">
        <f t="shared" si="6"/>
        <v/>
      </c>
      <c r="BC13" s="20" t="str">
        <f t="shared" si="6"/>
        <v/>
      </c>
      <c r="BD13" s="20" t="str">
        <f t="shared" si="6"/>
        <v/>
      </c>
      <c r="BE13" s="20" t="str">
        <f t="shared" si="6"/>
        <v/>
      </c>
      <c r="BF13" s="20" t="str">
        <f t="shared" si="6"/>
        <v/>
      </c>
      <c r="BG13" s="20" t="str">
        <f t="shared" si="6"/>
        <v/>
      </c>
      <c r="BH13" s="20" t="str">
        <f t="shared" si="6"/>
        <v/>
      </c>
      <c r="BI13" s="20" t="str">
        <f t="shared" si="6"/>
        <v/>
      </c>
      <c r="BJ13" s="31"/>
    </row>
    <row r="14" spans="1:62" customFormat="1">
      <c r="A14" s="81"/>
      <c r="B14" s="12"/>
      <c r="C14" s="12"/>
      <c r="D14" s="44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9" t="str">
        <f t="shared" si="4"/>
        <v/>
      </c>
      <c r="AF14" s="28"/>
      <c r="AG14" s="28"/>
      <c r="AH14" s="45"/>
      <c r="AI14" s="18" t="str">
        <f>IF(AD14="","",(AF14+(AG14/36))*AD14)</f>
        <v/>
      </c>
      <c r="AJ14" s="74"/>
      <c r="AK14" s="20" t="str">
        <f>IF(E14=0,"",ROUNDUP($E7/E14,0))</f>
        <v/>
      </c>
      <c r="AL14" s="20" t="str">
        <f>IF(F14=0,"",ROUNDUP($F7/F14,0))</f>
        <v/>
      </c>
      <c r="AM14" s="20" t="str">
        <f>IF(G14=0,"",ROUNDUP($G7/G14,0))</f>
        <v/>
      </c>
      <c r="AN14" s="20" t="str">
        <f>IF(H14=0,"",ROUNDUP($H7/H14,0))</f>
        <v/>
      </c>
      <c r="AO14" s="20" t="str">
        <f>IF(I14=0,"",ROUNDUP($I7/I14,0))</f>
        <v/>
      </c>
      <c r="AP14" s="20" t="str">
        <f>IF(J14=0,"",ROUNDUP($J7/J14,0))</f>
        <v/>
      </c>
      <c r="AQ14" s="20" t="str">
        <f>IF(K14=0,"",ROUNDUP($K7/K14,0))</f>
        <v/>
      </c>
      <c r="AR14" s="20" t="str">
        <f>IF(L14=0,"",ROUNDUP($L7/L14,0))</f>
        <v/>
      </c>
      <c r="AS14" s="20" t="str">
        <f>IF(M14=0,"",ROUNDUP($M7/M14,0))</f>
        <v/>
      </c>
      <c r="AT14" s="20" t="str">
        <f>IF(N14=0,"",ROUNDUP($N7/N14,0))</f>
        <v/>
      </c>
      <c r="AU14" s="20" t="str">
        <f>IF(O14=0,"",ROUNDUP($O7/O14,0))</f>
        <v/>
      </c>
      <c r="AV14" s="20" t="str">
        <f>IF(P14=0,"",ROUNDUP($P7/P14,0))</f>
        <v/>
      </c>
      <c r="AW14" s="20" t="str">
        <f>IF(Q14=0,"",ROUNDUP($Q7/Q14,0))</f>
        <v/>
      </c>
      <c r="AX14" s="20" t="str">
        <f>IF(R14=0,"",ROUNDUP($R7/R14,0))</f>
        <v/>
      </c>
      <c r="AY14" s="20" t="str">
        <f>IF(S14=0,"",ROUNDUP($S7/S14,0))</f>
        <v/>
      </c>
      <c r="AZ14" s="20" t="str">
        <f t="shared" si="6"/>
        <v/>
      </c>
      <c r="BA14" s="20" t="str">
        <f t="shared" si="6"/>
        <v/>
      </c>
      <c r="BB14" s="20" t="str">
        <f t="shared" si="6"/>
        <v/>
      </c>
      <c r="BC14" s="20" t="str">
        <f t="shared" si="6"/>
        <v/>
      </c>
      <c r="BD14" s="20" t="str">
        <f t="shared" si="6"/>
        <v/>
      </c>
      <c r="BE14" s="20" t="str">
        <f t="shared" si="6"/>
        <v/>
      </c>
      <c r="BF14" s="20" t="str">
        <f t="shared" si="6"/>
        <v/>
      </c>
      <c r="BG14" s="20" t="str">
        <f t="shared" si="6"/>
        <v/>
      </c>
      <c r="BH14" s="20" t="str">
        <f t="shared" si="6"/>
        <v/>
      </c>
      <c r="BI14" s="20" t="str">
        <f t="shared" si="6"/>
        <v/>
      </c>
      <c r="BJ14" s="31"/>
    </row>
    <row r="15" spans="1:62" customFormat="1">
      <c r="A15" s="81"/>
      <c r="B15" s="12"/>
      <c r="C15" s="12"/>
      <c r="D15" s="44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9" t="str">
        <f t="shared" si="4"/>
        <v/>
      </c>
      <c r="AF15" s="13"/>
      <c r="AG15" s="13"/>
      <c r="AH15" s="13"/>
      <c r="AI15" s="18" t="str">
        <f t="shared" ref="AI15:AI24" si="7">IF(AD15="","",(AF15+(AG15/36))*AD15)</f>
        <v/>
      </c>
      <c r="AJ15" s="74"/>
      <c r="AK15" s="20" t="str">
        <f>IF(E15=0,"",ROUNDUP($E7/E15,0))</f>
        <v/>
      </c>
      <c r="AL15" s="20" t="str">
        <f>IF(F15=0,"",ROUNDUP($F7/F15,0))</f>
        <v/>
      </c>
      <c r="AM15" s="20" t="str">
        <f>IF(G15=0,"",ROUNDUP($G7/G15,0))</f>
        <v/>
      </c>
      <c r="AN15" s="20" t="str">
        <f>IF(H15=0,"",ROUNDUP($H7/H15,0))</f>
        <v/>
      </c>
      <c r="AO15" s="20" t="str">
        <f>IF(I15=0,"",ROUNDUP($I7/I15,0))</f>
        <v/>
      </c>
      <c r="AP15" s="20" t="str">
        <f>IF(J15=0,"",ROUNDUP($J7/J15,0))</f>
        <v/>
      </c>
      <c r="AQ15" s="20" t="str">
        <f>IF(K15=0,"",ROUNDUP($K7/K15,0))</f>
        <v/>
      </c>
      <c r="AR15" s="20" t="str">
        <f>IF(L15=0,"",ROUNDUP($L7/L15,0))</f>
        <v/>
      </c>
      <c r="AS15" s="20" t="str">
        <f>IF(M15=0,"",ROUNDUP($M7/M15,0))</f>
        <v/>
      </c>
      <c r="AT15" s="20" t="str">
        <f>IF(N15=0,"",ROUNDUP($N7/N15,0))</f>
        <v/>
      </c>
      <c r="AU15" s="20" t="str">
        <f>IF(O15=0,"",ROUNDUP($O7/O15,0))</f>
        <v/>
      </c>
      <c r="AV15" s="20" t="str">
        <f>IF(P15=0,"",ROUNDUP($P7/P15,0))</f>
        <v/>
      </c>
      <c r="AW15" s="20" t="str">
        <f>IF(Q15=0,"",ROUNDUP($Q7/Q15,0))</f>
        <v/>
      </c>
      <c r="AX15" s="20" t="str">
        <f>IF(R15=0,"",ROUNDUP($R7/R15,0))</f>
        <v/>
      </c>
      <c r="AY15" s="20" t="str">
        <f>IF(S15=0,"",ROUNDUP($S7/S15,0))</f>
        <v/>
      </c>
      <c r="AZ15" s="20" t="str">
        <f t="shared" si="6"/>
        <v/>
      </c>
      <c r="BA15" s="20" t="str">
        <f t="shared" si="6"/>
        <v/>
      </c>
      <c r="BB15" s="20" t="str">
        <f t="shared" si="6"/>
        <v/>
      </c>
      <c r="BC15" s="20" t="str">
        <f t="shared" si="6"/>
        <v/>
      </c>
      <c r="BD15" s="20" t="str">
        <f t="shared" si="6"/>
        <v/>
      </c>
      <c r="BE15" s="20" t="str">
        <f t="shared" si="6"/>
        <v/>
      </c>
      <c r="BF15" s="20" t="str">
        <f t="shared" si="6"/>
        <v/>
      </c>
      <c r="BG15" s="20" t="str">
        <f t="shared" si="6"/>
        <v/>
      </c>
      <c r="BH15" s="20" t="str">
        <f t="shared" si="6"/>
        <v/>
      </c>
      <c r="BI15" s="20" t="str">
        <f t="shared" si="6"/>
        <v/>
      </c>
      <c r="BJ15" s="31"/>
    </row>
    <row r="16" spans="1:62" customFormat="1">
      <c r="A16" s="81"/>
      <c r="B16" s="12"/>
      <c r="C16" s="12"/>
      <c r="D16" s="44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9" t="str">
        <f t="shared" si="4"/>
        <v/>
      </c>
      <c r="AF16" s="13"/>
      <c r="AG16" s="13"/>
      <c r="AH16" s="13"/>
      <c r="AI16" s="18" t="str">
        <f t="shared" si="7"/>
        <v/>
      </c>
      <c r="AJ16" s="74"/>
      <c r="AK16" s="20" t="str">
        <f>IF(E16=0,"",ROUNDUP($E7/E16,0))</f>
        <v/>
      </c>
      <c r="AL16" s="20" t="str">
        <f>IF(F16=0,"",ROUNDUP($F7/F16,0))</f>
        <v/>
      </c>
      <c r="AM16" s="20" t="str">
        <f>IF(G16=0,"",ROUNDUP($G7/G16,0))</f>
        <v/>
      </c>
      <c r="AN16" s="20" t="str">
        <f>IF(H16=0,"",ROUNDUP($H7/H16,0))</f>
        <v/>
      </c>
      <c r="AO16" s="20" t="str">
        <f>IF(I16=0,"",ROUNDUP($I7/I16,0))</f>
        <v/>
      </c>
      <c r="AP16" s="20" t="str">
        <f>IF(J16=0,"",ROUNDUP($J7/J16,0))</f>
        <v/>
      </c>
      <c r="AQ16" s="20" t="str">
        <f>IF(K16=0,"",ROUNDUP($K7/K16,0))</f>
        <v/>
      </c>
      <c r="AR16" s="20" t="str">
        <f>IF(L16=0,"",ROUNDUP($L7/L16,0))</f>
        <v/>
      </c>
      <c r="AS16" s="20" t="str">
        <f>IF(M16=0,"",ROUNDUP($M7/M16,0))</f>
        <v/>
      </c>
      <c r="AT16" s="20" t="str">
        <f>IF(N16=0,"",ROUNDUP($N7/N16,0))</f>
        <v/>
      </c>
      <c r="AU16" s="20" t="str">
        <f>IF(O16=0,"",ROUNDUP($O7/O16,0))</f>
        <v/>
      </c>
      <c r="AV16" s="20" t="str">
        <f>IF(P16=0,"",ROUNDUP($P7/P16,0))</f>
        <v/>
      </c>
      <c r="AW16" s="20" t="str">
        <f>IF(Q16=0,"",ROUNDUP($Q7/Q16,0))</f>
        <v/>
      </c>
      <c r="AX16" s="20" t="str">
        <f>IF(R16=0,"",ROUNDUP($R7/R16,0))</f>
        <v/>
      </c>
      <c r="AY16" s="20" t="str">
        <f>IF(S16=0,"",ROUNDUP($S7/S16,0))</f>
        <v/>
      </c>
      <c r="AZ16" s="20" t="str">
        <f t="shared" si="6"/>
        <v/>
      </c>
      <c r="BA16" s="20" t="str">
        <f t="shared" si="6"/>
        <v/>
      </c>
      <c r="BB16" s="20" t="str">
        <f t="shared" si="6"/>
        <v/>
      </c>
      <c r="BC16" s="20" t="str">
        <f t="shared" si="6"/>
        <v/>
      </c>
      <c r="BD16" s="20" t="str">
        <f t="shared" si="6"/>
        <v/>
      </c>
      <c r="BE16" s="20" t="str">
        <f t="shared" si="6"/>
        <v/>
      </c>
      <c r="BF16" s="20" t="str">
        <f t="shared" si="6"/>
        <v/>
      </c>
      <c r="BG16" s="20" t="str">
        <f t="shared" si="6"/>
        <v/>
      </c>
      <c r="BH16" s="20" t="str">
        <f t="shared" si="6"/>
        <v/>
      </c>
      <c r="BI16" s="20" t="str">
        <f t="shared" si="6"/>
        <v/>
      </c>
      <c r="BJ16" s="31"/>
    </row>
    <row r="17" spans="1:62" customFormat="1">
      <c r="A17" s="81"/>
      <c r="B17" s="12"/>
      <c r="C17" s="12"/>
      <c r="D17" s="44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9" t="str">
        <f t="shared" si="4"/>
        <v/>
      </c>
      <c r="AF17" s="13"/>
      <c r="AG17" s="13"/>
      <c r="AH17" s="13"/>
      <c r="AI17" s="18" t="str">
        <f t="shared" si="7"/>
        <v/>
      </c>
      <c r="AJ17" s="74"/>
      <c r="AK17" s="20" t="str">
        <f>IF(E17=0,"",ROUNDUP($E7/E17,0))</f>
        <v/>
      </c>
      <c r="AL17" s="20" t="str">
        <f>IF(F17=0,"",ROUNDUP($F7/F17,0))</f>
        <v/>
      </c>
      <c r="AM17" s="20" t="str">
        <f>IF(G17=0,"",ROUNDUP($G7/G17,0))</f>
        <v/>
      </c>
      <c r="AN17" s="20" t="str">
        <f>IF(H17=0,"",ROUNDUP($H7/H17,0))</f>
        <v/>
      </c>
      <c r="AO17" s="20" t="str">
        <f>IF(I17=0,"",ROUNDUP($I7/I17,0))</f>
        <v/>
      </c>
      <c r="AP17" s="20" t="str">
        <f>IF(J17=0,"",ROUNDUP($J7/J17,0))</f>
        <v/>
      </c>
      <c r="AQ17" s="20" t="str">
        <f>IF(K17=0,"",ROUNDUP($K7/K17,0))</f>
        <v/>
      </c>
      <c r="AR17" s="20" t="str">
        <f>IF(L17=0,"",ROUNDUP($L7/L17,0))</f>
        <v/>
      </c>
      <c r="AS17" s="20" t="str">
        <f>IF(M17=0,"",ROUNDUP($M7/M17,0))</f>
        <v/>
      </c>
      <c r="AT17" s="20" t="str">
        <f>IF(N17=0,"",ROUNDUP($N7/N17,0))</f>
        <v/>
      </c>
      <c r="AU17" s="20" t="str">
        <f>IF(O17=0,"",ROUNDUP($O7/O17,0))</f>
        <v/>
      </c>
      <c r="AV17" s="20" t="str">
        <f>IF(P17=0,"",ROUNDUP($P7/P17,0))</f>
        <v/>
      </c>
      <c r="AW17" s="20" t="str">
        <f>IF(Q17=0,"",ROUNDUP($Q7/Q17,0))</f>
        <v/>
      </c>
      <c r="AX17" s="20" t="str">
        <f>IF(R17=0,"",ROUNDUP($R7/R17,0))</f>
        <v/>
      </c>
      <c r="AY17" s="20" t="str">
        <f>IF(S17=0,"",ROUNDUP($S7/S17,0))</f>
        <v/>
      </c>
      <c r="AZ17" s="20" t="str">
        <f t="shared" si="6"/>
        <v/>
      </c>
      <c r="BA17" s="20" t="str">
        <f t="shared" si="6"/>
        <v/>
      </c>
      <c r="BB17" s="20" t="str">
        <f t="shared" si="6"/>
        <v/>
      </c>
      <c r="BC17" s="20" t="str">
        <f t="shared" si="6"/>
        <v/>
      </c>
      <c r="BD17" s="20" t="str">
        <f t="shared" si="6"/>
        <v/>
      </c>
      <c r="BE17" s="20" t="str">
        <f t="shared" si="6"/>
        <v/>
      </c>
      <c r="BF17" s="20" t="str">
        <f t="shared" si="6"/>
        <v/>
      </c>
      <c r="BG17" s="20" t="str">
        <f t="shared" si="6"/>
        <v/>
      </c>
      <c r="BH17" s="20" t="str">
        <f t="shared" si="6"/>
        <v/>
      </c>
      <c r="BI17" s="20" t="str">
        <f t="shared" si="6"/>
        <v/>
      </c>
      <c r="BJ17" s="31"/>
    </row>
    <row r="18" spans="1:62" customFormat="1">
      <c r="A18" s="81"/>
      <c r="B18" s="12"/>
      <c r="C18" s="12"/>
      <c r="D18" s="44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9" t="str">
        <f t="shared" si="4"/>
        <v/>
      </c>
      <c r="AF18" s="13"/>
      <c r="AG18" s="13"/>
      <c r="AH18" s="13"/>
      <c r="AI18" s="18" t="str">
        <f t="shared" si="7"/>
        <v/>
      </c>
      <c r="AJ18" s="74"/>
      <c r="AK18" s="20" t="str">
        <f>IF(E18=0,"",ROUNDUP($E7/E18,0))</f>
        <v/>
      </c>
      <c r="AL18" s="20" t="str">
        <f>IF(F18=0,"",ROUNDUP($F7/F18,0))</f>
        <v/>
      </c>
      <c r="AM18" s="20" t="str">
        <f>IF(G18=0,"",ROUNDUP($G7/G18,0))</f>
        <v/>
      </c>
      <c r="AN18" s="20" t="str">
        <f>IF(H18=0,"",ROUNDUP($H7/H18,0))</f>
        <v/>
      </c>
      <c r="AO18" s="20" t="str">
        <f>IF(I18=0,"",ROUNDUP($I7/I18,0))</f>
        <v/>
      </c>
      <c r="AP18" s="20" t="str">
        <f>IF(J18=0,"",ROUNDUP($J7/J18,0))</f>
        <v/>
      </c>
      <c r="AQ18" s="20" t="str">
        <f>IF(K18=0,"",ROUNDUP($K7/K18,0))</f>
        <v/>
      </c>
      <c r="AR18" s="20" t="str">
        <f>IF(L18=0,"",ROUNDUP($L7/L18,0))</f>
        <v/>
      </c>
      <c r="AS18" s="20" t="str">
        <f>IF(M18=0,"",ROUNDUP($M7/M18,0))</f>
        <v/>
      </c>
      <c r="AT18" s="20" t="str">
        <f>IF(N18=0,"",ROUNDUP($N7/N18,0))</f>
        <v/>
      </c>
      <c r="AU18" s="20" t="str">
        <f>IF(O18=0,"",ROUNDUP($O7/O18,0))</f>
        <v/>
      </c>
      <c r="AV18" s="20" t="str">
        <f>IF(P18=0,"",ROUNDUP($P7/P18,0))</f>
        <v/>
      </c>
      <c r="AW18" s="20" t="str">
        <f>IF(Q18=0,"",ROUNDUP($Q7/Q18,0))</f>
        <v/>
      </c>
      <c r="AX18" s="20" t="str">
        <f>IF(R18=0,"",ROUNDUP($R7/R18,0))</f>
        <v/>
      </c>
      <c r="AY18" s="20" t="str">
        <f>IF(S18=0,"",ROUNDUP($S7/S18,0))</f>
        <v/>
      </c>
      <c r="AZ18" s="20" t="str">
        <f t="shared" si="6"/>
        <v/>
      </c>
      <c r="BA18" s="20" t="str">
        <f t="shared" si="6"/>
        <v/>
      </c>
      <c r="BB18" s="20" t="str">
        <f t="shared" si="6"/>
        <v/>
      </c>
      <c r="BC18" s="20" t="str">
        <f t="shared" si="6"/>
        <v/>
      </c>
      <c r="BD18" s="20" t="str">
        <f t="shared" si="6"/>
        <v/>
      </c>
      <c r="BE18" s="20" t="str">
        <f t="shared" si="6"/>
        <v/>
      </c>
      <c r="BF18" s="20" t="str">
        <f t="shared" si="6"/>
        <v/>
      </c>
      <c r="BG18" s="20" t="str">
        <f t="shared" si="6"/>
        <v/>
      </c>
      <c r="BH18" s="20" t="str">
        <f t="shared" si="6"/>
        <v/>
      </c>
      <c r="BI18" s="20" t="str">
        <f t="shared" si="6"/>
        <v/>
      </c>
      <c r="BJ18" s="31"/>
    </row>
    <row r="19" spans="1:62" customFormat="1">
      <c r="A19" s="81"/>
      <c r="B19" s="12"/>
      <c r="C19" s="12"/>
      <c r="D19" s="44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9" t="str">
        <f t="shared" si="4"/>
        <v/>
      </c>
      <c r="AF19" s="13"/>
      <c r="AG19" s="13"/>
      <c r="AH19" s="13"/>
      <c r="AI19" s="18" t="str">
        <f t="shared" si="7"/>
        <v/>
      </c>
      <c r="AJ19" s="74"/>
      <c r="AK19" s="20" t="str">
        <f>IF(E19=0,"",ROUNDUP($E7/E19,0))</f>
        <v/>
      </c>
      <c r="AL19" s="20" t="str">
        <f>IF(F19=0,"",ROUNDUP($F7/F19,0))</f>
        <v/>
      </c>
      <c r="AM19" s="20" t="str">
        <f>IF(G19=0,"",ROUNDUP($G7/G19,0))</f>
        <v/>
      </c>
      <c r="AN19" s="20" t="str">
        <f>IF(H19=0,"",ROUNDUP($H7/H19,0))</f>
        <v/>
      </c>
      <c r="AO19" s="20" t="str">
        <f>IF(I19=0,"",ROUNDUP($I7/I19,0))</f>
        <v/>
      </c>
      <c r="AP19" s="20" t="str">
        <f>IF(J19=0,"",ROUNDUP($J7/J19,0))</f>
        <v/>
      </c>
      <c r="AQ19" s="20" t="str">
        <f>IF(K19=0,"",ROUNDUP($K7/K19,0))</f>
        <v/>
      </c>
      <c r="AR19" s="20" t="str">
        <f>IF(L19=0,"",ROUNDUP($L7/L19,0))</f>
        <v/>
      </c>
      <c r="AS19" s="20" t="str">
        <f>IF(M19=0,"",ROUNDUP($M7/M19,0))</f>
        <v/>
      </c>
      <c r="AT19" s="20" t="str">
        <f>IF(N19=0,"",ROUNDUP($N7/N19,0))</f>
        <v/>
      </c>
      <c r="AU19" s="20" t="str">
        <f>IF(O19=0,"",ROUNDUP($O7/O19,0))</f>
        <v/>
      </c>
      <c r="AV19" s="20" t="str">
        <f>IF(P19=0,"",ROUNDUP($P7/P19,0))</f>
        <v/>
      </c>
      <c r="AW19" s="20" t="str">
        <f>IF(Q19=0,"",ROUNDUP($Q7/Q19,0))</f>
        <v/>
      </c>
      <c r="AX19" s="20" t="str">
        <f>IF(R19=0,"",ROUNDUP($R7/R19,0))</f>
        <v/>
      </c>
      <c r="AY19" s="20" t="str">
        <f>IF(S19=0,"",ROUNDUP($S7/S19,0))</f>
        <v/>
      </c>
      <c r="AZ19" s="20" t="str">
        <f t="shared" si="6"/>
        <v/>
      </c>
      <c r="BA19" s="20" t="str">
        <f t="shared" si="6"/>
        <v/>
      </c>
      <c r="BB19" s="20" t="str">
        <f t="shared" si="6"/>
        <v/>
      </c>
      <c r="BC19" s="20" t="str">
        <f t="shared" si="6"/>
        <v/>
      </c>
      <c r="BD19" s="20" t="str">
        <f t="shared" si="6"/>
        <v/>
      </c>
      <c r="BE19" s="20" t="str">
        <f t="shared" si="6"/>
        <v/>
      </c>
      <c r="BF19" s="20" t="str">
        <f t="shared" si="6"/>
        <v/>
      </c>
      <c r="BG19" s="20" t="str">
        <f t="shared" si="6"/>
        <v/>
      </c>
      <c r="BH19" s="20" t="str">
        <f t="shared" si="6"/>
        <v/>
      </c>
      <c r="BI19" s="20" t="str">
        <f t="shared" si="6"/>
        <v/>
      </c>
      <c r="BJ19" s="31"/>
    </row>
    <row r="20" spans="1:62" customFormat="1">
      <c r="A20" s="81"/>
      <c r="B20" s="12"/>
      <c r="C20" s="12"/>
      <c r="D20" s="44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4"/>
      <c r="AB20" s="28"/>
      <c r="AC20" s="28"/>
      <c r="AD20" s="28"/>
      <c r="AE20" s="19" t="str">
        <f t="shared" si="4"/>
        <v/>
      </c>
      <c r="AF20" s="13"/>
      <c r="AG20" s="13"/>
      <c r="AH20" s="13"/>
      <c r="AI20" s="18" t="str">
        <f t="shared" si="7"/>
        <v/>
      </c>
      <c r="AJ20" s="74"/>
      <c r="AK20" s="20" t="str">
        <f>IF(E20=0,"",ROUNDUP($E7/E20,0))</f>
        <v/>
      </c>
      <c r="AL20" s="20" t="str">
        <f>IF(F20=0,"",ROUNDUP($F7/F20,0))</f>
        <v/>
      </c>
      <c r="AM20" s="20" t="str">
        <f>IF(G20=0,"",ROUNDUP($G7/G20,0))</f>
        <v/>
      </c>
      <c r="AN20" s="20" t="str">
        <f>IF(H20=0,"",ROUNDUP($H7/H20,0))</f>
        <v/>
      </c>
      <c r="AO20" s="20" t="str">
        <f>IF(I20=0,"",ROUNDUP($I7/I20,0))</f>
        <v/>
      </c>
      <c r="AP20" s="20" t="str">
        <f>IF(J20=0,"",ROUNDUP($J7/J20,0))</f>
        <v/>
      </c>
      <c r="AQ20" s="20" t="str">
        <f>IF(K20=0,"",ROUNDUP($K7/K20,0))</f>
        <v/>
      </c>
      <c r="AR20" s="20" t="str">
        <f>IF(L20=0,"",ROUNDUP($L7/L20,0))</f>
        <v/>
      </c>
      <c r="AS20" s="20" t="str">
        <f>IF(M20=0,"",ROUNDUP($M7/M20,0))</f>
        <v/>
      </c>
      <c r="AT20" s="20" t="str">
        <f>IF(N20=0,"",ROUNDUP($N7/N20,0))</f>
        <v/>
      </c>
      <c r="AU20" s="20" t="str">
        <f>IF(O20=0,"",ROUNDUP($O7/O20,0))</f>
        <v/>
      </c>
      <c r="AV20" s="20" t="str">
        <f>IF(P20=0,"",ROUNDUP($P7/P20,0))</f>
        <v/>
      </c>
      <c r="AW20" s="20" t="str">
        <f>IF(Q20=0,"",ROUNDUP($Q7/Q20,0))</f>
        <v/>
      </c>
      <c r="AX20" s="20" t="str">
        <f>IF(R20=0,"",ROUNDUP($R7/R20,0))</f>
        <v/>
      </c>
      <c r="AY20" s="20" t="str">
        <f>IF(S20=0,"",ROUNDUP($S7/S20,0))</f>
        <v/>
      </c>
      <c r="AZ20" s="20" t="str">
        <f t="shared" si="6"/>
        <v/>
      </c>
      <c r="BA20" s="20" t="str">
        <f t="shared" si="6"/>
        <v/>
      </c>
      <c r="BB20" s="20" t="str">
        <f t="shared" si="6"/>
        <v/>
      </c>
      <c r="BC20" s="20" t="str">
        <f t="shared" si="6"/>
        <v/>
      </c>
      <c r="BD20" s="20" t="str">
        <f t="shared" si="6"/>
        <v/>
      </c>
      <c r="BE20" s="20" t="str">
        <f t="shared" si="6"/>
        <v/>
      </c>
      <c r="BF20" s="20" t="str">
        <f t="shared" si="6"/>
        <v/>
      </c>
      <c r="BG20" s="20" t="str">
        <f t="shared" si="6"/>
        <v/>
      </c>
      <c r="BH20" s="20" t="str">
        <f t="shared" si="6"/>
        <v/>
      </c>
      <c r="BI20" s="20" t="str">
        <f t="shared" si="6"/>
        <v/>
      </c>
      <c r="BJ20" s="31"/>
    </row>
    <row r="21" spans="1:62" customFormat="1">
      <c r="A21" s="81"/>
      <c r="B21" s="12"/>
      <c r="C21" s="12"/>
      <c r="D21" s="44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9" t="str">
        <f t="shared" si="4"/>
        <v/>
      </c>
      <c r="AF21" s="13"/>
      <c r="AG21" s="13"/>
      <c r="AH21" s="13"/>
      <c r="AI21" s="18" t="str">
        <f t="shared" si="7"/>
        <v/>
      </c>
      <c r="AJ21" s="74"/>
      <c r="AK21" s="20" t="str">
        <f>IF(E21=0,"",ROUNDUP($E7/E21,0))</f>
        <v/>
      </c>
      <c r="AL21" s="20" t="str">
        <f>IF(F21=0,"",ROUNDUP($F7/F21,0))</f>
        <v/>
      </c>
      <c r="AM21" s="20" t="str">
        <f>IF(G21=0,"",ROUNDUP($G7/G21,0))</f>
        <v/>
      </c>
      <c r="AN21" s="20" t="str">
        <f>IF(H21=0,"",ROUNDUP($H7/H21,0))</f>
        <v/>
      </c>
      <c r="AO21" s="20" t="str">
        <f>IF(I21=0,"",ROUNDUP($I7/I21,0))</f>
        <v/>
      </c>
      <c r="AP21" s="20" t="str">
        <f>IF(J21=0,"",ROUNDUP($J7/J21,0))</f>
        <v/>
      </c>
      <c r="AQ21" s="20" t="str">
        <f>IF(K21=0,"",ROUNDUP($K7/K21,0))</f>
        <v/>
      </c>
      <c r="AR21" s="20" t="str">
        <f>IF(L21=0,"",ROUNDUP($L7/L21,0))</f>
        <v/>
      </c>
      <c r="AS21" s="20" t="str">
        <f>IF(M21=0,"",ROUNDUP($M7/M21,0))</f>
        <v/>
      </c>
      <c r="AT21" s="20" t="str">
        <f>IF(N21=0,"",ROUNDUP($N7/N21,0))</f>
        <v/>
      </c>
      <c r="AU21" s="20" t="str">
        <f>IF(O21=0,"",ROUNDUP($O7/O21,0))</f>
        <v/>
      </c>
      <c r="AV21" s="20" t="str">
        <f>IF(P21=0,"",ROUNDUP($P7/P21,0))</f>
        <v/>
      </c>
      <c r="AW21" s="20" t="str">
        <f>IF(Q21=0,"",ROUNDUP($Q7/Q21,0))</f>
        <v/>
      </c>
      <c r="AX21" s="20" t="str">
        <f>IF(R21=0,"",ROUNDUP($R7/R21,0))</f>
        <v/>
      </c>
      <c r="AY21" s="20" t="str">
        <f>IF(S21=0,"",ROUNDUP($S7/S21,0))</f>
        <v/>
      </c>
      <c r="AZ21" s="20" t="str">
        <f t="shared" si="6"/>
        <v/>
      </c>
      <c r="BA21" s="20" t="str">
        <f t="shared" si="6"/>
        <v/>
      </c>
      <c r="BB21" s="20" t="str">
        <f t="shared" si="6"/>
        <v/>
      </c>
      <c r="BC21" s="20" t="str">
        <f t="shared" si="6"/>
        <v/>
      </c>
      <c r="BD21" s="20" t="str">
        <f t="shared" si="6"/>
        <v/>
      </c>
      <c r="BE21" s="20" t="str">
        <f t="shared" si="6"/>
        <v/>
      </c>
      <c r="BF21" s="20" t="str">
        <f t="shared" si="6"/>
        <v/>
      </c>
      <c r="BG21" s="20" t="str">
        <f t="shared" si="6"/>
        <v/>
      </c>
      <c r="BH21" s="20" t="str">
        <f t="shared" si="6"/>
        <v/>
      </c>
      <c r="BI21" s="20" t="str">
        <f t="shared" si="6"/>
        <v/>
      </c>
      <c r="BJ21" s="31"/>
    </row>
    <row r="22" spans="1:62" customFormat="1">
      <c r="A22" s="81"/>
      <c r="B22" s="12"/>
      <c r="C22" s="12"/>
      <c r="D22" s="44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9" t="str">
        <f t="shared" si="4"/>
        <v/>
      </c>
      <c r="AF22" s="13"/>
      <c r="AG22" s="13"/>
      <c r="AH22" s="13"/>
      <c r="AI22" s="18" t="str">
        <f t="shared" si="7"/>
        <v/>
      </c>
      <c r="AJ22" s="74"/>
      <c r="AK22" s="20" t="str">
        <f>IF(E22=0,"",ROUNDUP($E7/E22,0))</f>
        <v/>
      </c>
      <c r="AL22" s="20" t="str">
        <f>IF(F22=0,"",ROUNDUP($F7/F22,0))</f>
        <v/>
      </c>
      <c r="AM22" s="20" t="str">
        <f>IF(G22=0,"",ROUNDUP($G7/G22,0))</f>
        <v/>
      </c>
      <c r="AN22" s="20" t="str">
        <f>IF(H22=0,"",ROUNDUP($H7/H22,0))</f>
        <v/>
      </c>
      <c r="AO22" s="20" t="str">
        <f>IF(I22=0,"",ROUNDUP($I7/I22,0))</f>
        <v/>
      </c>
      <c r="AP22" s="20" t="str">
        <f>IF(J22=0,"",ROUNDUP($J7/J22,0))</f>
        <v/>
      </c>
      <c r="AQ22" s="20" t="str">
        <f>IF(K22=0,"",ROUNDUP($K7/K22,0))</f>
        <v/>
      </c>
      <c r="AR22" s="20" t="str">
        <f>IF(L22=0,"",ROUNDUP($L7/L22,0))</f>
        <v/>
      </c>
      <c r="AS22" s="20" t="str">
        <f>IF(M22=0,"",ROUNDUP($M7/M22,0))</f>
        <v/>
      </c>
      <c r="AT22" s="20" t="str">
        <f>IF(N22=0,"",ROUNDUP($N7/N22,0))</f>
        <v/>
      </c>
      <c r="AU22" s="20" t="str">
        <f>IF(O22=0,"",ROUNDUP($O7/O22,0))</f>
        <v/>
      </c>
      <c r="AV22" s="20" t="str">
        <f>IF(P22=0,"",ROUNDUP($P7/P22,0))</f>
        <v/>
      </c>
      <c r="AW22" s="20" t="str">
        <f>IF(Q22=0,"",ROUNDUP($Q7/Q22,0))</f>
        <v/>
      </c>
      <c r="AX22" s="20" t="str">
        <f>IF(R22=0,"",ROUNDUP($R7/R22,0))</f>
        <v/>
      </c>
      <c r="AY22" s="20" t="str">
        <f>IF(S22=0,"",ROUNDUP($S7/S22,0))</f>
        <v/>
      </c>
      <c r="AZ22" s="20" t="str">
        <f t="shared" si="6"/>
        <v/>
      </c>
      <c r="BA22" s="20" t="str">
        <f t="shared" si="6"/>
        <v/>
      </c>
      <c r="BB22" s="20" t="str">
        <f t="shared" si="6"/>
        <v/>
      </c>
      <c r="BC22" s="20" t="str">
        <f t="shared" si="6"/>
        <v/>
      </c>
      <c r="BD22" s="20" t="str">
        <f t="shared" si="6"/>
        <v/>
      </c>
      <c r="BE22" s="20" t="str">
        <f t="shared" si="6"/>
        <v/>
      </c>
      <c r="BF22" s="20" t="str">
        <f t="shared" si="6"/>
        <v/>
      </c>
      <c r="BG22" s="20" t="str">
        <f t="shared" si="6"/>
        <v/>
      </c>
      <c r="BH22" s="20" t="str">
        <f t="shared" si="6"/>
        <v/>
      </c>
      <c r="BI22" s="20" t="str">
        <f t="shared" si="6"/>
        <v/>
      </c>
      <c r="BJ22" s="31"/>
    </row>
    <row r="23" spans="1:62" customFormat="1">
      <c r="A23" s="81"/>
      <c r="B23" s="12"/>
      <c r="C23" s="12"/>
      <c r="D23" s="44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9" t="str">
        <f t="shared" si="4"/>
        <v/>
      </c>
      <c r="AF23" s="13"/>
      <c r="AG23" s="13"/>
      <c r="AH23" s="13"/>
      <c r="AI23" s="18" t="str">
        <f t="shared" si="7"/>
        <v/>
      </c>
      <c r="AJ23" s="74"/>
      <c r="AK23" s="20" t="str">
        <f>IF(E23=0,"",ROUNDUP($E7/E23,0))</f>
        <v/>
      </c>
      <c r="AL23" s="20" t="str">
        <f>IF(F23=0,"",ROUNDUP($F7/F23,0))</f>
        <v/>
      </c>
      <c r="AM23" s="20" t="str">
        <f>IF(G23=0,"",ROUNDUP($G7/G23,0))</f>
        <v/>
      </c>
      <c r="AN23" s="20" t="str">
        <f>IF(H23=0,"",ROUNDUP($H7/H23,0))</f>
        <v/>
      </c>
      <c r="AO23" s="20" t="str">
        <f>IF(I23=0,"",ROUNDUP($I7/I23,0))</f>
        <v/>
      </c>
      <c r="AP23" s="20" t="str">
        <f>IF(J23=0,"",ROUNDUP($J7/J23,0))</f>
        <v/>
      </c>
      <c r="AQ23" s="20" t="str">
        <f>IF(K23=0,"",ROUNDUP($K7/K23,0))</f>
        <v/>
      </c>
      <c r="AR23" s="20" t="str">
        <f>IF(L23=0,"",ROUNDUP($L7/L23,0))</f>
        <v/>
      </c>
      <c r="AS23" s="20" t="str">
        <f>IF(M23=0,"",ROUNDUP($M7/M23,0))</f>
        <v/>
      </c>
      <c r="AT23" s="20" t="str">
        <f>IF(N23=0,"",ROUNDUP($N7/N23,0))</f>
        <v/>
      </c>
      <c r="AU23" s="20" t="str">
        <f>IF(O23=0,"",ROUNDUP($O7/O23,0))</f>
        <v/>
      </c>
      <c r="AV23" s="20" t="str">
        <f>IF(P23=0,"",ROUNDUP($P7/P23,0))</f>
        <v/>
      </c>
      <c r="AW23" s="20" t="str">
        <f>IF(Q23=0,"",ROUNDUP($Q7/Q23,0))</f>
        <v/>
      </c>
      <c r="AX23" s="20" t="str">
        <f>IF(R23=0,"",ROUNDUP($R7/R23,0))</f>
        <v/>
      </c>
      <c r="AY23" s="20" t="str">
        <f>IF(S23=0,"",ROUNDUP($S7/S23,0))</f>
        <v/>
      </c>
      <c r="AZ23" s="20" t="str">
        <f t="shared" si="6"/>
        <v/>
      </c>
      <c r="BA23" s="20" t="str">
        <f t="shared" si="6"/>
        <v/>
      </c>
      <c r="BB23" s="20" t="str">
        <f t="shared" si="6"/>
        <v/>
      </c>
      <c r="BC23" s="20" t="str">
        <f t="shared" si="6"/>
        <v/>
      </c>
      <c r="BD23" s="20" t="str">
        <f t="shared" si="6"/>
        <v/>
      </c>
      <c r="BE23" s="20" t="str">
        <f t="shared" si="6"/>
        <v/>
      </c>
      <c r="BF23" s="20" t="str">
        <f t="shared" si="6"/>
        <v/>
      </c>
      <c r="BG23" s="20" t="str">
        <f t="shared" si="6"/>
        <v/>
      </c>
      <c r="BH23" s="20" t="str">
        <f t="shared" si="6"/>
        <v/>
      </c>
      <c r="BI23" s="20" t="str">
        <f t="shared" si="6"/>
        <v/>
      </c>
      <c r="BJ23" s="31"/>
    </row>
    <row r="24" spans="1:62" customFormat="1">
      <c r="A24" s="82"/>
      <c r="B24" s="12"/>
      <c r="C24" s="12"/>
      <c r="D24" s="44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9" t="str">
        <f t="shared" si="4"/>
        <v/>
      </c>
      <c r="AF24" s="13"/>
      <c r="AG24" s="13"/>
      <c r="AH24" s="13"/>
      <c r="AI24" s="18" t="str">
        <f t="shared" si="7"/>
        <v/>
      </c>
      <c r="AJ24" s="75"/>
      <c r="AK24" s="20" t="str">
        <f>IF(E24=0,"",ROUNDUP($E7/E24,0))</f>
        <v/>
      </c>
      <c r="AL24" s="20" t="str">
        <f>IF(F24=0,"",ROUNDUP($F7/F24,0))</f>
        <v/>
      </c>
      <c r="AM24" s="20" t="str">
        <f>IF(G24=0,"",ROUNDUP($G7/G24,0))</f>
        <v/>
      </c>
      <c r="AN24" s="20" t="str">
        <f>IF(H24=0,"",ROUNDUP($H7/H24,0))</f>
        <v/>
      </c>
      <c r="AO24" s="20" t="str">
        <f>IF(I24=0,"",ROUNDUP($I7/I24,0))</f>
        <v/>
      </c>
      <c r="AP24" s="20" t="str">
        <f>IF(J24=0,"",ROUNDUP($J7/J24,0))</f>
        <v/>
      </c>
      <c r="AQ24" s="20" t="str">
        <f>IF(K24=0,"",ROUNDUP($K7/K24,0))</f>
        <v/>
      </c>
      <c r="AR24" s="20" t="str">
        <f>IF(L24=0,"",ROUNDUP($L7/L24,0))</f>
        <v/>
      </c>
      <c r="AS24" s="20" t="str">
        <f>IF(M24=0,"",ROUNDUP($M7/M24,0))</f>
        <v/>
      </c>
      <c r="AT24" s="20" t="str">
        <f>IF(N24=0,"",ROUNDUP($N7/N24,0))</f>
        <v/>
      </c>
      <c r="AU24" s="20" t="str">
        <f>IF(O24=0,"",ROUNDUP($O7/O24,0))</f>
        <v/>
      </c>
      <c r="AV24" s="20" t="str">
        <f>IF(P24=0,"",ROUNDUP($P7/P24,0))</f>
        <v/>
      </c>
      <c r="AW24" s="20" t="str">
        <f>IF(Q24=0,"",ROUNDUP($Q7/Q24,0))</f>
        <v/>
      </c>
      <c r="AX24" s="20" t="str">
        <f>IF(R24=0,"",ROUNDUP($R7/R24,0))</f>
        <v/>
      </c>
      <c r="AY24" s="20" t="str">
        <f>IF(S24=0,"",ROUNDUP($S7/S24,0))</f>
        <v/>
      </c>
      <c r="AZ24" s="20" t="str">
        <f t="shared" si="6"/>
        <v/>
      </c>
      <c r="BA24" s="20" t="str">
        <f t="shared" si="6"/>
        <v/>
      </c>
      <c r="BB24" s="20" t="str">
        <f t="shared" si="6"/>
        <v/>
      </c>
      <c r="BC24" s="20" t="str">
        <f t="shared" si="6"/>
        <v/>
      </c>
      <c r="BD24" s="20" t="str">
        <f t="shared" si="6"/>
        <v/>
      </c>
      <c r="BE24" s="20" t="str">
        <f t="shared" si="6"/>
        <v/>
      </c>
      <c r="BF24" s="20" t="str">
        <f t="shared" si="6"/>
        <v/>
      </c>
      <c r="BG24" s="20" t="str">
        <f t="shared" si="6"/>
        <v/>
      </c>
      <c r="BH24" s="20" t="str">
        <f t="shared" si="6"/>
        <v/>
      </c>
      <c r="BI24" s="20" t="str">
        <f t="shared" si="6"/>
        <v/>
      </c>
      <c r="BJ24" s="31"/>
    </row>
    <row r="25" spans="1:62" s="36" customFormat="1" ht="15.75" thickBot="1">
      <c r="A25" s="21"/>
      <c r="B25" s="21"/>
      <c r="C25" s="21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90" t="s">
        <v>586</v>
      </c>
      <c r="AD25" s="90"/>
      <c r="AE25" s="22">
        <f>SUM(AE10:AE24)</f>
        <v>0</v>
      </c>
      <c r="AF25" s="55" t="s">
        <v>592</v>
      </c>
      <c r="AG25" s="78"/>
      <c r="AH25" s="79"/>
      <c r="AI25" s="22">
        <f>SUM(AI10:AI24)</f>
        <v>0</v>
      </c>
      <c r="AJ25" s="23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32"/>
      <c r="BJ25" s="35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E10:AD24 A10:A24 AF10:AH24 E5:AC6 AG4:AI4 D2:G2 I2:L2 W2:AC2 D3:D5 AK1:AN1 O2:R2" name="範圍1"/>
    <protectedRange password="CE2A" sqref="M3:N3" name="範圍1_1"/>
  </protectedRanges>
  <mergeCells count="44">
    <mergeCell ref="A2:C2"/>
    <mergeCell ref="A3:C3"/>
    <mergeCell ref="A4:C4"/>
    <mergeCell ref="A5:C5"/>
    <mergeCell ref="AF25:AH25"/>
    <mergeCell ref="A10:A24"/>
    <mergeCell ref="B8:B9"/>
    <mergeCell ref="C8:C9"/>
    <mergeCell ref="O3:P3"/>
    <mergeCell ref="AD3:AX3"/>
    <mergeCell ref="AC25:AD25"/>
    <mergeCell ref="A6:D6"/>
    <mergeCell ref="AE6:AF6"/>
    <mergeCell ref="AG6:AI6"/>
    <mergeCell ref="A7:D7"/>
    <mergeCell ref="AE7:AF7"/>
    <mergeCell ref="A8:A9"/>
    <mergeCell ref="D8:D9"/>
    <mergeCell ref="E8:AC9"/>
    <mergeCell ref="AE8:AE9"/>
    <mergeCell ref="AF8:AG8"/>
    <mergeCell ref="E4:AC4"/>
    <mergeCell ref="AD4:AD5"/>
    <mergeCell ref="AE4:AF4"/>
    <mergeCell ref="AG4:AI4"/>
    <mergeCell ref="AJ4:AJ24"/>
    <mergeCell ref="AG7:AI7"/>
    <mergeCell ref="AI8:AI9"/>
    <mergeCell ref="Q3:S3"/>
    <mergeCell ref="AH8:AH9"/>
    <mergeCell ref="A1:AI1"/>
    <mergeCell ref="AK1:AN1"/>
    <mergeCell ref="D2:G2"/>
    <mergeCell ref="I2:L2"/>
    <mergeCell ref="M2:N2"/>
    <mergeCell ref="AK4:BI4"/>
    <mergeCell ref="AE5:AF5"/>
    <mergeCell ref="AG5:AI5"/>
    <mergeCell ref="AD8:AD9"/>
    <mergeCell ref="E3:G3"/>
    <mergeCell ref="H3:J3"/>
    <mergeCell ref="K3:L3"/>
    <mergeCell ref="M3:N3"/>
    <mergeCell ref="AK6:BI9"/>
  </mergeCells>
  <phoneticPr fontId="15" type="noConversion"/>
  <conditionalFormatting sqref="AG6:AI6 AE7">
    <cfRule type="cellIs" dxfId="31" priority="18" operator="lessThanOrEqual">
      <formula>0</formula>
    </cfRule>
  </conditionalFormatting>
  <conditionalFormatting sqref="AI10:AI25 AE10:AE25 AD6 AG5:AI5 E7:AD7 AZ10:BI24 AK5:BI5 D10:D24">
    <cfRule type="notContainsBlanks" dxfId="30" priority="19">
      <formula>LEN(TRIM(D5))&gt;0</formula>
    </cfRule>
  </conditionalFormatting>
  <conditionalFormatting sqref="AG6:AI6">
    <cfRule type="cellIs" dxfId="29" priority="16" operator="greaterThanOrEqual">
      <formula>20</formula>
    </cfRule>
    <cfRule type="cellIs" dxfId="28" priority="17" operator="greaterThanOrEqual">
      <formula>1</formula>
    </cfRule>
  </conditionalFormatting>
  <conditionalFormatting sqref="AG7:AH7 AK1 A10 AF10:AH24 E5:AC6 E10:AD24 D2:D5 I2 AG4:AH4">
    <cfRule type="containsBlanks" dxfId="27" priority="20">
      <formula>LEN(TRIM(A1))=0</formula>
    </cfRule>
    <cfRule type="notContainsBlanks" dxfId="26" priority="21">
      <formula>LEN(TRIM(A1))&gt;0</formula>
    </cfRule>
  </conditionalFormatting>
  <conditionalFormatting sqref="H3">
    <cfRule type="containsBlanks" dxfId="25" priority="12">
      <formula>LEN(TRIM(H3))=0</formula>
    </cfRule>
    <cfRule type="notContainsBlanks" dxfId="24" priority="13">
      <formula>LEN(TRIM(H3))&gt;0</formula>
    </cfRule>
  </conditionalFormatting>
  <conditionalFormatting sqref="M3">
    <cfRule type="containsBlanks" dxfId="23" priority="10">
      <formula>LEN(TRIM(M3))=0</formula>
    </cfRule>
    <cfRule type="notContainsBlanks" dxfId="22" priority="11">
      <formula>LEN(TRIM(M3))&gt;0</formula>
    </cfRule>
  </conditionalFormatting>
  <conditionalFormatting sqref="O2">
    <cfRule type="notContainsBlanks" dxfId="21" priority="8">
      <formula>LEN(TRIM(O2))&gt;0</formula>
    </cfRule>
  </conditionalFormatting>
  <conditionalFormatting sqref="AK10:AY24">
    <cfRule type="notContainsBlanks" dxfId="20" priority="5">
      <formula>LEN(TRIM(AK10))&gt;0</formula>
    </cfRule>
  </conditionalFormatting>
  <conditionalFormatting sqref="C10:C24">
    <cfRule type="notContainsBlanks" dxfId="19" priority="4">
      <formula>LEN(TRIM(C10))&gt;0</formula>
    </cfRule>
  </conditionalFormatting>
  <conditionalFormatting sqref="B10:B24">
    <cfRule type="notContainsBlanks" dxfId="18" priority="3">
      <formula>LEN(TRIM(B10))&gt;0</formula>
    </cfRule>
  </conditionalFormatting>
  <conditionalFormatting sqref="Q3">
    <cfRule type="containsBlanks" dxfId="17" priority="1">
      <formula>LEN(TRIM(Q3))=0</formula>
    </cfRule>
    <cfRule type="notContainsBlanks" dxfId="16" priority="2">
      <formula>LEN(TRIM(Q3))&gt;0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J23"/>
  <sheetViews>
    <sheetView showGridLines="0" zoomScale="85" zoomScaleNormal="85" workbookViewId="0">
      <selection sqref="A1:C1"/>
    </sheetView>
  </sheetViews>
  <sheetFormatPr defaultColWidth="8.75" defaultRowHeight="14.25"/>
  <cols>
    <col min="1" max="1" width="15" style="37" customWidth="1"/>
    <col min="2" max="3" width="10.625" style="37" customWidth="1"/>
    <col min="4" max="4" width="8.75" style="37"/>
    <col min="5" max="19" width="6.75" style="37" customWidth="1"/>
    <col min="20" max="29" width="6.75" style="37" hidden="1" customWidth="1"/>
    <col min="30" max="30" width="9.5" style="37" customWidth="1"/>
    <col min="31" max="31" width="10.25" style="37" customWidth="1"/>
    <col min="32" max="33" width="8.75" style="37"/>
    <col min="34" max="34" width="15" style="37" bestFit="1" customWidth="1"/>
    <col min="35" max="36" width="8.75" style="37"/>
    <col min="37" max="51" width="6.75" style="37" customWidth="1"/>
    <col min="52" max="61" width="6.75" style="37" hidden="1" customWidth="1"/>
    <col min="62" max="16384" width="8.75" style="37"/>
  </cols>
  <sheetData>
    <row r="1" spans="1:62" customFormat="1" ht="15">
      <c r="A1" s="95" t="s">
        <v>578</v>
      </c>
      <c r="B1" s="96"/>
      <c r="C1" s="97"/>
      <c r="D1" s="11"/>
      <c r="E1" s="62" t="s">
        <v>595</v>
      </c>
      <c r="F1" s="63"/>
      <c r="G1" s="64"/>
      <c r="H1" s="65"/>
      <c r="I1" s="66"/>
      <c r="J1" s="67"/>
      <c r="K1" s="62" t="s">
        <v>594</v>
      </c>
      <c r="L1" s="64"/>
      <c r="M1" s="47"/>
      <c r="N1" s="68"/>
      <c r="O1" s="62" t="s">
        <v>598</v>
      </c>
      <c r="P1" s="64"/>
      <c r="Q1" s="47"/>
      <c r="R1" s="48"/>
      <c r="S1" s="49"/>
      <c r="T1" s="42"/>
      <c r="U1" s="42"/>
      <c r="V1" s="42"/>
      <c r="W1" s="42"/>
      <c r="X1" s="42"/>
      <c r="Y1" s="42"/>
      <c r="Z1" s="42"/>
      <c r="AA1" s="42"/>
      <c r="AB1" s="42"/>
      <c r="AC1" s="43"/>
      <c r="AD1" s="87"/>
      <c r="AE1" s="87"/>
      <c r="AF1" s="87"/>
      <c r="AG1" s="87"/>
      <c r="AH1" s="87"/>
      <c r="AI1" s="87"/>
      <c r="AJ1" s="87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9"/>
      <c r="AY1" s="9"/>
      <c r="AZ1" s="9"/>
      <c r="BA1" s="9"/>
      <c r="BB1" s="9"/>
      <c r="BC1" s="9"/>
      <c r="BD1" s="9"/>
      <c r="BE1" s="9"/>
      <c r="BF1" s="9"/>
      <c r="BG1" s="9"/>
      <c r="BH1" s="9"/>
      <c r="BI1" s="34"/>
      <c r="BJ1" s="31"/>
    </row>
    <row r="2" spans="1:62" customFormat="1" ht="15">
      <c r="A2" s="57" t="s">
        <v>589</v>
      </c>
      <c r="B2" s="98"/>
      <c r="C2" s="84"/>
      <c r="D2" s="12"/>
      <c r="E2" s="60" t="s">
        <v>577</v>
      </c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70" t="s">
        <v>590</v>
      </c>
      <c r="AE2" s="60" t="s">
        <v>579</v>
      </c>
      <c r="AF2" s="60"/>
      <c r="AG2" s="71"/>
      <c r="AH2" s="71"/>
      <c r="AI2" s="72"/>
      <c r="AJ2" s="73"/>
      <c r="AK2" s="57" t="s">
        <v>577</v>
      </c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9"/>
      <c r="BJ2" s="31"/>
    </row>
    <row r="3" spans="1:62" customFormat="1" ht="15">
      <c r="A3" s="85" t="s">
        <v>7</v>
      </c>
      <c r="B3" s="99"/>
      <c r="C3" s="86"/>
      <c r="D3" s="12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70"/>
      <c r="AE3" s="60" t="s">
        <v>580</v>
      </c>
      <c r="AF3" s="60"/>
      <c r="AG3" s="61">
        <f>SUM(AI8:AI22)</f>
        <v>0</v>
      </c>
      <c r="AH3" s="61"/>
      <c r="AI3" s="61"/>
      <c r="AJ3" s="74"/>
      <c r="AK3" s="39" t="str">
        <f t="shared" ref="AK3:AX3" si="0">IF(E3="", "", E3)</f>
        <v/>
      </c>
      <c r="AL3" s="39" t="str">
        <f t="shared" si="0"/>
        <v/>
      </c>
      <c r="AM3" s="39" t="str">
        <f t="shared" si="0"/>
        <v/>
      </c>
      <c r="AN3" s="39" t="str">
        <f t="shared" si="0"/>
        <v/>
      </c>
      <c r="AO3" s="39" t="str">
        <f t="shared" si="0"/>
        <v/>
      </c>
      <c r="AP3" s="39" t="str">
        <f t="shared" si="0"/>
        <v/>
      </c>
      <c r="AQ3" s="39" t="str">
        <f t="shared" si="0"/>
        <v/>
      </c>
      <c r="AR3" s="39" t="str">
        <f t="shared" si="0"/>
        <v/>
      </c>
      <c r="AS3" s="39" t="str">
        <f t="shared" si="0"/>
        <v/>
      </c>
      <c r="AT3" s="39" t="str">
        <f t="shared" si="0"/>
        <v/>
      </c>
      <c r="AU3" s="39" t="str">
        <f t="shared" si="0"/>
        <v/>
      </c>
      <c r="AV3" s="39" t="str">
        <f t="shared" si="0"/>
        <v/>
      </c>
      <c r="AW3" s="39" t="str">
        <f t="shared" si="0"/>
        <v/>
      </c>
      <c r="AX3" s="39" t="str">
        <f t="shared" si="0"/>
        <v/>
      </c>
      <c r="AY3" s="39" t="str">
        <f>IF(S3="", "", S3)</f>
        <v/>
      </c>
      <c r="AZ3" s="39" t="str">
        <f t="shared" ref="AZ3:BI3" si="1">IF(T3="", "", T3)</f>
        <v/>
      </c>
      <c r="BA3" s="39" t="str">
        <f t="shared" si="1"/>
        <v/>
      </c>
      <c r="BB3" s="39" t="str">
        <f t="shared" si="1"/>
        <v/>
      </c>
      <c r="BC3" s="39" t="str">
        <f t="shared" si="1"/>
        <v/>
      </c>
      <c r="BD3" s="39" t="str">
        <f t="shared" si="1"/>
        <v/>
      </c>
      <c r="BE3" s="39" t="str">
        <f t="shared" si="1"/>
        <v/>
      </c>
      <c r="BF3" s="39" t="str">
        <f t="shared" si="1"/>
        <v/>
      </c>
      <c r="BG3" s="39" t="str">
        <f t="shared" si="1"/>
        <v/>
      </c>
      <c r="BH3" s="39" t="str">
        <f t="shared" si="1"/>
        <v/>
      </c>
      <c r="BI3" s="39" t="str">
        <f t="shared" si="1"/>
        <v/>
      </c>
      <c r="BJ3" s="31"/>
    </row>
    <row r="4" spans="1:62" customFormat="1" ht="15">
      <c r="A4" s="91" t="s">
        <v>581</v>
      </c>
      <c r="B4" s="91"/>
      <c r="C4" s="91"/>
      <c r="D4" s="91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18">
        <f>SUM(E4:AC4)</f>
        <v>0</v>
      </c>
      <c r="AE4" s="92" t="str">
        <f>IF(AG4&lt;5,"NO ",IF(AG4=5,"OK",IF(AG4&gt;5,"OK")))</f>
        <v xml:space="preserve">NO </v>
      </c>
      <c r="AF4" s="92"/>
      <c r="AG4" s="61">
        <f>AG2-AG3-AG5</f>
        <v>0</v>
      </c>
      <c r="AH4" s="61"/>
      <c r="AI4" s="61"/>
      <c r="AJ4" s="74"/>
      <c r="AK4" s="69" t="s">
        <v>593</v>
      </c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31"/>
    </row>
    <row r="5" spans="1:62" customFormat="1" ht="15">
      <c r="A5" s="91" t="s">
        <v>588</v>
      </c>
      <c r="B5" s="91"/>
      <c r="C5" s="91"/>
      <c r="D5" s="91"/>
      <c r="E5" s="41" t="str">
        <f t="shared" ref="E5:AC5" si="2">IF(E3="","",E4-E8*$AD8-E9*$AD9-E10*$AD10-E11*$AD11-E12*$AD12-E13*$AD13-E14*$AD14-E15*$AD15-E16*$AD16-E17*$AD17-E18*$AD18-E19*$AD19-E20*$AD20-E21*$AD21-E22*$AD22)</f>
        <v/>
      </c>
      <c r="F5" s="41" t="str">
        <f t="shared" si="2"/>
        <v/>
      </c>
      <c r="G5" s="41" t="str">
        <f t="shared" si="2"/>
        <v/>
      </c>
      <c r="H5" s="41" t="str">
        <f t="shared" si="2"/>
        <v/>
      </c>
      <c r="I5" s="41" t="str">
        <f t="shared" si="2"/>
        <v/>
      </c>
      <c r="J5" s="41" t="str">
        <f t="shared" si="2"/>
        <v/>
      </c>
      <c r="K5" s="41" t="str">
        <f t="shared" si="2"/>
        <v/>
      </c>
      <c r="L5" s="41" t="str">
        <f t="shared" si="2"/>
        <v/>
      </c>
      <c r="M5" s="41" t="str">
        <f t="shared" si="2"/>
        <v/>
      </c>
      <c r="N5" s="41" t="str">
        <f t="shared" si="2"/>
        <v/>
      </c>
      <c r="O5" s="41" t="str">
        <f t="shared" si="2"/>
        <v/>
      </c>
      <c r="P5" s="41" t="str">
        <f t="shared" si="2"/>
        <v/>
      </c>
      <c r="Q5" s="41" t="str">
        <f t="shared" si="2"/>
        <v/>
      </c>
      <c r="R5" s="41" t="str">
        <f t="shared" si="2"/>
        <v/>
      </c>
      <c r="S5" s="41" t="str">
        <f t="shared" si="2"/>
        <v/>
      </c>
      <c r="T5" s="41" t="str">
        <f t="shared" si="2"/>
        <v/>
      </c>
      <c r="U5" s="41" t="str">
        <f t="shared" si="2"/>
        <v/>
      </c>
      <c r="V5" s="41" t="str">
        <f t="shared" si="2"/>
        <v/>
      </c>
      <c r="W5" s="41" t="str">
        <f t="shared" si="2"/>
        <v/>
      </c>
      <c r="X5" s="41" t="str">
        <f t="shared" si="2"/>
        <v/>
      </c>
      <c r="Y5" s="41" t="str">
        <f t="shared" si="2"/>
        <v/>
      </c>
      <c r="Z5" s="41" t="str">
        <f t="shared" si="2"/>
        <v/>
      </c>
      <c r="AA5" s="41" t="str">
        <f t="shared" si="2"/>
        <v/>
      </c>
      <c r="AB5" s="41" t="str">
        <f t="shared" si="2"/>
        <v/>
      </c>
      <c r="AC5" s="41" t="str">
        <f t="shared" si="2"/>
        <v/>
      </c>
      <c r="AD5" s="41">
        <f>SUM(E5:AC5)</f>
        <v>0</v>
      </c>
      <c r="AE5" s="60" t="s">
        <v>587</v>
      </c>
      <c r="AF5" s="60"/>
      <c r="AG5" s="72"/>
      <c r="AH5" s="72"/>
      <c r="AI5" s="72"/>
      <c r="AJ5" s="74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31"/>
    </row>
    <row r="6" spans="1:62" customFormat="1" ht="15">
      <c r="A6" s="77" t="s">
        <v>591</v>
      </c>
      <c r="B6" s="77" t="s">
        <v>596</v>
      </c>
      <c r="C6" s="60" t="s">
        <v>597</v>
      </c>
      <c r="D6" s="93" t="s">
        <v>10</v>
      </c>
      <c r="E6" s="60" t="s">
        <v>0</v>
      </c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 t="s">
        <v>8</v>
      </c>
      <c r="AE6" s="77" t="s">
        <v>581</v>
      </c>
      <c r="AF6" s="77" t="s">
        <v>582</v>
      </c>
      <c r="AG6" s="77"/>
      <c r="AH6" s="50" t="s">
        <v>599</v>
      </c>
      <c r="AI6" s="76" t="s">
        <v>583</v>
      </c>
      <c r="AJ6" s="74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69"/>
      <c r="BH6" s="69"/>
      <c r="BI6" s="69"/>
      <c r="BJ6" s="31"/>
    </row>
    <row r="7" spans="1:62" customFormat="1" ht="15">
      <c r="A7" s="60"/>
      <c r="B7" s="60"/>
      <c r="C7" s="60"/>
      <c r="D7" s="94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77"/>
      <c r="AF7" s="40" t="s">
        <v>584</v>
      </c>
      <c r="AG7" s="40" t="s">
        <v>585</v>
      </c>
      <c r="AH7" s="51"/>
      <c r="AI7" s="76"/>
      <c r="AJ7" s="74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31"/>
    </row>
    <row r="8" spans="1:62" customFormat="1">
      <c r="A8" s="80"/>
      <c r="B8" s="12"/>
      <c r="C8" s="12"/>
      <c r="D8" s="44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19" t="str">
        <f t="shared" ref="AE8:AE22" si="3">IF(AD8="","",SUM(E8:AC8)*AD8)</f>
        <v/>
      </c>
      <c r="AF8" s="38"/>
      <c r="AG8" s="38"/>
      <c r="AH8" s="45"/>
      <c r="AI8" s="18" t="str">
        <f>IF(AD8="","",(AF8+(AG8/36))*AD8)</f>
        <v/>
      </c>
      <c r="AJ8" s="74"/>
      <c r="AK8" s="20" t="str">
        <f>IF(E8=0,"",ROUNDUP($E5/E8,0))</f>
        <v/>
      </c>
      <c r="AL8" s="20" t="str">
        <f>IF(F8=0,"",ROUNDUP($F5/F8,0))</f>
        <v/>
      </c>
      <c r="AM8" s="20" t="str">
        <f>IF(G8=0,"",ROUNDUP($G5/G8,0))</f>
        <v/>
      </c>
      <c r="AN8" s="20" t="str">
        <f>IF(H8=0,"",ROUNDUP($H5/H8,0))</f>
        <v/>
      </c>
      <c r="AO8" s="20" t="str">
        <f>IF(I8=0,"",ROUNDUP($I5/I8,0))</f>
        <v/>
      </c>
      <c r="AP8" s="20" t="str">
        <f>IF(J8=0,"",ROUNDUP($J5/J8,0))</f>
        <v/>
      </c>
      <c r="AQ8" s="20" t="str">
        <f>IF(K8=0,"",ROUNDUP($K5/K8,0))</f>
        <v/>
      </c>
      <c r="AR8" s="20" t="str">
        <f>IF(L8=0,"",ROUNDUP($L5/L8,0))</f>
        <v/>
      </c>
      <c r="AS8" s="20" t="str">
        <f>IF(M8=0,"",ROUNDUP($M5/M8,0))</f>
        <v/>
      </c>
      <c r="AT8" s="20" t="str">
        <f>IF(N8=0,"",ROUNDUP($N5/N8,0))</f>
        <v/>
      </c>
      <c r="AU8" s="20" t="str">
        <f>IF(O8=0,"",ROUNDUP($O5/O8,0))</f>
        <v/>
      </c>
      <c r="AV8" s="20" t="str">
        <f>IF(P8=0,"",ROUNDUP($P5/P8,0))</f>
        <v/>
      </c>
      <c r="AW8" s="20" t="str">
        <f>IF(Q8=0,"",ROUNDUP($Q5/Q8,0))</f>
        <v/>
      </c>
      <c r="AX8" s="20" t="str">
        <f>IF(R8=0,"",ROUNDUP($R5/R8,0))</f>
        <v/>
      </c>
      <c r="AY8" s="20" t="str">
        <f>IF(S8=0,"",ROUNDUP($S5/S8,0))</f>
        <v/>
      </c>
      <c r="AZ8" s="20" t="str">
        <f t="shared" ref="AZ8" si="4">IF(T8=0,"",ROUNDUP(T$5/T8,0))</f>
        <v/>
      </c>
      <c r="BA8" s="20" t="str">
        <f t="shared" ref="AZ8:BI22" si="5">IF(U8=0,"",ROUNDUP(U$5/U8,0))</f>
        <v/>
      </c>
      <c r="BB8" s="20" t="str">
        <f t="shared" si="5"/>
        <v/>
      </c>
      <c r="BC8" s="20" t="str">
        <f t="shared" si="5"/>
        <v/>
      </c>
      <c r="BD8" s="20" t="str">
        <f t="shared" si="5"/>
        <v/>
      </c>
      <c r="BE8" s="20" t="str">
        <f t="shared" si="5"/>
        <v/>
      </c>
      <c r="BF8" s="20" t="str">
        <f t="shared" si="5"/>
        <v/>
      </c>
      <c r="BG8" s="20" t="str">
        <f t="shared" si="5"/>
        <v/>
      </c>
      <c r="BH8" s="20" t="str">
        <f t="shared" si="5"/>
        <v/>
      </c>
      <c r="BI8" s="20" t="str">
        <f t="shared" si="5"/>
        <v/>
      </c>
      <c r="BJ8" s="31"/>
    </row>
    <row r="9" spans="1:62" customFormat="1">
      <c r="A9" s="81"/>
      <c r="B9" s="12"/>
      <c r="C9" s="12"/>
      <c r="D9" s="44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19" t="str">
        <f t="shared" si="3"/>
        <v/>
      </c>
      <c r="AF9" s="38"/>
      <c r="AG9" s="38"/>
      <c r="AH9" s="45"/>
      <c r="AI9" s="18" t="str">
        <f>IF(AD9="","",(AF9+(AG9/36))*AD9)</f>
        <v/>
      </c>
      <c r="AJ9" s="74"/>
      <c r="AK9" s="20" t="str">
        <f>IF(E9=0,"",ROUNDUP($E5/E9,0))</f>
        <v/>
      </c>
      <c r="AL9" s="20" t="str">
        <f>IF(F9=0,"",ROUNDUP($F5/F9,0))</f>
        <v/>
      </c>
      <c r="AM9" s="20" t="str">
        <f>IF(G9=0,"",ROUNDUP($G5/G9,0))</f>
        <v/>
      </c>
      <c r="AN9" s="20" t="str">
        <f>IF(H9=0,"",ROUNDUP($H5/H9,0))</f>
        <v/>
      </c>
      <c r="AO9" s="20" t="str">
        <f>IF(I9=0,"",ROUNDUP($I5/I9,0))</f>
        <v/>
      </c>
      <c r="AP9" s="20" t="str">
        <f>IF(J9=0,"",ROUNDUP($J5/J9,0))</f>
        <v/>
      </c>
      <c r="AQ9" s="20" t="str">
        <f>IF(K9=0,"",ROUNDUP($K5/K9,0))</f>
        <v/>
      </c>
      <c r="AR9" s="20" t="str">
        <f>IF(L9=0,"",ROUNDUP($L5/L9,0))</f>
        <v/>
      </c>
      <c r="AS9" s="20" t="str">
        <f>IF(M9=0,"",ROUNDUP($M5/M9,0))</f>
        <v/>
      </c>
      <c r="AT9" s="20" t="str">
        <f>IF(N9=0,"",ROUNDUP($N5/N9,0))</f>
        <v/>
      </c>
      <c r="AU9" s="20" t="str">
        <f>IF(O9=0,"",ROUNDUP($O5/O9,0))</f>
        <v/>
      </c>
      <c r="AV9" s="20" t="str">
        <f>IF(P9=0,"",ROUNDUP($P5/P9,0))</f>
        <v/>
      </c>
      <c r="AW9" s="20" t="str">
        <f>IF(Q9=0,"",ROUNDUP($Q5/Q9,0))</f>
        <v/>
      </c>
      <c r="AX9" s="20" t="str">
        <f>IF(R9=0,"",ROUNDUP($R5/R9,0))</f>
        <v/>
      </c>
      <c r="AY9" s="20" t="str">
        <f>IF(S9=0,"",ROUNDUP($S5/S9,0))</f>
        <v/>
      </c>
      <c r="AZ9" s="20" t="str">
        <f t="shared" si="5"/>
        <v/>
      </c>
      <c r="BA9" s="20" t="str">
        <f t="shared" si="5"/>
        <v/>
      </c>
      <c r="BB9" s="20" t="str">
        <f t="shared" si="5"/>
        <v/>
      </c>
      <c r="BC9" s="20" t="str">
        <f t="shared" si="5"/>
        <v/>
      </c>
      <c r="BD9" s="20" t="str">
        <f t="shared" si="5"/>
        <v/>
      </c>
      <c r="BE9" s="20" t="str">
        <f t="shared" si="5"/>
        <v/>
      </c>
      <c r="BF9" s="20" t="str">
        <f t="shared" si="5"/>
        <v/>
      </c>
      <c r="BG9" s="20" t="str">
        <f t="shared" si="5"/>
        <v/>
      </c>
      <c r="BH9" s="20" t="str">
        <f t="shared" si="5"/>
        <v/>
      </c>
      <c r="BI9" s="20" t="str">
        <f t="shared" si="5"/>
        <v/>
      </c>
      <c r="BJ9" s="31"/>
    </row>
    <row r="10" spans="1:62" customFormat="1">
      <c r="A10" s="81"/>
      <c r="B10" s="12"/>
      <c r="C10" s="12"/>
      <c r="D10" s="44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19" t="str">
        <f t="shared" si="3"/>
        <v/>
      </c>
      <c r="AF10" s="38"/>
      <c r="AG10" s="38"/>
      <c r="AH10" s="45"/>
      <c r="AI10" s="18" t="str">
        <f>IF(AD10="","",(AF10+(AG10/36))*AD10)</f>
        <v/>
      </c>
      <c r="AJ10" s="74"/>
      <c r="AK10" s="20" t="str">
        <f>IF(E10=0,"",ROUNDUP($E5/E10,0))</f>
        <v/>
      </c>
      <c r="AL10" s="20" t="str">
        <f>IF(F10=0,"",ROUNDUP($F5/F10,0))</f>
        <v/>
      </c>
      <c r="AM10" s="20" t="str">
        <f>IF(G10=0,"",ROUNDUP($G5/G10,0))</f>
        <v/>
      </c>
      <c r="AN10" s="20" t="str">
        <f>IF(H10=0,"",ROUNDUP($H5/H10,0))</f>
        <v/>
      </c>
      <c r="AO10" s="20" t="str">
        <f>IF(I10=0,"",ROUNDUP($I5/I10,0))</f>
        <v/>
      </c>
      <c r="AP10" s="20" t="str">
        <f>IF(J10=0,"",ROUNDUP($J5/J10,0))</f>
        <v/>
      </c>
      <c r="AQ10" s="20" t="str">
        <f>IF(K10=0,"",ROUNDUP($K5/K10,0))</f>
        <v/>
      </c>
      <c r="AR10" s="20" t="str">
        <f>IF(L10=0,"",ROUNDUP($L5/L10,0))</f>
        <v/>
      </c>
      <c r="AS10" s="20" t="str">
        <f>IF(M10=0,"",ROUNDUP($M5/M10,0))</f>
        <v/>
      </c>
      <c r="AT10" s="20" t="str">
        <f>IF(N10=0,"",ROUNDUP($N5/N10,0))</f>
        <v/>
      </c>
      <c r="AU10" s="20" t="str">
        <f>IF(O10=0,"",ROUNDUP($O5/O10,0))</f>
        <v/>
      </c>
      <c r="AV10" s="20" t="str">
        <f>IF(P10=0,"",ROUNDUP($P5/P10,0))</f>
        <v/>
      </c>
      <c r="AW10" s="20" t="str">
        <f>IF(Q10=0,"",ROUNDUP($Q5/Q10,0))</f>
        <v/>
      </c>
      <c r="AX10" s="20" t="str">
        <f>IF(R10=0,"",ROUNDUP($R5/R10,0))</f>
        <v/>
      </c>
      <c r="AY10" s="20" t="str">
        <f>IF(S10=0,"",ROUNDUP($S5/S10,0))</f>
        <v/>
      </c>
      <c r="AZ10" s="20" t="str">
        <f t="shared" si="5"/>
        <v/>
      </c>
      <c r="BA10" s="20" t="str">
        <f t="shared" si="5"/>
        <v/>
      </c>
      <c r="BB10" s="20" t="str">
        <f t="shared" si="5"/>
        <v/>
      </c>
      <c r="BC10" s="20" t="str">
        <f t="shared" si="5"/>
        <v/>
      </c>
      <c r="BD10" s="20" t="str">
        <f t="shared" si="5"/>
        <v/>
      </c>
      <c r="BE10" s="20" t="str">
        <f t="shared" si="5"/>
        <v/>
      </c>
      <c r="BF10" s="20" t="str">
        <f t="shared" si="5"/>
        <v/>
      </c>
      <c r="BG10" s="20" t="str">
        <f t="shared" si="5"/>
        <v/>
      </c>
      <c r="BH10" s="20" t="str">
        <f t="shared" si="5"/>
        <v/>
      </c>
      <c r="BI10" s="20" t="str">
        <f t="shared" si="5"/>
        <v/>
      </c>
      <c r="BJ10" s="31"/>
    </row>
    <row r="11" spans="1:62" customFormat="1">
      <c r="A11" s="81"/>
      <c r="B11" s="12"/>
      <c r="C11" s="12"/>
      <c r="D11" s="44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19" t="str">
        <f t="shared" si="3"/>
        <v/>
      </c>
      <c r="AF11" s="38"/>
      <c r="AG11" s="38"/>
      <c r="AH11" s="45"/>
      <c r="AI11" s="18" t="str">
        <f>IF(AD11="","",(AF11+(AG11/36))*AD11)</f>
        <v/>
      </c>
      <c r="AJ11" s="74"/>
      <c r="AK11" s="20" t="str">
        <f>IF(E11=0,"",ROUNDUP($E5/E11,0))</f>
        <v/>
      </c>
      <c r="AL11" s="20" t="str">
        <f>IF(F11=0,"",ROUNDUP($F5/F11,0))</f>
        <v/>
      </c>
      <c r="AM11" s="20" t="str">
        <f>IF(G11=0,"",ROUNDUP($G5/G11,0))</f>
        <v/>
      </c>
      <c r="AN11" s="20" t="str">
        <f>IF(H11=0,"",ROUNDUP($H5/H11,0))</f>
        <v/>
      </c>
      <c r="AO11" s="20" t="str">
        <f>IF(I11=0,"",ROUNDUP($I5/I11,0))</f>
        <v/>
      </c>
      <c r="AP11" s="20" t="str">
        <f>IF(J11=0,"",ROUNDUP($J5/J11,0))</f>
        <v/>
      </c>
      <c r="AQ11" s="20" t="str">
        <f>IF(K11=0,"",ROUNDUP($K5/K11,0))</f>
        <v/>
      </c>
      <c r="AR11" s="20" t="str">
        <f>IF(L11=0,"",ROUNDUP($L5/L11,0))</f>
        <v/>
      </c>
      <c r="AS11" s="20" t="str">
        <f>IF(M11=0,"",ROUNDUP($M5/M11,0))</f>
        <v/>
      </c>
      <c r="AT11" s="20" t="str">
        <f>IF(N11=0,"",ROUNDUP($N5/N11,0))</f>
        <v/>
      </c>
      <c r="AU11" s="20" t="str">
        <f>IF(O11=0,"",ROUNDUP($O5/O11,0))</f>
        <v/>
      </c>
      <c r="AV11" s="20" t="str">
        <f>IF(P11=0,"",ROUNDUP($P5/P11,0))</f>
        <v/>
      </c>
      <c r="AW11" s="20" t="str">
        <f>IF(Q11=0,"",ROUNDUP($Q5/Q11,0))</f>
        <v/>
      </c>
      <c r="AX11" s="20" t="str">
        <f>IF(R11=0,"",ROUNDUP($R5/R11,0))</f>
        <v/>
      </c>
      <c r="AY11" s="20" t="str">
        <f>IF(S11=0,"",ROUNDUP($S5/S11,0))</f>
        <v/>
      </c>
      <c r="AZ11" s="20" t="str">
        <f t="shared" si="5"/>
        <v/>
      </c>
      <c r="BA11" s="20" t="str">
        <f t="shared" si="5"/>
        <v/>
      </c>
      <c r="BB11" s="20" t="str">
        <f t="shared" si="5"/>
        <v/>
      </c>
      <c r="BC11" s="20" t="str">
        <f t="shared" si="5"/>
        <v/>
      </c>
      <c r="BD11" s="20" t="str">
        <f t="shared" si="5"/>
        <v/>
      </c>
      <c r="BE11" s="20" t="str">
        <f t="shared" si="5"/>
        <v/>
      </c>
      <c r="BF11" s="20" t="str">
        <f t="shared" si="5"/>
        <v/>
      </c>
      <c r="BG11" s="20" t="str">
        <f t="shared" si="5"/>
        <v/>
      </c>
      <c r="BH11" s="20" t="str">
        <f t="shared" si="5"/>
        <v/>
      </c>
      <c r="BI11" s="20" t="str">
        <f t="shared" si="5"/>
        <v/>
      </c>
      <c r="BJ11" s="31"/>
    </row>
    <row r="12" spans="1:62" customFormat="1">
      <c r="A12" s="81"/>
      <c r="B12" s="12"/>
      <c r="C12" s="12"/>
      <c r="D12" s="44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19" t="str">
        <f t="shared" si="3"/>
        <v/>
      </c>
      <c r="AF12" s="38"/>
      <c r="AG12" s="38"/>
      <c r="AH12" s="45"/>
      <c r="AI12" s="18" t="str">
        <f>IF(AD12="","",(AF12+(AG12/36))*AD12)</f>
        <v/>
      </c>
      <c r="AJ12" s="74"/>
      <c r="AK12" s="20" t="str">
        <f>IF(E12=0,"",ROUNDUP($E5/E12,0))</f>
        <v/>
      </c>
      <c r="AL12" s="20" t="str">
        <f>IF(F12=0,"",ROUNDUP($F5/F12,0))</f>
        <v/>
      </c>
      <c r="AM12" s="20" t="str">
        <f>IF(G12=0,"",ROUNDUP($G5/G12,0))</f>
        <v/>
      </c>
      <c r="AN12" s="20" t="str">
        <f>IF(H12=0,"",ROUNDUP($H5/H12,0))</f>
        <v/>
      </c>
      <c r="AO12" s="20" t="str">
        <f>IF(I12=0,"",ROUNDUP($I5/I12,0))</f>
        <v/>
      </c>
      <c r="AP12" s="20" t="str">
        <f>IF(J12=0,"",ROUNDUP($J5/J12,0))</f>
        <v/>
      </c>
      <c r="AQ12" s="20" t="str">
        <f>IF(K12=0,"",ROUNDUP($K5/K12,0))</f>
        <v/>
      </c>
      <c r="AR12" s="20" t="str">
        <f>IF(L12=0,"",ROUNDUP($L5/L12,0))</f>
        <v/>
      </c>
      <c r="AS12" s="20" t="str">
        <f>IF(M12=0,"",ROUNDUP($M5/M12,0))</f>
        <v/>
      </c>
      <c r="AT12" s="20" t="str">
        <f>IF(N12=0,"",ROUNDUP($N5/N12,0))</f>
        <v/>
      </c>
      <c r="AU12" s="20" t="str">
        <f>IF(O12=0,"",ROUNDUP($O5/O12,0))</f>
        <v/>
      </c>
      <c r="AV12" s="20" t="str">
        <f>IF(P12=0,"",ROUNDUP($P5/P12,0))</f>
        <v/>
      </c>
      <c r="AW12" s="20" t="str">
        <f>IF(Q12=0,"",ROUNDUP($Q5/Q12,0))</f>
        <v/>
      </c>
      <c r="AX12" s="20" t="str">
        <f>IF(R12=0,"",ROUNDUP($R5/R12,0))</f>
        <v/>
      </c>
      <c r="AY12" s="20" t="str">
        <f>IF(S12=0,"",ROUNDUP($S5/S12,0))</f>
        <v/>
      </c>
      <c r="AZ12" s="20" t="str">
        <f t="shared" si="5"/>
        <v/>
      </c>
      <c r="BA12" s="20" t="str">
        <f t="shared" si="5"/>
        <v/>
      </c>
      <c r="BB12" s="20" t="str">
        <f t="shared" si="5"/>
        <v/>
      </c>
      <c r="BC12" s="20" t="str">
        <f t="shared" si="5"/>
        <v/>
      </c>
      <c r="BD12" s="20" t="str">
        <f t="shared" si="5"/>
        <v/>
      </c>
      <c r="BE12" s="20" t="str">
        <f t="shared" si="5"/>
        <v/>
      </c>
      <c r="BF12" s="20" t="str">
        <f t="shared" si="5"/>
        <v/>
      </c>
      <c r="BG12" s="20" t="str">
        <f t="shared" si="5"/>
        <v/>
      </c>
      <c r="BH12" s="20" t="str">
        <f t="shared" si="5"/>
        <v/>
      </c>
      <c r="BI12" s="20" t="str">
        <f t="shared" si="5"/>
        <v/>
      </c>
      <c r="BJ12" s="31"/>
    </row>
    <row r="13" spans="1:62" customFormat="1">
      <c r="A13" s="81"/>
      <c r="B13" s="12"/>
      <c r="C13" s="12"/>
      <c r="D13" s="44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19" t="str">
        <f t="shared" si="3"/>
        <v/>
      </c>
      <c r="AF13" s="13"/>
      <c r="AG13" s="13"/>
      <c r="AH13" s="13"/>
      <c r="AI13" s="18" t="str">
        <f t="shared" ref="AI13:AI22" si="6">IF(AD13="","",(AF13+(AG13/36))*AD13)</f>
        <v/>
      </c>
      <c r="AJ13" s="74"/>
      <c r="AK13" s="20" t="str">
        <f>IF(E13=0,"",ROUNDUP($E5/E13,0))</f>
        <v/>
      </c>
      <c r="AL13" s="20" t="str">
        <f>IF(F13=0,"",ROUNDUP($F5/F13,0))</f>
        <v/>
      </c>
      <c r="AM13" s="20" t="str">
        <f>IF(G13=0,"",ROUNDUP($G5/G13,0))</f>
        <v/>
      </c>
      <c r="AN13" s="20" t="str">
        <f>IF(H13=0,"",ROUNDUP($H5/H13,0))</f>
        <v/>
      </c>
      <c r="AO13" s="20" t="str">
        <f>IF(I13=0,"",ROUNDUP($I5/I13,0))</f>
        <v/>
      </c>
      <c r="AP13" s="20" t="str">
        <f>IF(J13=0,"",ROUNDUP($J5/J13,0))</f>
        <v/>
      </c>
      <c r="AQ13" s="20" t="str">
        <f>IF(K13=0,"",ROUNDUP($K5/K13,0))</f>
        <v/>
      </c>
      <c r="AR13" s="20" t="str">
        <f>IF(L13=0,"",ROUNDUP($L5/L13,0))</f>
        <v/>
      </c>
      <c r="AS13" s="20" t="str">
        <f>IF(M13=0,"",ROUNDUP($M5/M13,0))</f>
        <v/>
      </c>
      <c r="AT13" s="20" t="str">
        <f>IF(N13=0,"",ROUNDUP($N5/N13,0))</f>
        <v/>
      </c>
      <c r="AU13" s="20" t="str">
        <f>IF(O13=0,"",ROUNDUP($O5/O13,0))</f>
        <v/>
      </c>
      <c r="AV13" s="20" t="str">
        <f>IF(P13=0,"",ROUNDUP($P5/P13,0))</f>
        <v/>
      </c>
      <c r="AW13" s="20" t="str">
        <f>IF(Q13=0,"",ROUNDUP($Q5/Q13,0))</f>
        <v/>
      </c>
      <c r="AX13" s="20" t="str">
        <f>IF(R13=0,"",ROUNDUP($R5/R13,0))</f>
        <v/>
      </c>
      <c r="AY13" s="20" t="str">
        <f>IF(S13=0,"",ROUNDUP($S5/S13,0))</f>
        <v/>
      </c>
      <c r="AZ13" s="20" t="str">
        <f t="shared" si="5"/>
        <v/>
      </c>
      <c r="BA13" s="20" t="str">
        <f t="shared" si="5"/>
        <v/>
      </c>
      <c r="BB13" s="20" t="str">
        <f t="shared" si="5"/>
        <v/>
      </c>
      <c r="BC13" s="20" t="str">
        <f t="shared" si="5"/>
        <v/>
      </c>
      <c r="BD13" s="20" t="str">
        <f t="shared" si="5"/>
        <v/>
      </c>
      <c r="BE13" s="20" t="str">
        <f t="shared" si="5"/>
        <v/>
      </c>
      <c r="BF13" s="20" t="str">
        <f t="shared" si="5"/>
        <v/>
      </c>
      <c r="BG13" s="20" t="str">
        <f t="shared" si="5"/>
        <v/>
      </c>
      <c r="BH13" s="20" t="str">
        <f t="shared" si="5"/>
        <v/>
      </c>
      <c r="BI13" s="20" t="str">
        <f t="shared" si="5"/>
        <v/>
      </c>
      <c r="BJ13" s="31"/>
    </row>
    <row r="14" spans="1:62" customFormat="1">
      <c r="A14" s="81"/>
      <c r="B14" s="12"/>
      <c r="C14" s="12"/>
      <c r="D14" s="44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19" t="str">
        <f t="shared" si="3"/>
        <v/>
      </c>
      <c r="AF14" s="13"/>
      <c r="AG14" s="13"/>
      <c r="AH14" s="13"/>
      <c r="AI14" s="18" t="str">
        <f t="shared" si="6"/>
        <v/>
      </c>
      <c r="AJ14" s="74"/>
      <c r="AK14" s="20" t="str">
        <f>IF(E14=0,"",ROUNDUP($E5/E14,0))</f>
        <v/>
      </c>
      <c r="AL14" s="20" t="str">
        <f>IF(F14=0,"",ROUNDUP($F5/F14,0))</f>
        <v/>
      </c>
      <c r="AM14" s="20" t="str">
        <f>IF(G14=0,"",ROUNDUP($G5/G14,0))</f>
        <v/>
      </c>
      <c r="AN14" s="20" t="str">
        <f>IF(H14=0,"",ROUNDUP($H5/H14,0))</f>
        <v/>
      </c>
      <c r="AO14" s="20" t="str">
        <f>IF(I14=0,"",ROUNDUP($I5/I14,0))</f>
        <v/>
      </c>
      <c r="AP14" s="20" t="str">
        <f>IF(J14=0,"",ROUNDUP($J5/J14,0))</f>
        <v/>
      </c>
      <c r="AQ14" s="20" t="str">
        <f>IF(K14=0,"",ROUNDUP($K5/K14,0))</f>
        <v/>
      </c>
      <c r="AR14" s="20" t="str">
        <f>IF(L14=0,"",ROUNDUP($L5/L14,0))</f>
        <v/>
      </c>
      <c r="AS14" s="20" t="str">
        <f>IF(M14=0,"",ROUNDUP($M5/M14,0))</f>
        <v/>
      </c>
      <c r="AT14" s="20" t="str">
        <f>IF(N14=0,"",ROUNDUP($N5/N14,0))</f>
        <v/>
      </c>
      <c r="AU14" s="20" t="str">
        <f>IF(O14=0,"",ROUNDUP($O5/O14,0))</f>
        <v/>
      </c>
      <c r="AV14" s="20" t="str">
        <f>IF(P14=0,"",ROUNDUP($P5/P14,0))</f>
        <v/>
      </c>
      <c r="AW14" s="20" t="str">
        <f>IF(Q14=0,"",ROUNDUP($Q5/Q14,0))</f>
        <v/>
      </c>
      <c r="AX14" s="20" t="str">
        <f>IF(R14=0,"",ROUNDUP($R5/R14,0))</f>
        <v/>
      </c>
      <c r="AY14" s="20" t="str">
        <f>IF(S14=0,"",ROUNDUP($S5/S14,0))</f>
        <v/>
      </c>
      <c r="AZ14" s="20" t="str">
        <f t="shared" si="5"/>
        <v/>
      </c>
      <c r="BA14" s="20" t="str">
        <f t="shared" si="5"/>
        <v/>
      </c>
      <c r="BB14" s="20" t="str">
        <f t="shared" si="5"/>
        <v/>
      </c>
      <c r="BC14" s="20" t="str">
        <f t="shared" si="5"/>
        <v/>
      </c>
      <c r="BD14" s="20" t="str">
        <f t="shared" si="5"/>
        <v/>
      </c>
      <c r="BE14" s="20" t="str">
        <f t="shared" si="5"/>
        <v/>
      </c>
      <c r="BF14" s="20" t="str">
        <f t="shared" si="5"/>
        <v/>
      </c>
      <c r="BG14" s="20" t="str">
        <f t="shared" si="5"/>
        <v/>
      </c>
      <c r="BH14" s="20" t="str">
        <f t="shared" si="5"/>
        <v/>
      </c>
      <c r="BI14" s="20" t="str">
        <f t="shared" si="5"/>
        <v/>
      </c>
      <c r="BJ14" s="31"/>
    </row>
    <row r="15" spans="1:62" customFormat="1">
      <c r="A15" s="81"/>
      <c r="B15" s="12"/>
      <c r="C15" s="12"/>
      <c r="D15" s="44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19" t="str">
        <f t="shared" si="3"/>
        <v/>
      </c>
      <c r="AF15" s="13"/>
      <c r="AG15" s="13"/>
      <c r="AH15" s="13"/>
      <c r="AI15" s="18" t="str">
        <f t="shared" si="6"/>
        <v/>
      </c>
      <c r="AJ15" s="74"/>
      <c r="AK15" s="20" t="str">
        <f>IF(E15=0,"",ROUNDUP($E5/E15,0))</f>
        <v/>
      </c>
      <c r="AL15" s="20" t="str">
        <f>IF(F15=0,"",ROUNDUP($F5/F15,0))</f>
        <v/>
      </c>
      <c r="AM15" s="20" t="str">
        <f>IF(G15=0,"",ROUNDUP($G5/G15,0))</f>
        <v/>
      </c>
      <c r="AN15" s="20" t="str">
        <f>IF(H15=0,"",ROUNDUP($H5/H15,0))</f>
        <v/>
      </c>
      <c r="AO15" s="20" t="str">
        <f>IF(I15=0,"",ROUNDUP($I5/I15,0))</f>
        <v/>
      </c>
      <c r="AP15" s="20" t="str">
        <f>IF(J15=0,"",ROUNDUP($J5/J15,0))</f>
        <v/>
      </c>
      <c r="AQ15" s="20" t="str">
        <f>IF(K15=0,"",ROUNDUP($K5/K15,0))</f>
        <v/>
      </c>
      <c r="AR15" s="20" t="str">
        <f>IF(L15=0,"",ROUNDUP($L5/L15,0))</f>
        <v/>
      </c>
      <c r="AS15" s="20" t="str">
        <f>IF(M15=0,"",ROUNDUP($M5/M15,0))</f>
        <v/>
      </c>
      <c r="AT15" s="20" t="str">
        <f>IF(N15=0,"",ROUNDUP($N5/N15,0))</f>
        <v/>
      </c>
      <c r="AU15" s="20" t="str">
        <f>IF(O15=0,"",ROUNDUP($O5/O15,0))</f>
        <v/>
      </c>
      <c r="AV15" s="20" t="str">
        <f>IF(P15=0,"",ROUNDUP($P5/P15,0))</f>
        <v/>
      </c>
      <c r="AW15" s="20" t="str">
        <f>IF(Q15=0,"",ROUNDUP($Q5/Q15,0))</f>
        <v/>
      </c>
      <c r="AX15" s="20" t="str">
        <f>IF(R15=0,"",ROUNDUP($R5/R15,0))</f>
        <v/>
      </c>
      <c r="AY15" s="20" t="str">
        <f>IF(S15=0,"",ROUNDUP($S5/S15,0))</f>
        <v/>
      </c>
      <c r="AZ15" s="20" t="str">
        <f t="shared" si="5"/>
        <v/>
      </c>
      <c r="BA15" s="20" t="str">
        <f t="shared" si="5"/>
        <v/>
      </c>
      <c r="BB15" s="20" t="str">
        <f t="shared" si="5"/>
        <v/>
      </c>
      <c r="BC15" s="20" t="str">
        <f t="shared" si="5"/>
        <v/>
      </c>
      <c r="BD15" s="20" t="str">
        <f t="shared" si="5"/>
        <v/>
      </c>
      <c r="BE15" s="20" t="str">
        <f t="shared" si="5"/>
        <v/>
      </c>
      <c r="BF15" s="20" t="str">
        <f t="shared" si="5"/>
        <v/>
      </c>
      <c r="BG15" s="20" t="str">
        <f t="shared" si="5"/>
        <v/>
      </c>
      <c r="BH15" s="20" t="str">
        <f t="shared" si="5"/>
        <v/>
      </c>
      <c r="BI15" s="20" t="str">
        <f t="shared" si="5"/>
        <v/>
      </c>
      <c r="BJ15" s="31"/>
    </row>
    <row r="16" spans="1:62" customFormat="1">
      <c r="A16" s="81"/>
      <c r="B16" s="12"/>
      <c r="C16" s="12"/>
      <c r="D16" s="44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19" t="str">
        <f t="shared" si="3"/>
        <v/>
      </c>
      <c r="AF16" s="13"/>
      <c r="AG16" s="13"/>
      <c r="AH16" s="13"/>
      <c r="AI16" s="18" t="str">
        <f t="shared" si="6"/>
        <v/>
      </c>
      <c r="AJ16" s="74"/>
      <c r="AK16" s="20" t="str">
        <f>IF(E16=0,"",ROUNDUP($E5/E16,0))</f>
        <v/>
      </c>
      <c r="AL16" s="20" t="str">
        <f>IF(F16=0,"",ROUNDUP($F5/F16,0))</f>
        <v/>
      </c>
      <c r="AM16" s="20" t="str">
        <f>IF(G16=0,"",ROUNDUP($G5/G16,0))</f>
        <v/>
      </c>
      <c r="AN16" s="20" t="str">
        <f>IF(H16=0,"",ROUNDUP($H5/H16,0))</f>
        <v/>
      </c>
      <c r="AO16" s="20" t="str">
        <f>IF(I16=0,"",ROUNDUP($I5/I16,0))</f>
        <v/>
      </c>
      <c r="AP16" s="20" t="str">
        <f>IF(J16=0,"",ROUNDUP($J5/J16,0))</f>
        <v/>
      </c>
      <c r="AQ16" s="20" t="str">
        <f>IF(K16=0,"",ROUNDUP($K5/K16,0))</f>
        <v/>
      </c>
      <c r="AR16" s="20" t="str">
        <f>IF(L16=0,"",ROUNDUP($L5/L16,0))</f>
        <v/>
      </c>
      <c r="AS16" s="20" t="str">
        <f>IF(M16=0,"",ROUNDUP($M5/M16,0))</f>
        <v/>
      </c>
      <c r="AT16" s="20" t="str">
        <f>IF(N16=0,"",ROUNDUP($N5/N16,0))</f>
        <v/>
      </c>
      <c r="AU16" s="20" t="str">
        <f>IF(O16=0,"",ROUNDUP($O5/O16,0))</f>
        <v/>
      </c>
      <c r="AV16" s="20" t="str">
        <f>IF(P16=0,"",ROUNDUP($P5/P16,0))</f>
        <v/>
      </c>
      <c r="AW16" s="20" t="str">
        <f>IF(Q16=0,"",ROUNDUP($Q5/Q16,0))</f>
        <v/>
      </c>
      <c r="AX16" s="20" t="str">
        <f>IF(R16=0,"",ROUNDUP($R5/R16,0))</f>
        <v/>
      </c>
      <c r="AY16" s="20" t="str">
        <f>IF(S16=0,"",ROUNDUP($S5/S16,0))</f>
        <v/>
      </c>
      <c r="AZ16" s="20" t="str">
        <f t="shared" si="5"/>
        <v/>
      </c>
      <c r="BA16" s="20" t="str">
        <f t="shared" si="5"/>
        <v/>
      </c>
      <c r="BB16" s="20" t="str">
        <f t="shared" si="5"/>
        <v/>
      </c>
      <c r="BC16" s="20" t="str">
        <f t="shared" si="5"/>
        <v/>
      </c>
      <c r="BD16" s="20" t="str">
        <f t="shared" si="5"/>
        <v/>
      </c>
      <c r="BE16" s="20" t="str">
        <f t="shared" si="5"/>
        <v/>
      </c>
      <c r="BF16" s="20" t="str">
        <f t="shared" si="5"/>
        <v/>
      </c>
      <c r="BG16" s="20" t="str">
        <f t="shared" si="5"/>
        <v/>
      </c>
      <c r="BH16" s="20" t="str">
        <f t="shared" si="5"/>
        <v/>
      </c>
      <c r="BI16" s="20" t="str">
        <f t="shared" si="5"/>
        <v/>
      </c>
      <c r="BJ16" s="31"/>
    </row>
    <row r="17" spans="1:62" customFormat="1">
      <c r="A17" s="81"/>
      <c r="B17" s="12"/>
      <c r="C17" s="12"/>
      <c r="D17" s="44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19" t="str">
        <f t="shared" si="3"/>
        <v/>
      </c>
      <c r="AF17" s="13"/>
      <c r="AG17" s="13"/>
      <c r="AH17" s="13"/>
      <c r="AI17" s="18" t="str">
        <f t="shared" si="6"/>
        <v/>
      </c>
      <c r="AJ17" s="74"/>
      <c r="AK17" s="20" t="str">
        <f>IF(E17=0,"",ROUNDUP($E5/E17,0))</f>
        <v/>
      </c>
      <c r="AL17" s="20" t="str">
        <f>IF(F17=0,"",ROUNDUP($F5/F17,0))</f>
        <v/>
      </c>
      <c r="AM17" s="20" t="str">
        <f>IF(G17=0,"",ROUNDUP($G5/G17,0))</f>
        <v/>
      </c>
      <c r="AN17" s="20" t="str">
        <f>IF(H17=0,"",ROUNDUP($H5/H17,0))</f>
        <v/>
      </c>
      <c r="AO17" s="20" t="str">
        <f>IF(I17=0,"",ROUNDUP($I5/I17,0))</f>
        <v/>
      </c>
      <c r="AP17" s="20" t="str">
        <f>IF(J17=0,"",ROUNDUP($J5/J17,0))</f>
        <v/>
      </c>
      <c r="AQ17" s="20" t="str">
        <f>IF(K17=0,"",ROUNDUP($K5/K17,0))</f>
        <v/>
      </c>
      <c r="AR17" s="20" t="str">
        <f>IF(L17=0,"",ROUNDUP($L5/L17,0))</f>
        <v/>
      </c>
      <c r="AS17" s="20" t="str">
        <f>IF(M17=0,"",ROUNDUP($M5/M17,0))</f>
        <v/>
      </c>
      <c r="AT17" s="20" t="str">
        <f>IF(N17=0,"",ROUNDUP($N5/N17,0))</f>
        <v/>
      </c>
      <c r="AU17" s="20" t="str">
        <f>IF(O17=0,"",ROUNDUP($O5/O17,0))</f>
        <v/>
      </c>
      <c r="AV17" s="20" t="str">
        <f>IF(P17=0,"",ROUNDUP($P5/P17,0))</f>
        <v/>
      </c>
      <c r="AW17" s="20" t="str">
        <f>IF(Q17=0,"",ROUNDUP($Q5/Q17,0))</f>
        <v/>
      </c>
      <c r="AX17" s="20" t="str">
        <f>IF(R17=0,"",ROUNDUP($R5/R17,0))</f>
        <v/>
      </c>
      <c r="AY17" s="20" t="str">
        <f>IF(S17=0,"",ROUNDUP($S5/S17,0))</f>
        <v/>
      </c>
      <c r="AZ17" s="20" t="str">
        <f t="shared" si="5"/>
        <v/>
      </c>
      <c r="BA17" s="20" t="str">
        <f t="shared" si="5"/>
        <v/>
      </c>
      <c r="BB17" s="20" t="str">
        <f t="shared" si="5"/>
        <v/>
      </c>
      <c r="BC17" s="20" t="str">
        <f t="shared" si="5"/>
        <v/>
      </c>
      <c r="BD17" s="20" t="str">
        <f t="shared" si="5"/>
        <v/>
      </c>
      <c r="BE17" s="20" t="str">
        <f t="shared" si="5"/>
        <v/>
      </c>
      <c r="BF17" s="20" t="str">
        <f t="shared" si="5"/>
        <v/>
      </c>
      <c r="BG17" s="20" t="str">
        <f t="shared" si="5"/>
        <v/>
      </c>
      <c r="BH17" s="20" t="str">
        <f t="shared" si="5"/>
        <v/>
      </c>
      <c r="BI17" s="20" t="str">
        <f t="shared" si="5"/>
        <v/>
      </c>
      <c r="BJ17" s="31"/>
    </row>
    <row r="18" spans="1:62" customFormat="1">
      <c r="A18" s="81"/>
      <c r="B18" s="12"/>
      <c r="C18" s="12"/>
      <c r="D18" s="44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24"/>
      <c r="AB18" s="38"/>
      <c r="AC18" s="38"/>
      <c r="AD18" s="38"/>
      <c r="AE18" s="19" t="str">
        <f t="shared" si="3"/>
        <v/>
      </c>
      <c r="AF18" s="13"/>
      <c r="AG18" s="13"/>
      <c r="AH18" s="13"/>
      <c r="AI18" s="18" t="str">
        <f t="shared" si="6"/>
        <v/>
      </c>
      <c r="AJ18" s="74"/>
      <c r="AK18" s="20" t="str">
        <f>IF(E18=0,"",ROUNDUP($E5/E18,0))</f>
        <v/>
      </c>
      <c r="AL18" s="20" t="str">
        <f>IF(F18=0,"",ROUNDUP($F5/F18,0))</f>
        <v/>
      </c>
      <c r="AM18" s="20" t="str">
        <f>IF(G18=0,"",ROUNDUP($G5/G18,0))</f>
        <v/>
      </c>
      <c r="AN18" s="20" t="str">
        <f>IF(H18=0,"",ROUNDUP($H5/H18,0))</f>
        <v/>
      </c>
      <c r="AO18" s="20" t="str">
        <f>IF(I18=0,"",ROUNDUP($I5/I18,0))</f>
        <v/>
      </c>
      <c r="AP18" s="20" t="str">
        <f>IF(J18=0,"",ROUNDUP($J5/J18,0))</f>
        <v/>
      </c>
      <c r="AQ18" s="20" t="str">
        <f>IF(K18=0,"",ROUNDUP($K5/K18,0))</f>
        <v/>
      </c>
      <c r="AR18" s="20" t="str">
        <f>IF(L18=0,"",ROUNDUP($L5/L18,0))</f>
        <v/>
      </c>
      <c r="AS18" s="20" t="str">
        <f>IF(M18=0,"",ROUNDUP($M5/M18,0))</f>
        <v/>
      </c>
      <c r="AT18" s="20" t="str">
        <f>IF(N18=0,"",ROUNDUP($N5/N18,0))</f>
        <v/>
      </c>
      <c r="AU18" s="20" t="str">
        <f>IF(O18=0,"",ROUNDUP($O5/O18,0))</f>
        <v/>
      </c>
      <c r="AV18" s="20" t="str">
        <f>IF(P18=0,"",ROUNDUP($P5/P18,0))</f>
        <v/>
      </c>
      <c r="AW18" s="20" t="str">
        <f>IF(Q18=0,"",ROUNDUP($Q5/Q18,0))</f>
        <v/>
      </c>
      <c r="AX18" s="20" t="str">
        <f>IF(R18=0,"",ROUNDUP($R5/R18,0))</f>
        <v/>
      </c>
      <c r="AY18" s="20" t="str">
        <f>IF(S18=0,"",ROUNDUP($S5/S18,0))</f>
        <v/>
      </c>
      <c r="AZ18" s="20" t="str">
        <f t="shared" si="5"/>
        <v/>
      </c>
      <c r="BA18" s="20" t="str">
        <f t="shared" si="5"/>
        <v/>
      </c>
      <c r="BB18" s="20" t="str">
        <f t="shared" si="5"/>
        <v/>
      </c>
      <c r="BC18" s="20" t="str">
        <f t="shared" si="5"/>
        <v/>
      </c>
      <c r="BD18" s="20" t="str">
        <f t="shared" si="5"/>
        <v/>
      </c>
      <c r="BE18" s="20" t="str">
        <f t="shared" si="5"/>
        <v/>
      </c>
      <c r="BF18" s="20" t="str">
        <f t="shared" si="5"/>
        <v/>
      </c>
      <c r="BG18" s="20" t="str">
        <f t="shared" si="5"/>
        <v/>
      </c>
      <c r="BH18" s="20" t="str">
        <f t="shared" si="5"/>
        <v/>
      </c>
      <c r="BI18" s="20" t="str">
        <f t="shared" si="5"/>
        <v/>
      </c>
      <c r="BJ18" s="31"/>
    </row>
    <row r="19" spans="1:62" customFormat="1">
      <c r="A19" s="81"/>
      <c r="B19" s="12"/>
      <c r="C19" s="12"/>
      <c r="D19" s="44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19" t="str">
        <f t="shared" si="3"/>
        <v/>
      </c>
      <c r="AF19" s="13"/>
      <c r="AG19" s="13"/>
      <c r="AH19" s="13"/>
      <c r="AI19" s="18" t="str">
        <f t="shared" si="6"/>
        <v/>
      </c>
      <c r="AJ19" s="74"/>
      <c r="AK19" s="20" t="str">
        <f>IF(E19=0,"",ROUNDUP($E5/E19,0))</f>
        <v/>
      </c>
      <c r="AL19" s="20" t="str">
        <f>IF(F19=0,"",ROUNDUP($F5/F19,0))</f>
        <v/>
      </c>
      <c r="AM19" s="20" t="str">
        <f>IF(G19=0,"",ROUNDUP($G5/G19,0))</f>
        <v/>
      </c>
      <c r="AN19" s="20" t="str">
        <f>IF(H19=0,"",ROUNDUP($H5/H19,0))</f>
        <v/>
      </c>
      <c r="AO19" s="20" t="str">
        <f>IF(I19=0,"",ROUNDUP($I5/I19,0))</f>
        <v/>
      </c>
      <c r="AP19" s="20" t="str">
        <f>IF(J19=0,"",ROUNDUP($J5/J19,0))</f>
        <v/>
      </c>
      <c r="AQ19" s="20" t="str">
        <f>IF(K19=0,"",ROUNDUP($K5/K19,0))</f>
        <v/>
      </c>
      <c r="AR19" s="20" t="str">
        <f>IF(L19=0,"",ROUNDUP($L5/L19,0))</f>
        <v/>
      </c>
      <c r="AS19" s="20" t="str">
        <f>IF(M19=0,"",ROUNDUP($M5/M19,0))</f>
        <v/>
      </c>
      <c r="AT19" s="20" t="str">
        <f>IF(N19=0,"",ROUNDUP($N5/N19,0))</f>
        <v/>
      </c>
      <c r="AU19" s="20" t="str">
        <f>IF(O19=0,"",ROUNDUP($O5/O19,0))</f>
        <v/>
      </c>
      <c r="AV19" s="20" t="str">
        <f>IF(P19=0,"",ROUNDUP($P5/P19,0))</f>
        <v/>
      </c>
      <c r="AW19" s="20" t="str">
        <f>IF(Q19=0,"",ROUNDUP($Q5/Q19,0))</f>
        <v/>
      </c>
      <c r="AX19" s="20" t="str">
        <f>IF(R19=0,"",ROUNDUP($R5/R19,0))</f>
        <v/>
      </c>
      <c r="AY19" s="20" t="str">
        <f>IF(S19=0,"",ROUNDUP($S5/S19,0))</f>
        <v/>
      </c>
      <c r="AZ19" s="20" t="str">
        <f t="shared" si="5"/>
        <v/>
      </c>
      <c r="BA19" s="20" t="str">
        <f t="shared" si="5"/>
        <v/>
      </c>
      <c r="BB19" s="20" t="str">
        <f t="shared" si="5"/>
        <v/>
      </c>
      <c r="BC19" s="20" t="str">
        <f t="shared" si="5"/>
        <v/>
      </c>
      <c r="BD19" s="20" t="str">
        <f t="shared" si="5"/>
        <v/>
      </c>
      <c r="BE19" s="20" t="str">
        <f t="shared" si="5"/>
        <v/>
      </c>
      <c r="BF19" s="20" t="str">
        <f t="shared" si="5"/>
        <v/>
      </c>
      <c r="BG19" s="20" t="str">
        <f t="shared" si="5"/>
        <v/>
      </c>
      <c r="BH19" s="20" t="str">
        <f t="shared" si="5"/>
        <v/>
      </c>
      <c r="BI19" s="20" t="str">
        <f t="shared" si="5"/>
        <v/>
      </c>
      <c r="BJ19" s="31"/>
    </row>
    <row r="20" spans="1:62" customFormat="1">
      <c r="A20" s="81"/>
      <c r="B20" s="12"/>
      <c r="C20" s="12"/>
      <c r="D20" s="44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19" t="str">
        <f t="shared" si="3"/>
        <v/>
      </c>
      <c r="AF20" s="13"/>
      <c r="AG20" s="13"/>
      <c r="AH20" s="13"/>
      <c r="AI20" s="18" t="str">
        <f t="shared" si="6"/>
        <v/>
      </c>
      <c r="AJ20" s="74"/>
      <c r="AK20" s="20" t="str">
        <f>IF(E20=0,"",ROUNDUP($E5/E20,0))</f>
        <v/>
      </c>
      <c r="AL20" s="20" t="str">
        <f>IF(F20=0,"",ROUNDUP($F5/F20,0))</f>
        <v/>
      </c>
      <c r="AM20" s="20" t="str">
        <f>IF(G20=0,"",ROUNDUP($G5/G20,0))</f>
        <v/>
      </c>
      <c r="AN20" s="20" t="str">
        <f>IF(H20=0,"",ROUNDUP($H5/H20,0))</f>
        <v/>
      </c>
      <c r="AO20" s="20" t="str">
        <f>IF(I20=0,"",ROUNDUP($I5/I20,0))</f>
        <v/>
      </c>
      <c r="AP20" s="20" t="str">
        <f>IF(J20=0,"",ROUNDUP($J5/J20,0))</f>
        <v/>
      </c>
      <c r="AQ20" s="20" t="str">
        <f>IF(K20=0,"",ROUNDUP($K5/K20,0))</f>
        <v/>
      </c>
      <c r="AR20" s="20" t="str">
        <f>IF(L20=0,"",ROUNDUP($L5/L20,0))</f>
        <v/>
      </c>
      <c r="AS20" s="20" t="str">
        <f>IF(M20=0,"",ROUNDUP($M5/M20,0))</f>
        <v/>
      </c>
      <c r="AT20" s="20" t="str">
        <f>IF(N20=0,"",ROUNDUP($N5/N20,0))</f>
        <v/>
      </c>
      <c r="AU20" s="20" t="str">
        <f>IF(O20=0,"",ROUNDUP($O5/O20,0))</f>
        <v/>
      </c>
      <c r="AV20" s="20" t="str">
        <f>IF(P20=0,"",ROUNDUP($P5/P20,0))</f>
        <v/>
      </c>
      <c r="AW20" s="20" t="str">
        <f>IF(Q20=0,"",ROUNDUP($Q5/Q20,0))</f>
        <v/>
      </c>
      <c r="AX20" s="20" t="str">
        <f>IF(R20=0,"",ROUNDUP($R5/R20,0))</f>
        <v/>
      </c>
      <c r="AY20" s="20" t="str">
        <f>IF(S20=0,"",ROUNDUP($S5/S20,0))</f>
        <v/>
      </c>
      <c r="AZ20" s="20" t="str">
        <f t="shared" si="5"/>
        <v/>
      </c>
      <c r="BA20" s="20" t="str">
        <f t="shared" si="5"/>
        <v/>
      </c>
      <c r="BB20" s="20" t="str">
        <f t="shared" si="5"/>
        <v/>
      </c>
      <c r="BC20" s="20" t="str">
        <f t="shared" si="5"/>
        <v/>
      </c>
      <c r="BD20" s="20" t="str">
        <f t="shared" si="5"/>
        <v/>
      </c>
      <c r="BE20" s="20" t="str">
        <f t="shared" si="5"/>
        <v/>
      </c>
      <c r="BF20" s="20" t="str">
        <f t="shared" si="5"/>
        <v/>
      </c>
      <c r="BG20" s="20" t="str">
        <f t="shared" si="5"/>
        <v/>
      </c>
      <c r="BH20" s="20" t="str">
        <f t="shared" si="5"/>
        <v/>
      </c>
      <c r="BI20" s="20" t="str">
        <f t="shared" si="5"/>
        <v/>
      </c>
      <c r="BJ20" s="31"/>
    </row>
    <row r="21" spans="1:62" customFormat="1">
      <c r="A21" s="81"/>
      <c r="B21" s="12"/>
      <c r="C21" s="12"/>
      <c r="D21" s="44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19" t="str">
        <f t="shared" si="3"/>
        <v/>
      </c>
      <c r="AF21" s="13"/>
      <c r="AG21" s="13"/>
      <c r="AH21" s="13"/>
      <c r="AI21" s="18" t="str">
        <f t="shared" si="6"/>
        <v/>
      </c>
      <c r="AJ21" s="74"/>
      <c r="AK21" s="20" t="str">
        <f>IF(E21=0,"",ROUNDUP($E5/E21,0))</f>
        <v/>
      </c>
      <c r="AL21" s="20" t="str">
        <f>IF(F21=0,"",ROUNDUP($F5/F21,0))</f>
        <v/>
      </c>
      <c r="AM21" s="20" t="str">
        <f>IF(G21=0,"",ROUNDUP($G5/G21,0))</f>
        <v/>
      </c>
      <c r="AN21" s="20" t="str">
        <f>IF(H21=0,"",ROUNDUP($H5/H21,0))</f>
        <v/>
      </c>
      <c r="AO21" s="20" t="str">
        <f>IF(I21=0,"",ROUNDUP($I5/I21,0))</f>
        <v/>
      </c>
      <c r="AP21" s="20" t="str">
        <f>IF(J21=0,"",ROUNDUP($J5/J21,0))</f>
        <v/>
      </c>
      <c r="AQ21" s="20" t="str">
        <f>IF(K21=0,"",ROUNDUP($K5/K21,0))</f>
        <v/>
      </c>
      <c r="AR21" s="20" t="str">
        <f>IF(L21=0,"",ROUNDUP($L5/L21,0))</f>
        <v/>
      </c>
      <c r="AS21" s="20" t="str">
        <f>IF(M21=0,"",ROUNDUP($M5/M21,0))</f>
        <v/>
      </c>
      <c r="AT21" s="20" t="str">
        <f>IF(N21=0,"",ROUNDUP($N5/N21,0))</f>
        <v/>
      </c>
      <c r="AU21" s="20" t="str">
        <f>IF(O21=0,"",ROUNDUP($O5/O21,0))</f>
        <v/>
      </c>
      <c r="AV21" s="20" t="str">
        <f>IF(P21=0,"",ROUNDUP($P5/P21,0))</f>
        <v/>
      </c>
      <c r="AW21" s="20" t="str">
        <f>IF(Q21=0,"",ROUNDUP($Q5/Q21,0))</f>
        <v/>
      </c>
      <c r="AX21" s="20" t="str">
        <f>IF(R21=0,"",ROUNDUP($R5/R21,0))</f>
        <v/>
      </c>
      <c r="AY21" s="20" t="str">
        <f>IF(S21=0,"",ROUNDUP($S5/S21,0))</f>
        <v/>
      </c>
      <c r="AZ21" s="20" t="str">
        <f t="shared" si="5"/>
        <v/>
      </c>
      <c r="BA21" s="20" t="str">
        <f t="shared" si="5"/>
        <v/>
      </c>
      <c r="BB21" s="20" t="str">
        <f t="shared" si="5"/>
        <v/>
      </c>
      <c r="BC21" s="20" t="str">
        <f t="shared" si="5"/>
        <v/>
      </c>
      <c r="BD21" s="20" t="str">
        <f t="shared" si="5"/>
        <v/>
      </c>
      <c r="BE21" s="20" t="str">
        <f t="shared" si="5"/>
        <v/>
      </c>
      <c r="BF21" s="20" t="str">
        <f t="shared" si="5"/>
        <v/>
      </c>
      <c r="BG21" s="20" t="str">
        <f t="shared" si="5"/>
        <v/>
      </c>
      <c r="BH21" s="20" t="str">
        <f t="shared" si="5"/>
        <v/>
      </c>
      <c r="BI21" s="20" t="str">
        <f t="shared" si="5"/>
        <v/>
      </c>
      <c r="BJ21" s="31"/>
    </row>
    <row r="22" spans="1:62" customFormat="1">
      <c r="A22" s="82"/>
      <c r="B22" s="12"/>
      <c r="C22" s="12"/>
      <c r="D22" s="44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19" t="str">
        <f t="shared" si="3"/>
        <v/>
      </c>
      <c r="AF22" s="13"/>
      <c r="AG22" s="13"/>
      <c r="AH22" s="13"/>
      <c r="AI22" s="18" t="str">
        <f t="shared" si="6"/>
        <v/>
      </c>
      <c r="AJ22" s="75"/>
      <c r="AK22" s="20" t="str">
        <f>IF(E22=0,"",ROUNDUP($E5/E22,0))</f>
        <v/>
      </c>
      <c r="AL22" s="20" t="str">
        <f>IF(F22=0,"",ROUNDUP($F5/F22,0))</f>
        <v/>
      </c>
      <c r="AM22" s="20" t="str">
        <f>IF(G22=0,"",ROUNDUP($G5/G22,0))</f>
        <v/>
      </c>
      <c r="AN22" s="20" t="str">
        <f>IF(H22=0,"",ROUNDUP($H5/H22,0))</f>
        <v/>
      </c>
      <c r="AO22" s="20" t="str">
        <f>IF(I22=0,"",ROUNDUP($I5/I22,0))</f>
        <v/>
      </c>
      <c r="AP22" s="20" t="str">
        <f>IF(J22=0,"",ROUNDUP($J5/J22,0))</f>
        <v/>
      </c>
      <c r="AQ22" s="20" t="str">
        <f>IF(K22=0,"",ROUNDUP($K5/K22,0))</f>
        <v/>
      </c>
      <c r="AR22" s="20" t="str">
        <f>IF(L22=0,"",ROUNDUP($L5/L22,0))</f>
        <v/>
      </c>
      <c r="AS22" s="20" t="str">
        <f>IF(M22=0,"",ROUNDUP($M5/M22,0))</f>
        <v/>
      </c>
      <c r="AT22" s="20" t="str">
        <f>IF(N22=0,"",ROUNDUP($N5/N22,0))</f>
        <v/>
      </c>
      <c r="AU22" s="20" t="str">
        <f>IF(O22=0,"",ROUNDUP($O5/O22,0))</f>
        <v/>
      </c>
      <c r="AV22" s="20" t="str">
        <f>IF(P22=0,"",ROUNDUP($P5/P22,0))</f>
        <v/>
      </c>
      <c r="AW22" s="20" t="str">
        <f>IF(Q22=0,"",ROUNDUP($Q5/Q22,0))</f>
        <v/>
      </c>
      <c r="AX22" s="20" t="str">
        <f>IF(R22=0,"",ROUNDUP($R5/R22,0))</f>
        <v/>
      </c>
      <c r="AY22" s="20" t="str">
        <f>IF(S22=0,"",ROUNDUP($S5/S22,0))</f>
        <v/>
      </c>
      <c r="AZ22" s="20" t="str">
        <f t="shared" si="5"/>
        <v/>
      </c>
      <c r="BA22" s="20" t="str">
        <f t="shared" si="5"/>
        <v/>
      </c>
      <c r="BB22" s="20" t="str">
        <f t="shared" si="5"/>
        <v/>
      </c>
      <c r="BC22" s="20" t="str">
        <f t="shared" si="5"/>
        <v/>
      </c>
      <c r="BD22" s="20" t="str">
        <f t="shared" si="5"/>
        <v/>
      </c>
      <c r="BE22" s="20" t="str">
        <f t="shared" si="5"/>
        <v/>
      </c>
      <c r="BF22" s="20" t="str">
        <f t="shared" si="5"/>
        <v/>
      </c>
      <c r="BG22" s="20" t="str">
        <f t="shared" si="5"/>
        <v/>
      </c>
      <c r="BH22" s="20" t="str">
        <f t="shared" si="5"/>
        <v/>
      </c>
      <c r="BI22" s="20" t="str">
        <f t="shared" si="5"/>
        <v/>
      </c>
      <c r="BJ22" s="31"/>
    </row>
    <row r="23" spans="1:62" s="36" customFormat="1" ht="15.75" thickBot="1">
      <c r="A23" s="21"/>
      <c r="B23" s="21"/>
      <c r="C23" s="21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90" t="s">
        <v>586</v>
      </c>
      <c r="AD23" s="90"/>
      <c r="AE23" s="22">
        <f>SUM(AE8:AE22)</f>
        <v>0</v>
      </c>
      <c r="AF23" s="55" t="s">
        <v>592</v>
      </c>
      <c r="AG23" s="78"/>
      <c r="AH23" s="79"/>
      <c r="AI23" s="22">
        <f>SUM(AI8:AI22)</f>
        <v>0</v>
      </c>
      <c r="AJ23" s="23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32"/>
      <c r="BJ23" s="35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E8:AD22 A8:A22 AF8:AH22 E3:AC4 AG2:AI2 D1:D3" name="範圍1"/>
    <protectedRange password="CE2A" sqref="M1:N1" name="範圍1_1"/>
  </protectedRanges>
  <mergeCells count="38">
    <mergeCell ref="AF23:AH23"/>
    <mergeCell ref="O1:P1"/>
    <mergeCell ref="B6:B7"/>
    <mergeCell ref="C6:C7"/>
    <mergeCell ref="A1:C1"/>
    <mergeCell ref="A2:C2"/>
    <mergeCell ref="A3:C3"/>
    <mergeCell ref="AD1:AX1"/>
    <mergeCell ref="E2:AC2"/>
    <mergeCell ref="AD2:AD3"/>
    <mergeCell ref="AE2:AF2"/>
    <mergeCell ref="AG2:AI2"/>
    <mergeCell ref="AJ2:AJ22"/>
    <mergeCell ref="AK2:BI2"/>
    <mergeCell ref="AE3:AF3"/>
    <mergeCell ref="AG3:AI3"/>
    <mergeCell ref="AH6:AH7"/>
    <mergeCell ref="AD6:AD7"/>
    <mergeCell ref="E1:G1"/>
    <mergeCell ref="H1:J1"/>
    <mergeCell ref="K1:L1"/>
    <mergeCell ref="M1:N1"/>
    <mergeCell ref="AI6:AI7"/>
    <mergeCell ref="AK4:BI7"/>
    <mergeCell ref="Q1:S1"/>
    <mergeCell ref="AC23:AD23"/>
    <mergeCell ref="A8:A22"/>
    <mergeCell ref="A4:D4"/>
    <mergeCell ref="AE4:AF4"/>
    <mergeCell ref="AG4:AI4"/>
    <mergeCell ref="A5:D5"/>
    <mergeCell ref="AE5:AF5"/>
    <mergeCell ref="AG5:AI5"/>
    <mergeCell ref="A6:A7"/>
    <mergeCell ref="D6:D7"/>
    <mergeCell ref="E6:AC7"/>
    <mergeCell ref="AE6:AE7"/>
    <mergeCell ref="AF6:AG6"/>
  </mergeCells>
  <phoneticPr fontId="15" type="noConversion"/>
  <conditionalFormatting sqref="AG4:AI4 AE5">
    <cfRule type="cellIs" dxfId="15" priority="17" operator="lessThanOrEqual">
      <formula>0</formula>
    </cfRule>
  </conditionalFormatting>
  <conditionalFormatting sqref="AI8:AI23 AE8:AE23 AD4 AG3:AI3 E5:AD5 AZ8:BI22 AK3:BI3">
    <cfRule type="notContainsBlanks" dxfId="14" priority="18">
      <formula>LEN(TRIM(E3))&gt;0</formula>
    </cfRule>
  </conditionalFormatting>
  <conditionalFormatting sqref="AG4:AI4">
    <cfRule type="cellIs" dxfId="13" priority="15" operator="greaterThanOrEqual">
      <formula>20</formula>
    </cfRule>
    <cfRule type="cellIs" dxfId="12" priority="16" operator="greaterThanOrEqual">
      <formula>1</formula>
    </cfRule>
  </conditionalFormatting>
  <conditionalFormatting sqref="AG5:AH5 A8 AF8:AH22 E3:AC4 E8:AD22 AG2:AH2 D1:D3">
    <cfRule type="containsBlanks" dxfId="11" priority="19">
      <formula>LEN(TRIM(A1))=0</formula>
    </cfRule>
    <cfRule type="notContainsBlanks" dxfId="10" priority="20">
      <formula>LEN(TRIM(A1))&gt;0</formula>
    </cfRule>
  </conditionalFormatting>
  <conditionalFormatting sqref="H1">
    <cfRule type="containsBlanks" dxfId="9" priority="13">
      <formula>LEN(TRIM(H1))=0</formula>
    </cfRule>
    <cfRule type="notContainsBlanks" dxfId="8" priority="14">
      <formula>LEN(TRIM(H1))&gt;0</formula>
    </cfRule>
  </conditionalFormatting>
  <conditionalFormatting sqref="M1">
    <cfRule type="containsBlanks" dxfId="7" priority="11">
      <formula>LEN(TRIM(M1))=0</formula>
    </cfRule>
    <cfRule type="notContainsBlanks" dxfId="6" priority="12">
      <formula>LEN(TRIM(M1))&gt;0</formula>
    </cfRule>
  </conditionalFormatting>
  <conditionalFormatting sqref="AK8:AY22">
    <cfRule type="notContainsBlanks" dxfId="5" priority="6">
      <formula>LEN(TRIM(AK8))&gt;0</formula>
    </cfRule>
  </conditionalFormatting>
  <conditionalFormatting sqref="D8:D22">
    <cfRule type="notContainsBlanks" dxfId="4" priority="5">
      <formula>LEN(TRIM(D8))&gt;0</formula>
    </cfRule>
  </conditionalFormatting>
  <conditionalFormatting sqref="C8:C22">
    <cfRule type="notContainsBlanks" dxfId="3" priority="4">
      <formula>LEN(TRIM(C8))&gt;0</formula>
    </cfRule>
  </conditionalFormatting>
  <conditionalFormatting sqref="B8:B22">
    <cfRule type="notContainsBlanks" dxfId="2" priority="3">
      <formula>LEN(TRIM(B8))&gt;0</formula>
    </cfRule>
  </conditionalFormatting>
  <conditionalFormatting sqref="Q1">
    <cfRule type="containsBlanks" dxfId="1" priority="1">
      <formula>LEN(TRIM(Q1))=0</formula>
    </cfRule>
    <cfRule type="notContainsBlanks" dxfId="0" priority="2">
      <formula>LEN(TRIM(Q1))&gt;0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2"/>
  <sheetViews>
    <sheetView workbookViewId="0"/>
  </sheetViews>
  <sheetFormatPr defaultRowHeight="14.25"/>
  <sheetData>
    <row r="1" spans="1:1" ht="18">
      <c r="A1" s="46" t="s">
        <v>600</v>
      </c>
    </row>
    <row r="2" spans="1:1" ht="18">
      <c r="A2" s="46" t="s">
        <v>601</v>
      </c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Sample</vt:lpstr>
      <vt:lpstr>公式转换</vt:lpstr>
      <vt:lpstr>Notice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2025-06-12T02:44:11Z</dcterms:modified>
</cp:coreProperties>
</file>