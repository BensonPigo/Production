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0" yWindow="45" windowWidth="21435" windowHeight="1114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G32" i="1" l="1"/>
  <c r="J26" i="1"/>
  <c r="E26" i="1"/>
</calcChain>
</file>

<file path=xl/sharedStrings.xml><?xml version="1.0" encoding="utf-8"?>
<sst xmlns="http://schemas.openxmlformats.org/spreadsheetml/2006/main" count="60" uniqueCount="40">
  <si>
    <t>CHANGEOVER REPORT</t>
  </si>
  <si>
    <t>NEW</t>
  </si>
  <si>
    <t>SIMPLE</t>
  </si>
  <si>
    <t>REPEAT</t>
  </si>
  <si>
    <t>COMPLICATED</t>
  </si>
  <si>
    <t>SMS</t>
  </si>
  <si>
    <t>Factory:</t>
  </si>
  <si>
    <t>Line No.:</t>
  </si>
  <si>
    <t>Cell No.:</t>
  </si>
  <si>
    <t>Inline</t>
  </si>
  <si>
    <t>Offline</t>
  </si>
  <si>
    <t>Style No.:</t>
  </si>
  <si>
    <t>CPU/pc:</t>
  </si>
  <si>
    <t>CD Code:</t>
  </si>
  <si>
    <t>Prod. Type</t>
  </si>
  <si>
    <t>Fab. Type</t>
  </si>
  <si>
    <t>Classification:</t>
  </si>
  <si>
    <t>Category:</t>
  </si>
  <si>
    <t>Changeover Process Time (COPT)</t>
  </si>
  <si>
    <t>Changeover Time (COT)</t>
  </si>
  <si>
    <t>Target</t>
  </si>
  <si>
    <t>Actual</t>
  </si>
  <si>
    <t>Date</t>
  </si>
  <si>
    <t>No. of Sewers</t>
  </si>
  <si>
    <t>Working Hours</t>
  </si>
  <si>
    <t>Output (CMP)</t>
  </si>
  <si>
    <t>Efficiency</t>
  </si>
  <si>
    <t>PPH</t>
  </si>
  <si>
    <t>Shift A</t>
  </si>
  <si>
    <t>Shift B</t>
  </si>
  <si>
    <t>Eff</t>
  </si>
  <si>
    <t>Problem Encountered</t>
  </si>
  <si>
    <t>Created by:</t>
  </si>
  <si>
    <t>Approved by:</t>
  </si>
  <si>
    <t>Pit Crew P.E</t>
  </si>
  <si>
    <t>Factory/Production Manager</t>
  </si>
  <si>
    <t>Inline Time(hh:mm):</t>
    <phoneticPr fontId="1" type="noConversion"/>
  </si>
  <si>
    <t>Time of First Good Output (hh:mm):</t>
    <phoneticPr fontId="1" type="noConversion"/>
  </si>
  <si>
    <t>Time of Last Good Output (hh:mm):</t>
    <phoneticPr fontId="1" type="noConversion"/>
  </si>
  <si>
    <t>Inline Date: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</si>
</sst>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7" formatCode="0.0"/>
    <numFmt numFmtId="178" formatCode="[$-409]d\-mmm\-yy;@"/>
    <numFmt numFmtId="180" formatCode="h:mm;@"/>
  </numFmts>
  <fonts count="13"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20"/>
      <color indexed="8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b/>
      <sz val="14"/>
      <color indexed="8"/>
      <name val="Calibri"/>
      <family val="2"/>
    </font>
    <font>
      <b/>
      <sz val="12"/>
      <color indexed="8"/>
      <name val="Calibri"/>
      <family val="2"/>
    </font>
    <font>
      <b/>
      <sz val="16"/>
      <color indexed="8"/>
      <name val="Calibri"/>
      <family val="2"/>
    </font>
    <font>
      <b/>
      <sz val="10"/>
      <color indexed="23"/>
      <name val="Wingdings"/>
      <charset val="2"/>
    </font>
    <font>
      <b/>
      <sz val="11"/>
      <name val="Calibri"/>
      <family val="2"/>
    </font>
    <font>
      <sz val="11"/>
      <color indexed="8"/>
      <name val="Calibri"/>
      <family val="2"/>
    </font>
    <font>
      <b/>
      <sz val="10"/>
      <name val="Calibri"/>
      <family val="2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/>
  </cellStyleXfs>
  <cellXfs count="77">
    <xf numFmtId="0" fontId="0" fillId="0" borderId="0" xfId="0">
      <alignment vertical="center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/>
      <protection hidden="1"/>
    </xf>
    <xf numFmtId="18" fontId="0" fillId="0" borderId="0" xfId="0" applyNumberFormat="1" applyAlignment="1" applyProtection="1">
      <alignment vertic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3" fillId="0" borderId="0" xfId="0" applyFont="1" applyFill="1" applyAlignment="1" applyProtection="1">
      <alignment horizontal="center"/>
      <protection hidden="1"/>
    </xf>
    <xf numFmtId="0" fontId="4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horizontal="right" vertical="center"/>
      <protection hidden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3" xfId="0" applyBorder="1" applyAlignment="1" applyProtection="1">
      <alignment horizontal="right" vertical="center"/>
      <protection hidden="1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6" fillId="0" borderId="1" xfId="0" applyFont="1" applyBorder="1" applyAlignment="1" applyProtection="1">
      <alignment horizontal="center"/>
      <protection hidden="1"/>
    </xf>
    <xf numFmtId="0" fontId="3" fillId="0" borderId="4" xfId="0" applyFont="1" applyBorder="1" applyAlignment="1" applyProtection="1">
      <alignment horizontal="right" vertical="center"/>
      <protection hidden="1"/>
    </xf>
    <xf numFmtId="0" fontId="6" fillId="0" borderId="4" xfId="0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3" fillId="0" borderId="3" xfId="0" applyFont="1" applyBorder="1" applyAlignment="1" applyProtection="1">
      <alignment horizontal="left" vertical="center"/>
      <protection hidden="1"/>
    </xf>
    <xf numFmtId="0" fontId="3" fillId="0" borderId="5" xfId="0" applyFont="1" applyBorder="1" applyAlignment="1" applyProtection="1">
      <alignment horizontal="center" vertical="center"/>
      <protection hidden="1"/>
    </xf>
    <xf numFmtId="0" fontId="8" fillId="0" borderId="0" xfId="0" applyFont="1" applyProtection="1">
      <alignment vertical="center"/>
      <protection hidden="1"/>
    </xf>
    <xf numFmtId="0" fontId="3" fillId="0" borderId="6" xfId="0" applyFont="1" applyBorder="1" applyAlignment="1" applyProtection="1">
      <alignment horizontal="center" vertical="center"/>
      <protection hidden="1"/>
    </xf>
    <xf numFmtId="9" fontId="9" fillId="2" borderId="7" xfId="1" applyFont="1" applyFill="1" applyBorder="1" applyAlignment="1" applyProtection="1">
      <alignment horizontal="center" vertical="center"/>
      <protection hidden="1"/>
    </xf>
    <xf numFmtId="2" fontId="3" fillId="0" borderId="7" xfId="0" applyNumberFormat="1" applyFont="1" applyBorder="1" applyAlignment="1" applyProtection="1">
      <alignment horizontal="center" vertical="center"/>
      <protection hidden="1"/>
    </xf>
    <xf numFmtId="0" fontId="3" fillId="0" borderId="7" xfId="0" applyFont="1" applyBorder="1" applyAlignment="1" applyProtection="1">
      <alignment horizontal="center" vertical="center"/>
      <protection locked="0"/>
    </xf>
    <xf numFmtId="9" fontId="11" fillId="2" borderId="7" xfId="1" applyNumberFormat="1" applyFont="1" applyFill="1" applyBorder="1" applyAlignment="1" applyProtection="1">
      <alignment horizontal="center" vertical="center"/>
      <protection hidden="1"/>
    </xf>
    <xf numFmtId="2" fontId="3" fillId="0" borderId="8" xfId="0" applyNumberFormat="1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right" vertical="center"/>
      <protection hidden="1"/>
    </xf>
    <xf numFmtId="180" fontId="3" fillId="0" borderId="1" xfId="0" applyNumberFormat="1" applyFont="1" applyBorder="1" applyAlignment="1" applyProtection="1">
      <alignment horizontal="center" vertical="center"/>
      <protection locked="0"/>
    </xf>
    <xf numFmtId="49" fontId="3" fillId="0" borderId="1" xfId="0" applyNumberFormat="1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178" fontId="12" fillId="0" borderId="9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hidden="1"/>
    </xf>
    <xf numFmtId="0" fontId="3" fillId="0" borderId="0" xfId="0" applyFont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6" fillId="0" borderId="1" xfId="0" applyFont="1" applyBorder="1" applyAlignment="1" applyProtection="1">
      <alignment horizontal="left"/>
      <protection hidden="1"/>
    </xf>
    <xf numFmtId="0" fontId="3" fillId="0" borderId="20" xfId="0" applyFont="1" applyBorder="1" applyAlignment="1" applyProtection="1">
      <alignment horizontal="center" vertical="center"/>
      <protection hidden="1"/>
    </xf>
    <xf numFmtId="0" fontId="3" fillId="0" borderId="18" xfId="0" applyFont="1" applyBorder="1" applyAlignment="1" applyProtection="1">
      <alignment horizontal="center" vertical="center"/>
      <protection hidden="1"/>
    </xf>
    <xf numFmtId="0" fontId="3" fillId="0" borderId="19" xfId="0" applyFont="1" applyBorder="1" applyAlignment="1" applyProtection="1">
      <alignment horizontal="center" vertical="center"/>
      <protection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center" vertical="center"/>
      <protection hidden="1"/>
    </xf>
    <xf numFmtId="0" fontId="7" fillId="0" borderId="24" xfId="0" applyFont="1" applyBorder="1" applyAlignment="1" applyProtection="1">
      <alignment horizontal="center" vertical="center"/>
      <protection hidden="1"/>
    </xf>
    <xf numFmtId="0" fontId="7" fillId="0" borderId="25" xfId="0" applyFont="1" applyBorder="1" applyAlignment="1" applyProtection="1">
      <alignment horizontal="center" vertical="center"/>
      <protection hidden="1"/>
    </xf>
    <xf numFmtId="177" fontId="7" fillId="0" borderId="26" xfId="0" applyNumberFormat="1" applyFont="1" applyBorder="1" applyAlignment="1" applyProtection="1">
      <alignment horizontal="center" vertical="center"/>
      <protection hidden="1"/>
    </xf>
    <xf numFmtId="177" fontId="7" fillId="0" borderId="27" xfId="0" applyNumberFormat="1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12" fillId="0" borderId="10" xfId="0" applyFont="1" applyBorder="1" applyAlignment="1" applyProtection="1">
      <alignment horizontal="left" vertical="center"/>
      <protection locked="0"/>
    </xf>
    <xf numFmtId="0" fontId="12" fillId="0" borderId="11" xfId="0" applyFont="1" applyBorder="1" applyAlignment="1" applyProtection="1">
      <alignment horizontal="left" vertical="center"/>
      <protection locked="0"/>
    </xf>
    <xf numFmtId="0" fontId="12" fillId="0" borderId="12" xfId="0" applyFont="1" applyBorder="1" applyAlignment="1" applyProtection="1">
      <alignment horizontal="left" vertical="center"/>
      <protection locked="0"/>
    </xf>
    <xf numFmtId="0" fontId="12" fillId="0" borderId="13" xfId="0" applyFont="1" applyBorder="1" applyAlignment="1" applyProtection="1">
      <alignment horizontal="lef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12" fillId="0" borderId="14" xfId="0" applyFont="1" applyBorder="1" applyAlignment="1" applyProtection="1">
      <alignment horizontal="left" vertical="center"/>
      <protection locked="0"/>
    </xf>
    <xf numFmtId="0" fontId="12" fillId="0" borderId="15" xfId="0" applyFont="1" applyBorder="1" applyAlignment="1" applyProtection="1">
      <alignment horizontal="left" vertical="center"/>
      <protection locked="0"/>
    </xf>
    <xf numFmtId="0" fontId="12" fillId="0" borderId="16" xfId="0" applyFont="1" applyBorder="1" applyAlignment="1" applyProtection="1">
      <alignment horizontal="left" vertical="center"/>
      <protection locked="0"/>
    </xf>
    <xf numFmtId="0" fontId="12" fillId="0" borderId="17" xfId="0" applyFont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</cellXfs>
  <cellStyles count="2">
    <cellStyle name="Percent 2" xfId="1"/>
    <cellStyle name="一般" xfId="0" builtinId="0"/>
  </cellStyles>
  <dxfs count="2">
    <dxf>
      <font>
        <b/>
        <i val="0"/>
      </font>
      <fill>
        <patternFill>
          <bgColor indexed="50"/>
        </patternFill>
      </fill>
    </dxf>
    <dxf>
      <font>
        <b/>
        <i val="0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X46"/>
  <sheetViews>
    <sheetView tabSelected="1" workbookViewId="0"/>
  </sheetViews>
  <sheetFormatPr defaultRowHeight="16.5"/>
  <cols>
    <col min="1" max="1" width="9.25" style="1" customWidth="1"/>
    <col min="2" max="2" width="9" style="1"/>
    <col min="3" max="3" width="8.375" style="1" bestFit="1" customWidth="1"/>
    <col min="4" max="4" width="8.625" style="1" customWidth="1"/>
    <col min="5" max="5" width="9.625" style="1" customWidth="1"/>
    <col min="6" max="6" width="12.25" style="1" customWidth="1"/>
    <col min="7" max="7" width="9.875" style="1" customWidth="1"/>
    <col min="8" max="8" width="9" style="1"/>
    <col min="9" max="9" width="9.125" style="1" bestFit="1" customWidth="1"/>
    <col min="10" max="10" width="9.625" style="1" bestFit="1" customWidth="1"/>
    <col min="11" max="11" width="9.875" style="1" customWidth="1"/>
    <col min="12" max="12" width="9" style="1"/>
    <col min="13" max="13" width="8.5" style="1" bestFit="1" customWidth="1"/>
    <col min="14" max="16" width="8" style="1" customWidth="1"/>
    <col min="17" max="17" width="9.375" style="1" customWidth="1"/>
    <col min="18" max="18" width="8.75" style="1" customWidth="1"/>
    <col min="19" max="19" width="9.625" style="1" customWidth="1"/>
    <col min="20" max="22" width="8" style="1" customWidth="1"/>
    <col min="23" max="16384" width="9" style="1"/>
  </cols>
  <sheetData>
    <row r="2" spans="1:24">
      <c r="R2" s="2"/>
      <c r="S2" s="2"/>
      <c r="X2" s="3"/>
    </row>
    <row r="3" spans="1:24" ht="15" customHeight="1">
      <c r="A3" s="39" t="s">
        <v>0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R3" s="4"/>
      <c r="S3" s="5"/>
      <c r="X3" s="3"/>
    </row>
    <row r="4" spans="1:24" ht="15" customHeight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R4" s="4"/>
      <c r="S4" s="5"/>
      <c r="X4" s="3"/>
    </row>
    <row r="5" spans="1:24">
      <c r="R5" s="4"/>
      <c r="S5" s="5"/>
      <c r="X5" s="3"/>
    </row>
    <row r="6" spans="1:24">
      <c r="R6" s="4"/>
      <c r="S6" s="5"/>
      <c r="U6" s="6" t="s">
        <v>1</v>
      </c>
      <c r="V6" s="6" t="s">
        <v>2</v>
      </c>
      <c r="X6" s="3"/>
    </row>
    <row r="7" spans="1:24">
      <c r="R7" s="4"/>
      <c r="S7" s="5"/>
      <c r="U7" s="6" t="s">
        <v>3</v>
      </c>
      <c r="V7" s="6" t="s">
        <v>4</v>
      </c>
      <c r="X7" s="3"/>
    </row>
    <row r="8" spans="1:24">
      <c r="R8" s="4"/>
      <c r="S8" s="5"/>
      <c r="U8" s="6" t="s">
        <v>5</v>
      </c>
      <c r="V8" s="6"/>
      <c r="X8" s="3"/>
    </row>
    <row r="9" spans="1:24">
      <c r="C9" s="7" t="s">
        <v>6</v>
      </c>
      <c r="D9" s="8"/>
      <c r="F9" s="7" t="s">
        <v>7</v>
      </c>
      <c r="G9" s="36"/>
      <c r="J9" s="7" t="s">
        <v>8</v>
      </c>
      <c r="K9" s="36"/>
      <c r="R9" s="4"/>
      <c r="S9" s="5"/>
      <c r="X9" s="3"/>
    </row>
    <row r="10" spans="1:24">
      <c r="X10" s="3"/>
    </row>
    <row r="11" spans="1:24">
      <c r="C11" s="9" t="s">
        <v>9</v>
      </c>
      <c r="H11" s="9" t="s">
        <v>10</v>
      </c>
      <c r="X11" s="3"/>
    </row>
    <row r="12" spans="1:24" ht="20.25" customHeight="1">
      <c r="C12" s="7" t="s">
        <v>11</v>
      </c>
      <c r="D12" s="40"/>
      <c r="E12" s="41"/>
      <c r="F12" s="42"/>
      <c r="H12" s="7" t="s">
        <v>11</v>
      </c>
      <c r="I12" s="40"/>
      <c r="J12" s="41"/>
      <c r="K12" s="42"/>
      <c r="X12" s="3"/>
    </row>
    <row r="13" spans="1:24" ht="21.75" customHeight="1">
      <c r="C13" s="7" t="s">
        <v>12</v>
      </c>
      <c r="D13" s="43"/>
      <c r="E13" s="43"/>
      <c r="F13" s="43"/>
      <c r="H13" s="7" t="s">
        <v>12</v>
      </c>
      <c r="I13" s="43"/>
      <c r="J13" s="43"/>
      <c r="K13" s="43"/>
      <c r="Q13" s="24"/>
      <c r="R13" s="23"/>
      <c r="S13" s="23"/>
      <c r="X13" s="3"/>
    </row>
    <row r="14" spans="1:24" ht="19.5" customHeight="1">
      <c r="C14" s="7" t="s">
        <v>13</v>
      </c>
      <c r="D14" s="10"/>
      <c r="E14" s="11"/>
      <c r="F14" s="11"/>
      <c r="H14" s="7" t="s">
        <v>13</v>
      </c>
      <c r="I14" s="10"/>
      <c r="J14" s="11"/>
      <c r="K14" s="11"/>
      <c r="Q14" s="34"/>
      <c r="R14" s="23"/>
      <c r="S14" s="23"/>
      <c r="T14" s="12"/>
      <c r="X14" s="3"/>
    </row>
    <row r="15" spans="1:24">
      <c r="C15" s="13"/>
      <c r="E15" s="14" t="s">
        <v>14</v>
      </c>
      <c r="F15" s="14" t="s">
        <v>15</v>
      </c>
      <c r="H15" s="13"/>
      <c r="J15" s="14" t="s">
        <v>14</v>
      </c>
      <c r="K15" s="14" t="s">
        <v>15</v>
      </c>
      <c r="Q15" s="34"/>
      <c r="R15" s="23"/>
      <c r="S15" s="23"/>
      <c r="T15" s="12"/>
      <c r="X15" s="3"/>
    </row>
    <row r="16" spans="1:24" ht="7.5" customHeight="1" thickBot="1">
      <c r="A16" s="15"/>
      <c r="B16" s="15"/>
      <c r="C16" s="16"/>
      <c r="D16" s="15"/>
      <c r="E16" s="17"/>
      <c r="F16" s="17"/>
      <c r="G16" s="15"/>
      <c r="H16" s="16"/>
      <c r="I16" s="15"/>
      <c r="J16" s="17"/>
      <c r="K16" s="17"/>
      <c r="L16" s="15"/>
      <c r="M16" s="15"/>
      <c r="Q16" s="34"/>
      <c r="R16" s="23"/>
      <c r="S16" s="23"/>
      <c r="T16" s="12"/>
      <c r="X16" s="3"/>
    </row>
    <row r="17" spans="1:24" ht="9" customHeight="1" thickTop="1">
      <c r="C17" s="13"/>
      <c r="E17" s="14"/>
      <c r="F17" s="14"/>
      <c r="H17" s="13"/>
      <c r="J17" s="14"/>
      <c r="K17" s="14"/>
      <c r="Q17" s="34"/>
      <c r="R17" s="23"/>
      <c r="S17" s="23"/>
      <c r="T17" s="12"/>
      <c r="X17" s="3"/>
    </row>
    <row r="18" spans="1:24" ht="20.25" customHeight="1">
      <c r="C18" s="44" t="s">
        <v>16</v>
      </c>
      <c r="D18" s="44"/>
      <c r="E18" s="10" t="s">
        <v>3</v>
      </c>
      <c r="F18" s="10"/>
      <c r="H18" s="13"/>
      <c r="J18" s="14"/>
      <c r="K18" s="14"/>
      <c r="Q18" s="34"/>
      <c r="R18" s="23"/>
      <c r="S18" s="23"/>
      <c r="T18" s="12"/>
      <c r="X18" s="3"/>
    </row>
    <row r="19" spans="1:24" ht="20.25" customHeight="1">
      <c r="C19" s="7" t="s">
        <v>17</v>
      </c>
      <c r="D19" s="19"/>
      <c r="E19" s="20"/>
      <c r="F19" s="21"/>
      <c r="H19" s="7"/>
      <c r="I19" s="22"/>
      <c r="J19" s="7"/>
      <c r="K19" s="23"/>
      <c r="Q19" s="34"/>
      <c r="R19" s="23"/>
      <c r="S19" s="23"/>
      <c r="T19" s="12"/>
      <c r="X19" s="3"/>
    </row>
    <row r="20" spans="1:24" ht="20.25" customHeight="1">
      <c r="B20" s="45" t="s">
        <v>39</v>
      </c>
      <c r="C20" s="45"/>
      <c r="D20" s="48"/>
      <c r="E20" s="48"/>
      <c r="F20" s="24"/>
      <c r="H20" s="7"/>
      <c r="I20" s="24"/>
      <c r="J20" s="7"/>
      <c r="K20" s="24"/>
      <c r="Q20" s="34"/>
      <c r="R20" s="23"/>
      <c r="S20" s="23"/>
      <c r="T20" s="12"/>
      <c r="X20" s="3"/>
    </row>
    <row r="21" spans="1:24" ht="20.25" customHeight="1">
      <c r="B21" s="45" t="s">
        <v>36</v>
      </c>
      <c r="C21" s="45"/>
      <c r="D21" s="45"/>
      <c r="E21" s="35"/>
      <c r="F21" s="24"/>
      <c r="H21" s="7"/>
      <c r="I21" s="24"/>
      <c r="J21" s="7"/>
      <c r="K21" s="24"/>
      <c r="Q21" s="46"/>
      <c r="R21" s="46"/>
      <c r="S21" s="46"/>
      <c r="T21" s="12"/>
      <c r="X21" s="3"/>
    </row>
    <row r="22" spans="1:24" ht="20.25" customHeight="1">
      <c r="B22" s="45" t="s">
        <v>37</v>
      </c>
      <c r="C22" s="45"/>
      <c r="D22" s="45"/>
      <c r="E22" s="45"/>
      <c r="F22" s="35"/>
      <c r="G22" s="45" t="s">
        <v>38</v>
      </c>
      <c r="H22" s="45"/>
      <c r="I22" s="45"/>
      <c r="J22" s="45"/>
      <c r="K22" s="35"/>
      <c r="Q22" s="47"/>
      <c r="R22" s="47"/>
      <c r="S22" s="47"/>
    </row>
    <row r="23" spans="1:24" ht="10.5" customHeight="1" thickBot="1">
      <c r="A23" s="15"/>
      <c r="B23" s="15"/>
      <c r="C23" s="25"/>
      <c r="D23" s="25"/>
      <c r="E23" s="25"/>
      <c r="F23" s="15"/>
      <c r="G23" s="15"/>
      <c r="H23" s="25"/>
      <c r="I23" s="25"/>
      <c r="J23" s="25"/>
      <c r="K23" s="15"/>
      <c r="L23" s="15"/>
      <c r="M23" s="15"/>
    </row>
    <row r="24" spans="1:24" ht="12" customHeight="1" thickTop="1" thickBot="1">
      <c r="C24" s="18"/>
      <c r="D24" s="18"/>
      <c r="E24" s="18"/>
      <c r="F24" s="24"/>
      <c r="H24" s="18"/>
      <c r="I24" s="18"/>
      <c r="J24" s="18"/>
      <c r="K24" s="24"/>
    </row>
    <row r="25" spans="1:24">
      <c r="C25" s="49" t="s">
        <v>18</v>
      </c>
      <c r="D25" s="50"/>
      <c r="E25" s="51"/>
      <c r="F25" s="24"/>
      <c r="H25" s="49" t="s">
        <v>19</v>
      </c>
      <c r="I25" s="50"/>
      <c r="J25" s="51"/>
      <c r="K25" s="24"/>
    </row>
    <row r="26" spans="1:24">
      <c r="C26" s="26" t="s">
        <v>20</v>
      </c>
      <c r="D26" s="11" t="s">
        <v>21</v>
      </c>
      <c r="E26" s="52" t="str">
        <f>IF(OR(C27="",D27=0),"",IF(D27&gt;C27,"FAILED","PASSED"))</f>
        <v/>
      </c>
      <c r="F26" s="24"/>
      <c r="H26" s="26" t="s">
        <v>20</v>
      </c>
      <c r="I26" s="11" t="s">
        <v>21</v>
      </c>
      <c r="J26" s="52" t="str">
        <f>IF(OR(H27="",I27=0),"",IF(I27&gt;H27,"FAILED","PASSED"))</f>
        <v/>
      </c>
      <c r="K26" s="24"/>
    </row>
    <row r="27" spans="1:24" ht="15" customHeight="1">
      <c r="C27" s="55"/>
      <c r="D27" s="57"/>
      <c r="E27" s="53"/>
      <c r="F27" s="24"/>
      <c r="H27" s="55"/>
      <c r="I27" s="57"/>
      <c r="J27" s="53"/>
      <c r="K27" s="24"/>
      <c r="L27" s="27"/>
      <c r="M27" s="27"/>
    </row>
    <row r="28" spans="1:24" ht="15.75" customHeight="1" thickBot="1">
      <c r="C28" s="56"/>
      <c r="D28" s="58"/>
      <c r="E28" s="54"/>
      <c r="F28" s="24"/>
      <c r="H28" s="56"/>
      <c r="I28" s="58"/>
      <c r="J28" s="54"/>
      <c r="K28" s="24"/>
    </row>
    <row r="29" spans="1:24" ht="17.25" thickBot="1"/>
    <row r="30" spans="1:24">
      <c r="A30" s="49" t="s">
        <v>22</v>
      </c>
      <c r="B30" s="50" t="s">
        <v>23</v>
      </c>
      <c r="C30" s="50"/>
      <c r="D30" s="50" t="s">
        <v>24</v>
      </c>
      <c r="E30" s="50"/>
      <c r="F30" s="50" t="s">
        <v>20</v>
      </c>
      <c r="G30" s="50"/>
      <c r="H30" s="50" t="s">
        <v>25</v>
      </c>
      <c r="I30" s="50"/>
      <c r="J30" s="50" t="s">
        <v>26</v>
      </c>
      <c r="K30" s="50"/>
      <c r="L30" s="50" t="s">
        <v>27</v>
      </c>
      <c r="M30" s="51"/>
    </row>
    <row r="31" spans="1:24">
      <c r="A31" s="59"/>
      <c r="B31" s="11" t="s">
        <v>28</v>
      </c>
      <c r="C31" s="11" t="s">
        <v>29</v>
      </c>
      <c r="D31" s="11" t="s">
        <v>28</v>
      </c>
      <c r="E31" s="11" t="s">
        <v>29</v>
      </c>
      <c r="F31" s="11" t="s">
        <v>30</v>
      </c>
      <c r="G31" s="11" t="s">
        <v>27</v>
      </c>
      <c r="H31" s="11" t="s">
        <v>28</v>
      </c>
      <c r="I31" s="11" t="s">
        <v>29</v>
      </c>
      <c r="J31" s="11" t="s">
        <v>28</v>
      </c>
      <c r="K31" s="11" t="s">
        <v>29</v>
      </c>
      <c r="L31" s="11" t="s">
        <v>28</v>
      </c>
      <c r="M31" s="28" t="s">
        <v>29</v>
      </c>
    </row>
    <row r="32" spans="1:24" ht="33" customHeight="1" thickBot="1">
      <c r="A32" s="38"/>
      <c r="B32" s="37"/>
      <c r="C32" s="37"/>
      <c r="D32" s="37"/>
      <c r="E32" s="37"/>
      <c r="F32" s="29"/>
      <c r="G32" s="30">
        <f>IF(ISERROR(F32*(3600/1400)),"",F32*(3600/1400))</f>
        <v>0</v>
      </c>
      <c r="H32" s="31"/>
      <c r="I32" s="31"/>
      <c r="J32" s="32"/>
      <c r="K32" s="32"/>
      <c r="L32" s="30"/>
      <c r="M32" s="33"/>
    </row>
    <row r="34" spans="1:13" ht="17.25" thickBot="1"/>
    <row r="35" spans="1:13" ht="20.25" customHeight="1">
      <c r="A35" s="49" t="s">
        <v>31</v>
      </c>
      <c r="B35" s="50"/>
      <c r="C35" s="50"/>
      <c r="D35" s="50"/>
      <c r="E35" s="50"/>
      <c r="F35" s="50" t="s">
        <v>28</v>
      </c>
      <c r="G35" s="50"/>
      <c r="H35" s="50"/>
      <c r="I35" s="50"/>
      <c r="J35" s="50" t="s">
        <v>29</v>
      </c>
      <c r="K35" s="50"/>
      <c r="L35" s="50"/>
      <c r="M35" s="51"/>
    </row>
    <row r="36" spans="1:13" ht="66" customHeight="1">
      <c r="A36" s="60"/>
      <c r="B36" s="61"/>
      <c r="C36" s="61"/>
      <c r="D36" s="61"/>
      <c r="E36" s="61"/>
      <c r="F36" s="62"/>
      <c r="G36" s="63"/>
      <c r="H36" s="63"/>
      <c r="I36" s="64"/>
      <c r="J36" s="62"/>
      <c r="K36" s="63"/>
      <c r="L36" s="63"/>
      <c r="M36" s="65"/>
    </row>
    <row r="37" spans="1:13" ht="66" customHeight="1">
      <c r="A37" s="60"/>
      <c r="B37" s="61"/>
      <c r="C37" s="61"/>
      <c r="D37" s="61"/>
      <c r="E37" s="61"/>
      <c r="F37" s="62"/>
      <c r="G37" s="63"/>
      <c r="H37" s="63"/>
      <c r="I37" s="64"/>
      <c r="J37" s="62"/>
      <c r="K37" s="63"/>
      <c r="L37" s="63"/>
      <c r="M37" s="65"/>
    </row>
    <row r="38" spans="1:13" ht="66" customHeight="1">
      <c r="A38" s="60"/>
      <c r="B38" s="61"/>
      <c r="C38" s="61"/>
      <c r="D38" s="61"/>
      <c r="E38" s="61"/>
      <c r="F38" s="62"/>
      <c r="G38" s="63"/>
      <c r="H38" s="63"/>
      <c r="I38" s="64"/>
      <c r="J38" s="62"/>
      <c r="K38" s="63"/>
      <c r="L38" s="63"/>
      <c r="M38" s="65"/>
    </row>
    <row r="39" spans="1:13" ht="66" customHeight="1" thickBot="1">
      <c r="A39" s="66"/>
      <c r="B39" s="67"/>
      <c r="C39" s="67"/>
      <c r="D39" s="67"/>
      <c r="E39" s="67"/>
      <c r="F39" s="68"/>
      <c r="G39" s="69"/>
      <c r="H39" s="69"/>
      <c r="I39" s="70"/>
      <c r="J39" s="68"/>
      <c r="K39" s="69"/>
      <c r="L39" s="69"/>
      <c r="M39" s="71"/>
    </row>
    <row r="43" spans="1:13">
      <c r="A43" s="72" t="s">
        <v>32</v>
      </c>
      <c r="B43" s="72"/>
      <c r="F43" s="72"/>
      <c r="G43" s="72"/>
      <c r="K43" s="9" t="s">
        <v>33</v>
      </c>
    </row>
    <row r="45" spans="1:13">
      <c r="A45" s="73"/>
      <c r="B45" s="73"/>
      <c r="E45" s="24"/>
      <c r="F45" s="74"/>
      <c r="G45" s="74"/>
      <c r="H45" s="24"/>
      <c r="J45" s="73"/>
      <c r="K45" s="73"/>
      <c r="L45" s="73"/>
    </row>
    <row r="46" spans="1:13">
      <c r="A46" s="75" t="s">
        <v>34</v>
      </c>
      <c r="B46" s="75"/>
      <c r="E46" s="24"/>
      <c r="F46" s="76"/>
      <c r="G46" s="76"/>
      <c r="H46" s="24"/>
      <c r="J46" s="75" t="s">
        <v>35</v>
      </c>
      <c r="K46" s="75"/>
      <c r="L46" s="75"/>
    </row>
  </sheetData>
  <mergeCells count="51">
    <mergeCell ref="A43:B43"/>
    <mergeCell ref="F43:G43"/>
    <mergeCell ref="A45:B45"/>
    <mergeCell ref="F45:G45"/>
    <mergeCell ref="J45:L45"/>
    <mergeCell ref="A46:B46"/>
    <mergeCell ref="F46:G46"/>
    <mergeCell ref="J46:L46"/>
    <mergeCell ref="A38:E38"/>
    <mergeCell ref="F38:I38"/>
    <mergeCell ref="J38:M38"/>
    <mergeCell ref="A39:E39"/>
    <mergeCell ref="F39:I39"/>
    <mergeCell ref="J39:M39"/>
    <mergeCell ref="A36:E36"/>
    <mergeCell ref="F36:I36"/>
    <mergeCell ref="J36:M36"/>
    <mergeCell ref="A37:E37"/>
    <mergeCell ref="F37:I37"/>
    <mergeCell ref="J37:M37"/>
    <mergeCell ref="H30:I30"/>
    <mergeCell ref="J30:K30"/>
    <mergeCell ref="L30:M30"/>
    <mergeCell ref="A35:E35"/>
    <mergeCell ref="F35:I35"/>
    <mergeCell ref="J35:M35"/>
    <mergeCell ref="A30:A31"/>
    <mergeCell ref="B30:C30"/>
    <mergeCell ref="D30:E30"/>
    <mergeCell ref="F30:G30"/>
    <mergeCell ref="C25:E25"/>
    <mergeCell ref="H25:J25"/>
    <mergeCell ref="E26:E28"/>
    <mergeCell ref="J26:J28"/>
    <mergeCell ref="C27:C28"/>
    <mergeCell ref="D27:D28"/>
    <mergeCell ref="H27:H28"/>
    <mergeCell ref="I27:I28"/>
    <mergeCell ref="B21:D21"/>
    <mergeCell ref="Q21:S21"/>
    <mergeCell ref="B22:E22"/>
    <mergeCell ref="G22:J22"/>
    <mergeCell ref="Q22:S22"/>
    <mergeCell ref="B20:C20"/>
    <mergeCell ref="D20:E20"/>
    <mergeCell ref="A3:M4"/>
    <mergeCell ref="D12:F12"/>
    <mergeCell ref="I12:K12"/>
    <mergeCell ref="D13:F13"/>
    <mergeCell ref="I13:K13"/>
    <mergeCell ref="C18:D18"/>
  </mergeCells>
  <phoneticPr fontId="1" type="noConversion"/>
  <conditionalFormatting sqref="J26:J28 E26:E28">
    <cfRule type="expression" dxfId="1" priority="1" stopIfTrue="1">
      <formula>NOT(ISERROR(SEARCH("FAILED",E26)))</formula>
    </cfRule>
    <cfRule type="expression" dxfId="0" priority="2" stopIfTrue="1">
      <formula>NOT(ISERROR(SEARCH("PASSED",E26)))</formula>
    </cfRule>
  </conditionalFormatting>
  <dataValidations count="3">
    <dataValidation type="time" allowBlank="1" showInputMessage="1" showErrorMessage="1" errorTitle="Format Error" error="Invalid Format_x000a_Correct Format hh:mm:ss AM/PM" sqref="K22 E21 F22">
      <formula1>0</formula1>
      <formula2>0.999305555555556</formula2>
    </dataValidation>
    <dataValidation type="list" allowBlank="1" showInputMessage="1" showErrorMessage="1" sqref="E18">
      <formula1>$U$6:$U$9</formula1>
    </dataValidation>
    <dataValidation type="list" allowBlank="1" showInputMessage="1" showErrorMessage="1" sqref="F18">
      <formula1>$V$6:$V$8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dcterms:created xsi:type="dcterms:W3CDTF">2013-07-23T09:26:03Z</dcterms:created>
  <dcterms:modified xsi:type="dcterms:W3CDTF">2017-01-23T02:02:17Z</dcterms:modified>
</cp:coreProperties>
</file>