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Operation!$A$5:$L$5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/>
  <fileRecoveryPr autoRecover="0"/>
</workbook>
</file>

<file path=xl/calcChain.xml><?xml version="1.0" encoding="utf-8"?>
<calcChain xmlns="http://schemas.openxmlformats.org/spreadsheetml/2006/main">
  <c r="M27" i="14" l="1"/>
  <c r="M27" i="11"/>
  <c r="M27" i="17"/>
  <c r="M24" i="17" l="1"/>
  <c r="M24" i="9" l="1"/>
  <c r="M24" i="11" l="1"/>
  <c r="M24" i="14" l="1"/>
  <c r="D62" i="17" l="1"/>
  <c r="D60" i="17"/>
  <c r="D56" i="17"/>
  <c r="D52" i="17"/>
  <c r="D54" i="17" s="1"/>
  <c r="D50" i="17"/>
  <c r="D48" i="17"/>
  <c r="D42" i="17"/>
  <c r="D44" i="17" s="1"/>
  <c r="D46" i="17" s="1"/>
  <c r="Y19" i="17"/>
  <c r="X17" i="17"/>
  <c r="W17" i="17"/>
  <c r="Y17" i="17" s="1"/>
  <c r="C17" i="17"/>
  <c r="B17" i="17"/>
  <c r="A19" i="17" s="1"/>
  <c r="A17" i="17"/>
  <c r="D58" i="17" l="1"/>
  <c r="E1" i="6"/>
  <c r="D62" i="14"/>
  <c r="D60" i="14"/>
  <c r="D56" i="14"/>
  <c r="D52" i="14"/>
  <c r="D54" i="14" s="1"/>
  <c r="D50" i="14"/>
  <c r="D48" i="14"/>
  <c r="D42" i="14"/>
  <c r="D44" i="14" s="1"/>
  <c r="D46" i="14" s="1"/>
  <c r="X17" i="14"/>
  <c r="Y19" i="14" s="1"/>
  <c r="W17" i="14"/>
  <c r="C17" i="14"/>
  <c r="B17" i="14"/>
  <c r="A19" i="14" s="1"/>
  <c r="D58" i="14" l="1"/>
  <c r="E1" i="15"/>
  <c r="Y17" i="14"/>
  <c r="A17" i="14"/>
  <c r="D62" i="11" l="1"/>
  <c r="D60" i="11"/>
  <c r="D56" i="11"/>
  <c r="D52" i="11"/>
  <c r="D54" i="11" s="1"/>
  <c r="D50" i="11"/>
  <c r="D48" i="11"/>
  <c r="D42" i="11"/>
  <c r="D44" i="11" s="1"/>
  <c r="D46" i="11" s="1"/>
  <c r="X17" i="11"/>
  <c r="Y19" i="11" s="1"/>
  <c r="W17" i="11"/>
  <c r="C17" i="11"/>
  <c r="B17" i="11"/>
  <c r="A19" i="11" s="1"/>
  <c r="Y17" i="11" l="1"/>
  <c r="D58" i="11"/>
  <c r="E1" i="12"/>
  <c r="A17" i="11"/>
  <c r="D62" i="9" l="1"/>
  <c r="D60" i="9"/>
  <c r="D56" i="9"/>
  <c r="D52" i="9"/>
  <c r="D54" i="9" s="1"/>
  <c r="D50" i="9"/>
  <c r="D48" i="9"/>
  <c r="D42" i="9"/>
  <c r="D44" i="9" s="1"/>
  <c r="D46" i="9" s="1"/>
  <c r="E1" i="3" s="1"/>
  <c r="X17" i="9"/>
  <c r="Y19" i="9" s="1"/>
  <c r="W17" i="9"/>
  <c r="C17" i="9"/>
  <c r="B17" i="9"/>
  <c r="A19" i="9" s="1"/>
  <c r="Y17" i="9" l="1"/>
  <c r="A17" i="9"/>
  <c r="D58" i="9"/>
</calcChain>
</file>

<file path=xl/sharedStrings.xml><?xml version="1.0" encoding="utf-8"?>
<sst xmlns="http://schemas.openxmlformats.org/spreadsheetml/2006/main" count="246" uniqueCount="66">
  <si>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</si>
  <si>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</si>
  <si>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</si>
  <si>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</si>
  <si>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</si>
  <si>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</si>
  <si>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</si>
  <si>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</si>
  <si>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</si>
  <si>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</si>
  <si>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</si>
  <si>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</si>
  <si>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</si>
  <si>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</si>
  <si>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</si>
  <si>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</si>
  <si>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</si>
  <si>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</si>
  <si>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</si>
  <si>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</si>
  <si>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</si>
  <si>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</si>
  <si>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</si>
  <si>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</si>
  <si>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</si>
  <si>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</si>
  <si>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</si>
  <si>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</si>
  <si>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</si>
  <si>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</si>
  <si>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</si>
  <si>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</si>
  <si>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</si>
  <si>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</si>
  <si>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</si>
  <si>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</si>
  <si>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</si>
  <si>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</si>
  <si>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</si>
  <si>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</si>
  <si>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</si>
  <si>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</si>
  <si>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</si>
  <si>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</si>
  <si>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</si>
  <si>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</si>
  <si>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</si>
  <si>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</si>
  <si>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</si>
  <si>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</si>
  <si>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</si>
  <si>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</si>
  <si>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</si>
  <si>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</si>
  <si>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</si>
  <si>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</si>
  <si>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</si>
  <si>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</si>
  <si>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</si>
  <si>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</si>
  <si>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</si>
  <si>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</si>
  <si>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</si>
  <si>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</si>
  <si>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</si>
  <si>
    <t>Part 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</si>
</sst>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4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9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82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0" fillId="0" borderId="86" xfId="0" applyBorder="1" applyAlignment="1">
      <alignment vertical="center"/>
    </xf>
    <xf numFmtId="0" fontId="38" fillId="0" borderId="86" xfId="23" applyFont="1" applyFill="1" applyBorder="1" applyAlignment="1">
      <alignment horizontal="center"/>
    </xf>
    <xf numFmtId="0" fontId="37" fillId="0" borderId="86" xfId="23" applyFont="1" applyFill="1" applyBorder="1" applyAlignment="1">
      <alignment horizontal="center"/>
    </xf>
    <xf numFmtId="0" fontId="0" fillId="0" borderId="86" xfId="0" applyFill="1" applyBorder="1">
      <alignment vertical="center"/>
    </xf>
    <xf numFmtId="0" fontId="0" fillId="0" borderId="87" xfId="0" applyBorder="1" applyAlignment="1">
      <alignment vertical="center"/>
    </xf>
    <xf numFmtId="0" fontId="0" fillId="3" borderId="86" xfId="0" applyFill="1" applyBorder="1">
      <alignment vertical="center"/>
    </xf>
    <xf numFmtId="0" fontId="0" fillId="0" borderId="88" xfId="0" applyBorder="1" applyAlignment="1">
      <alignment vertical="center"/>
    </xf>
    <xf numFmtId="0" fontId="0" fillId="0" borderId="89" xfId="0" applyBorder="1" applyAlignment="1">
      <alignment vertical="center"/>
    </xf>
    <xf numFmtId="0" fontId="0" fillId="3" borderId="86" xfId="0" applyFill="1" applyBorder="1" applyAlignment="1">
      <alignment horizontal="center" vertical="center"/>
    </xf>
    <xf numFmtId="0" fontId="36" fillId="3" borderId="86" xfId="1" applyFont="1" applyFill="1" applyBorder="1" applyProtection="1"/>
    <xf numFmtId="0" fontId="0" fillId="0" borderId="86" xfId="0" applyFill="1" applyBorder="1" applyAlignment="1">
      <alignment horizontal="center" vertical="center"/>
    </xf>
    <xf numFmtId="0" fontId="0" fillId="0" borderId="93" xfId="0" applyBorder="1" applyAlignment="1">
      <alignment vertical="center"/>
    </xf>
    <xf numFmtId="0" fontId="38" fillId="0" borderId="89" xfId="23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49" fontId="48" fillId="3" borderId="92" xfId="0" applyNumberFormat="1" applyFont="1" applyFill="1" applyBorder="1" applyAlignment="1">
      <alignment horizontal="center" vertical="center"/>
    </xf>
    <xf numFmtId="0" fontId="33" fillId="6" borderId="92" xfId="23" applyFont="1" applyFill="1" applyBorder="1" applyAlignment="1" applyProtection="1">
      <alignment horizontal="center"/>
      <protection locked="0"/>
    </xf>
    <xf numFmtId="182" fontId="46" fillId="0" borderId="92" xfId="23" applyNumberFormat="1" applyFont="1" applyFill="1" applyBorder="1" applyAlignment="1" applyProtection="1">
      <alignment horizontal="center"/>
      <protection locked="0"/>
    </xf>
    <xf numFmtId="49" fontId="39" fillId="3" borderId="92" xfId="0" applyNumberFormat="1" applyFont="1" applyFill="1" applyBorder="1" applyAlignment="1">
      <alignment horizontal="center" vertical="center"/>
    </xf>
    <xf numFmtId="0" fontId="33" fillId="6" borderId="94" xfId="23" applyFont="1" applyFill="1" applyBorder="1" applyAlignment="1" applyProtection="1">
      <alignment horizontal="center"/>
      <protection locked="0"/>
    </xf>
    <xf numFmtId="182" fontId="46" fillId="0" borderId="94" xfId="23" applyNumberFormat="1" applyFont="1" applyFill="1" applyBorder="1" applyAlignment="1" applyProtection="1">
      <alignment horizontal="center"/>
      <protection locked="0"/>
    </xf>
    <xf numFmtId="49" fontId="39" fillId="3" borderId="96" xfId="0" applyNumberFormat="1" applyFont="1" applyFill="1" applyBorder="1">
      <alignment vertical="center"/>
    </xf>
    <xf numFmtId="0" fontId="39" fillId="3" borderId="96" xfId="0" applyFont="1" applyFill="1" applyBorder="1">
      <alignment vertical="center"/>
    </xf>
    <xf numFmtId="0" fontId="47" fillId="5" borderId="95" xfId="23" applyNumberFormat="1" applyFont="1" applyFill="1" applyBorder="1" applyAlignment="1">
      <alignment horizontal="center"/>
    </xf>
    <xf numFmtId="49" fontId="48" fillId="3" borderId="95" xfId="0" applyNumberFormat="1" applyFont="1" applyFill="1" applyBorder="1" applyAlignment="1">
      <alignment horizontal="center" vertical="center"/>
    </xf>
    <xf numFmtId="0" fontId="36" fillId="3" borderId="86" xfId="1" applyFont="1" applyFill="1" applyBorder="1" applyAlignment="1">
      <alignment vertical="center"/>
    </xf>
    <xf numFmtId="0" fontId="0" fillId="3" borderId="86" xfId="0" applyFill="1" applyBorder="1" applyAlignment="1">
      <alignment vertical="center"/>
    </xf>
    <xf numFmtId="0" fontId="0" fillId="3" borderId="93" xfId="0" applyFill="1" applyBorder="1">
      <alignment vertical="center"/>
    </xf>
    <xf numFmtId="0" fontId="39" fillId="3" borderId="71" xfId="0" applyFont="1" applyFill="1" applyBorder="1">
      <alignment vertical="center"/>
    </xf>
    <xf numFmtId="0" fontId="39" fillId="3" borderId="74" xfId="0" applyFont="1" applyFill="1" applyBorder="1">
      <alignment vertical="center"/>
    </xf>
    <xf numFmtId="0" fontId="0" fillId="0" borderId="8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0" fillId="0" borderId="7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center" vertical="center" wrapText="1"/>
      <protection hidden="1"/>
    </xf>
    <xf numFmtId="0" fontId="47" fillId="5" borderId="71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82" fontId="39" fillId="3" borderId="72" xfId="0" applyNumberFormat="1" applyFont="1" applyFill="1" applyBorder="1" applyAlignment="1">
      <alignment horizontal="center" vertic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95" xfId="0" applyNumberFormat="1" applyFont="1" applyFill="1" applyBorder="1" applyAlignment="1">
      <alignment horizontal="left"/>
    </xf>
    <xf numFmtId="49" fontId="39" fillId="3" borderId="92" xfId="0" applyNumberFormat="1" applyFont="1" applyFill="1" applyBorder="1" applyAlignment="1">
      <alignment horizontal="left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6" fillId="3" borderId="86" xfId="1" applyFont="1" applyFill="1" applyBorder="1" applyAlignment="1" applyProtection="1">
      <alignment horizontal="center" vertical="center"/>
    </xf>
    <xf numFmtId="0" fontId="0" fillId="0" borderId="86" xfId="0" applyFill="1" applyBorder="1" applyAlignment="1">
      <alignment horizontal="right" vertical="center"/>
    </xf>
    <xf numFmtId="49" fontId="36" fillId="0" borderId="86" xfId="1" applyNumberFormat="1" applyFont="1" applyBorder="1" applyAlignment="1" applyProtection="1">
      <alignment horizontal="center" vertical="center"/>
    </xf>
    <xf numFmtId="0" fontId="0" fillId="3" borderId="86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49" fontId="36" fillId="3" borderId="86" xfId="1" applyNumberFormat="1" applyFont="1" applyFill="1" applyBorder="1" applyAlignment="1" applyProtection="1">
      <alignment horizontal="center" vertical="center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33" fillId="6" borderId="92" xfId="23" applyFont="1" applyFill="1" applyBorder="1" applyAlignment="1" applyProtection="1">
      <alignment horizontal="center" vertical="center"/>
      <protection locked="0"/>
    </xf>
    <xf numFmtId="182" fontId="45" fillId="3" borderId="72" xfId="0" applyNumberFormat="1" applyFont="1" applyFill="1" applyBorder="1" applyAlignment="1">
      <alignment horizontal="center" vertical="center"/>
    </xf>
    <xf numFmtId="182" fontId="45" fillId="3" borderId="47" xfId="0" applyNumberFormat="1" applyFont="1" applyFill="1" applyBorder="1" applyAlignment="1">
      <alignment horizontal="center" vertical="center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49" fontId="39" fillId="3" borderId="71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0" fillId="3" borderId="97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1" fontId="41" fillId="0" borderId="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6" xfId="0" applyFont="1" applyBorder="1" applyAlignment="1">
      <alignment horizontal="center" vertical="center" wrapText="1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7" fillId="5" borderId="74" xfId="23" applyNumberFormat="1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27"/>
  <sheetViews>
    <sheetView tabSelected="1"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36" bestFit="1" customWidth="1"/>
    <col min="2" max="2" width="19.5" style="47" customWidth="1"/>
    <col min="3" max="3" width="55.875" style="4" customWidth="1"/>
    <col min="4" max="4" width="15.75" style="4" bestFit="1" customWidth="1"/>
    <col min="5" max="5" width="15.75" style="4" customWidth="1"/>
    <col min="6" max="7" width="17.375" style="37" bestFit="1" customWidth="1"/>
    <col min="8" max="8" width="9.75" style="3" bestFit="1" customWidth="1"/>
    <col min="9" max="9" width="12.25" style="38" customWidth="1"/>
    <col min="10" max="10" width="18.625" style="38" customWidth="1"/>
    <col min="11" max="11" width="16.625" style="38" customWidth="1"/>
    <col min="12" max="12" width="18.5" style="38" customWidth="1"/>
    <col min="13" max="14" width="9" style="38" hidden="1" customWidth="1"/>
    <col min="15" max="16384" width="9" style="38"/>
  </cols>
  <sheetData>
    <row r="1" spans="1:12" ht="20.25">
      <c r="A1" s="101" t="s">
        <v>53</v>
      </c>
      <c r="B1" s="101"/>
      <c r="C1" s="102"/>
    </row>
    <row r="2" spans="1:12" ht="20.25">
      <c r="A2" s="1" t="s">
        <v>4</v>
      </c>
      <c r="B2" s="2" t="s">
        <v>5</v>
      </c>
    </row>
    <row r="3" spans="1:12" ht="20.25">
      <c r="A3" s="1" t="s">
        <v>6</v>
      </c>
      <c r="B3" s="2"/>
    </row>
    <row r="4" spans="1:12" ht="20.25">
      <c r="A4" s="1"/>
      <c r="B4" s="39"/>
    </row>
    <row r="5" spans="1:12">
      <c r="A5" s="40" t="s">
        <v>7</v>
      </c>
      <c r="B5" s="41" t="s">
        <v>52</v>
      </c>
      <c r="C5" s="42" t="s">
        <v>8</v>
      </c>
      <c r="D5" s="43" t="s">
        <v>47</v>
      </c>
      <c r="E5" s="43" t="s">
        <v>48</v>
      </c>
      <c r="F5" s="43" t="s">
        <v>37</v>
      </c>
      <c r="G5" s="43" t="s">
        <v>65</v>
      </c>
      <c r="H5" s="44" t="s">
        <v>38</v>
      </c>
      <c r="I5" s="45" t="s">
        <v>9</v>
      </c>
      <c r="J5" s="45" t="s">
        <v>36</v>
      </c>
      <c r="K5" s="46" t="s">
        <v>45</v>
      </c>
      <c r="L5" s="46" t="s">
        <v>40</v>
      </c>
    </row>
    <row r="6" spans="1:12">
      <c r="B6" s="34"/>
      <c r="C6" s="34"/>
      <c r="I6" s="35"/>
    </row>
    <row r="7" spans="1:12">
      <c r="B7" s="34"/>
      <c r="C7" s="34"/>
      <c r="I7" s="35"/>
    </row>
    <row r="8" spans="1:12">
      <c r="B8" s="34"/>
      <c r="C8" s="34"/>
      <c r="I8" s="35"/>
    </row>
    <row r="9" spans="1:12">
      <c r="B9" s="34"/>
      <c r="C9" s="34"/>
      <c r="I9" s="35"/>
    </row>
    <row r="10" spans="1:12">
      <c r="B10" s="34"/>
      <c r="C10" s="34"/>
      <c r="I10" s="35"/>
    </row>
    <row r="11" spans="1:12">
      <c r="B11" s="34"/>
      <c r="C11" s="34"/>
      <c r="I11" s="35"/>
    </row>
    <row r="12" spans="1:12">
      <c r="B12" s="34"/>
      <c r="C12" s="34"/>
      <c r="I12" s="35"/>
    </row>
    <row r="13" spans="1:12">
      <c r="B13" s="34"/>
      <c r="C13" s="34"/>
      <c r="I13" s="35"/>
    </row>
    <row r="14" spans="1:12">
      <c r="B14" s="34"/>
      <c r="C14" s="34"/>
      <c r="I14" s="35"/>
    </row>
    <row r="15" spans="1:12">
      <c r="B15" s="34"/>
      <c r="C15" s="34"/>
      <c r="I15" s="35"/>
    </row>
    <row r="16" spans="1:12">
      <c r="B16" s="34"/>
      <c r="C16" s="34"/>
      <c r="I16" s="35"/>
    </row>
    <row r="17" spans="2:9">
      <c r="B17" s="34"/>
      <c r="C17" s="34"/>
      <c r="I17" s="35"/>
    </row>
    <row r="18" spans="2:9">
      <c r="B18" s="34"/>
      <c r="C18" s="34"/>
      <c r="I18" s="35"/>
    </row>
    <row r="19" spans="2:9">
      <c r="B19" s="34"/>
      <c r="C19" s="34"/>
      <c r="I19" s="35"/>
    </row>
    <row r="20" spans="2:9">
      <c r="B20" s="34"/>
      <c r="C20" s="34"/>
      <c r="I20" s="35"/>
    </row>
    <row r="21" spans="2:9">
      <c r="B21" s="34"/>
      <c r="C21" s="34"/>
      <c r="I21" s="35"/>
    </row>
    <row r="22" spans="2:9">
      <c r="B22" s="34"/>
      <c r="C22" s="34"/>
      <c r="I22" s="35"/>
    </row>
    <row r="23" spans="2:9">
      <c r="B23" s="34"/>
      <c r="C23" s="34"/>
      <c r="I23" s="35"/>
    </row>
    <row r="24" spans="2:9">
      <c r="B24" s="34"/>
      <c r="C24" s="34"/>
      <c r="I24" s="35"/>
    </row>
    <row r="25" spans="2:9">
      <c r="B25" s="34"/>
      <c r="C25" s="34"/>
      <c r="I25" s="35"/>
    </row>
    <row r="26" spans="2:9">
      <c r="B26" s="34"/>
      <c r="C26" s="34"/>
      <c r="I26" s="35"/>
    </row>
    <row r="27" spans="2:9">
      <c r="B27" s="34"/>
      <c r="C27" s="34"/>
      <c r="I27" s="35"/>
    </row>
    <row r="28" spans="2:9">
      <c r="B28" s="34"/>
      <c r="C28" s="34"/>
      <c r="I28" s="35"/>
    </row>
    <row r="29" spans="2:9">
      <c r="B29" s="34"/>
      <c r="C29" s="34"/>
      <c r="I29" s="35"/>
    </row>
    <row r="30" spans="2:9">
      <c r="B30" s="34"/>
      <c r="C30" s="34"/>
      <c r="I30" s="35"/>
    </row>
    <row r="31" spans="2:9">
      <c r="B31" s="34"/>
      <c r="C31" s="34"/>
      <c r="I31" s="35"/>
    </row>
    <row r="32" spans="2:9">
      <c r="B32" s="34"/>
      <c r="C32" s="34"/>
      <c r="I32" s="35"/>
    </row>
    <row r="33" spans="2:9">
      <c r="B33" s="34"/>
      <c r="C33" s="34"/>
      <c r="I33" s="35"/>
    </row>
    <row r="34" spans="2:9">
      <c r="B34" s="34"/>
      <c r="C34" s="34"/>
      <c r="I34" s="35"/>
    </row>
    <row r="35" spans="2:9">
      <c r="B35" s="34"/>
      <c r="C35" s="34"/>
      <c r="I35" s="35"/>
    </row>
    <row r="36" spans="2:9">
      <c r="B36" s="34"/>
      <c r="C36" s="34"/>
      <c r="I36" s="35"/>
    </row>
    <row r="37" spans="2:9">
      <c r="B37" s="34"/>
      <c r="C37" s="34"/>
      <c r="I37" s="35"/>
    </row>
    <row r="38" spans="2:9">
      <c r="B38" s="34"/>
      <c r="C38" s="34"/>
      <c r="I38" s="35"/>
    </row>
    <row r="39" spans="2:9">
      <c r="B39" s="34"/>
      <c r="C39" s="34"/>
      <c r="I39" s="35"/>
    </row>
    <row r="40" spans="2:9">
      <c r="B40" s="34"/>
      <c r="C40" s="34"/>
      <c r="I40" s="35"/>
    </row>
    <row r="41" spans="2:9">
      <c r="B41" s="34"/>
      <c r="C41" s="34"/>
      <c r="I41" s="35"/>
    </row>
    <row r="42" spans="2:9">
      <c r="B42" s="34"/>
      <c r="C42" s="34"/>
      <c r="I42" s="35"/>
    </row>
    <row r="43" spans="2:9">
      <c r="B43" s="34"/>
      <c r="C43" s="34"/>
      <c r="I43" s="35"/>
    </row>
    <row r="44" spans="2:9">
      <c r="B44" s="34"/>
      <c r="C44" s="34"/>
      <c r="I44" s="35"/>
    </row>
    <row r="45" spans="2:9">
      <c r="B45" s="34"/>
      <c r="C45" s="34"/>
      <c r="I45" s="35"/>
    </row>
    <row r="46" spans="2:9">
      <c r="B46" s="34"/>
      <c r="C46" s="34"/>
      <c r="I46" s="35"/>
    </row>
    <row r="47" spans="2:9">
      <c r="B47" s="34"/>
      <c r="C47" s="34"/>
      <c r="I47" s="35"/>
    </row>
    <row r="48" spans="2:9">
      <c r="B48" s="34"/>
      <c r="C48" s="34"/>
      <c r="I48" s="35"/>
    </row>
    <row r="49" spans="2:9">
      <c r="B49" s="34"/>
      <c r="C49" s="34"/>
      <c r="I49" s="35"/>
    </row>
    <row r="50" spans="2:9">
      <c r="B50" s="34"/>
      <c r="C50" s="34"/>
      <c r="I50" s="35"/>
    </row>
    <row r="51" spans="2:9">
      <c r="B51" s="34"/>
      <c r="C51" s="34"/>
      <c r="I51" s="35"/>
    </row>
    <row r="52" spans="2:9">
      <c r="B52" s="34"/>
      <c r="C52" s="34"/>
      <c r="I52" s="35"/>
    </row>
    <row r="53" spans="2:9">
      <c r="B53" s="34"/>
      <c r="C53" s="34"/>
      <c r="I53" s="35"/>
    </row>
    <row r="54" spans="2:9">
      <c r="B54" s="34"/>
      <c r="C54" s="34"/>
      <c r="I54" s="35"/>
    </row>
    <row r="55" spans="2:9">
      <c r="B55" s="34"/>
      <c r="C55" s="34"/>
      <c r="I55" s="35"/>
    </row>
    <row r="56" spans="2:9">
      <c r="B56" s="34"/>
      <c r="C56" s="34"/>
      <c r="I56" s="35"/>
    </row>
    <row r="57" spans="2:9">
      <c r="B57" s="34"/>
      <c r="C57" s="34"/>
      <c r="I57" s="35"/>
    </row>
    <row r="58" spans="2:9">
      <c r="B58" s="34"/>
      <c r="C58" s="34"/>
      <c r="I58" s="35"/>
    </row>
    <row r="59" spans="2:9">
      <c r="B59" s="34"/>
      <c r="C59" s="34"/>
      <c r="I59" s="35"/>
    </row>
    <row r="60" spans="2:9">
      <c r="B60" s="34"/>
      <c r="C60" s="34"/>
      <c r="I60" s="35"/>
    </row>
    <row r="61" spans="2:9">
      <c r="B61" s="34"/>
      <c r="C61" s="34"/>
      <c r="I61" s="35"/>
    </row>
    <row r="62" spans="2:9">
      <c r="B62" s="34"/>
      <c r="C62" s="34"/>
      <c r="I62" s="35"/>
    </row>
    <row r="63" spans="2:9">
      <c r="B63" s="34"/>
      <c r="C63" s="34"/>
      <c r="I63" s="35"/>
    </row>
    <row r="64" spans="2:9">
      <c r="B64" s="34"/>
      <c r="C64" s="34"/>
      <c r="I64" s="35"/>
    </row>
    <row r="65" spans="2:9">
      <c r="B65" s="34"/>
      <c r="C65" s="34"/>
      <c r="I65" s="35"/>
    </row>
    <row r="66" spans="2:9">
      <c r="B66" s="34"/>
      <c r="C66" s="34"/>
      <c r="I66" s="35"/>
    </row>
    <row r="67" spans="2:9">
      <c r="B67" s="34"/>
      <c r="C67" s="34"/>
      <c r="I67" s="35"/>
    </row>
    <row r="68" spans="2:9">
      <c r="B68" s="34"/>
      <c r="C68" s="34"/>
      <c r="I68" s="35"/>
    </row>
    <row r="69" spans="2:9">
      <c r="B69" s="34"/>
      <c r="C69" s="34"/>
      <c r="I69" s="35"/>
    </row>
    <row r="70" spans="2:9">
      <c r="B70" s="34"/>
      <c r="C70" s="34"/>
      <c r="I70" s="35"/>
    </row>
    <row r="71" spans="2:9">
      <c r="B71" s="34"/>
      <c r="C71" s="34"/>
      <c r="I71" s="35"/>
    </row>
    <row r="72" spans="2:9">
      <c r="B72" s="34"/>
      <c r="C72" s="34"/>
      <c r="I72" s="35"/>
    </row>
    <row r="73" spans="2:9">
      <c r="B73" s="34"/>
      <c r="C73" s="34"/>
      <c r="I73" s="35"/>
    </row>
    <row r="74" spans="2:9">
      <c r="B74" s="34"/>
      <c r="C74" s="34"/>
      <c r="I74" s="35"/>
    </row>
    <row r="75" spans="2:9">
      <c r="B75" s="34"/>
      <c r="C75" s="34"/>
      <c r="I75" s="35"/>
    </row>
    <row r="76" spans="2:9">
      <c r="B76" s="34"/>
      <c r="C76" s="34"/>
      <c r="I76" s="35"/>
    </row>
    <row r="77" spans="2:9">
      <c r="B77" s="34"/>
      <c r="C77" s="34"/>
      <c r="I77" s="35"/>
    </row>
    <row r="78" spans="2:9">
      <c r="B78" s="34"/>
      <c r="C78" s="34"/>
      <c r="I78" s="35"/>
    </row>
    <row r="79" spans="2:9">
      <c r="B79" s="34"/>
      <c r="C79" s="34"/>
      <c r="I79" s="35"/>
    </row>
    <row r="80" spans="2:9">
      <c r="B80" s="34"/>
      <c r="C80" s="34"/>
      <c r="I80" s="35"/>
    </row>
    <row r="81" spans="2:9">
      <c r="B81" s="34"/>
      <c r="C81" s="34"/>
      <c r="I81" s="35"/>
    </row>
    <row r="82" spans="2:9">
      <c r="B82" s="34"/>
      <c r="C82" s="34"/>
      <c r="I82" s="35"/>
    </row>
    <row r="83" spans="2:9">
      <c r="B83" s="34"/>
      <c r="C83" s="34"/>
      <c r="I83" s="35"/>
    </row>
    <row r="84" spans="2:9">
      <c r="B84" s="34"/>
      <c r="C84" s="34"/>
      <c r="I84" s="35"/>
    </row>
    <row r="85" spans="2:9">
      <c r="B85" s="34"/>
      <c r="C85" s="34"/>
      <c r="I85" s="35"/>
    </row>
    <row r="86" spans="2:9">
      <c r="B86" s="34"/>
      <c r="C86" s="34"/>
      <c r="I86" s="35"/>
    </row>
    <row r="87" spans="2:9">
      <c r="B87" s="34"/>
      <c r="C87" s="34"/>
      <c r="I87" s="35"/>
    </row>
    <row r="88" spans="2:9">
      <c r="B88" s="34"/>
      <c r="C88" s="34"/>
      <c r="I88" s="35"/>
    </row>
    <row r="89" spans="2:9">
      <c r="B89" s="34"/>
      <c r="C89" s="34"/>
      <c r="I89" s="35"/>
    </row>
    <row r="90" spans="2:9">
      <c r="B90" s="34"/>
      <c r="C90" s="34"/>
      <c r="I90" s="35"/>
    </row>
    <row r="91" spans="2:9">
      <c r="B91" s="34"/>
      <c r="C91" s="34"/>
      <c r="I91" s="35"/>
    </row>
    <row r="92" spans="2:9">
      <c r="B92" s="34"/>
      <c r="C92" s="34"/>
      <c r="I92" s="35"/>
    </row>
    <row r="93" spans="2:9">
      <c r="B93" s="34"/>
      <c r="C93" s="34"/>
      <c r="I93" s="35"/>
    </row>
    <row r="94" spans="2:9">
      <c r="B94" s="34"/>
      <c r="C94" s="34"/>
      <c r="I94" s="35"/>
    </row>
    <row r="95" spans="2:9">
      <c r="B95" s="34"/>
      <c r="C95" s="34"/>
      <c r="I95" s="35"/>
    </row>
    <row r="96" spans="2:9">
      <c r="B96" s="34"/>
      <c r="C96" s="34"/>
      <c r="I96" s="35"/>
    </row>
    <row r="97" spans="2:9">
      <c r="B97" s="34"/>
      <c r="C97" s="34"/>
      <c r="I97" s="35"/>
    </row>
    <row r="98" spans="2:9">
      <c r="B98" s="34"/>
      <c r="C98" s="34"/>
      <c r="I98" s="35"/>
    </row>
    <row r="99" spans="2:9">
      <c r="B99" s="34"/>
      <c r="C99" s="34"/>
      <c r="I99" s="35"/>
    </row>
    <row r="100" spans="2:9">
      <c r="B100" s="34"/>
      <c r="C100" s="34"/>
      <c r="I100" s="35"/>
    </row>
    <row r="101" spans="2:9">
      <c r="B101" s="34"/>
      <c r="C101" s="34"/>
      <c r="I101" s="35"/>
    </row>
    <row r="102" spans="2:9">
      <c r="B102" s="34"/>
      <c r="C102" s="34"/>
      <c r="I102" s="35"/>
    </row>
    <row r="103" spans="2:9">
      <c r="B103" s="34"/>
      <c r="C103" s="34"/>
      <c r="I103" s="35"/>
    </row>
    <row r="104" spans="2:9">
      <c r="B104" s="34"/>
      <c r="C104" s="34"/>
      <c r="I104" s="35"/>
    </row>
    <row r="105" spans="2:9">
      <c r="B105" s="34"/>
      <c r="C105" s="34"/>
      <c r="I105" s="35"/>
    </row>
    <row r="106" spans="2:9">
      <c r="B106" s="34"/>
      <c r="C106" s="34"/>
      <c r="I106" s="35"/>
    </row>
    <row r="107" spans="2:9">
      <c r="B107" s="34"/>
      <c r="C107" s="34"/>
      <c r="I107" s="35"/>
    </row>
    <row r="108" spans="2:9">
      <c r="B108" s="34"/>
      <c r="C108" s="34"/>
      <c r="I108" s="35"/>
    </row>
    <row r="109" spans="2:9">
      <c r="B109" s="34"/>
      <c r="C109" s="34"/>
      <c r="I109" s="35"/>
    </row>
    <row r="110" spans="2:9">
      <c r="B110" s="34"/>
      <c r="C110" s="34"/>
      <c r="I110" s="35"/>
    </row>
    <row r="111" spans="2:9">
      <c r="B111" s="34"/>
      <c r="C111" s="34"/>
      <c r="I111" s="35"/>
    </row>
    <row r="112" spans="2:9">
      <c r="B112" s="34"/>
      <c r="C112" s="34"/>
      <c r="I112" s="35"/>
    </row>
    <row r="113" spans="2:9">
      <c r="B113" s="34"/>
      <c r="C113" s="34"/>
      <c r="I113" s="35"/>
    </row>
    <row r="114" spans="2:9">
      <c r="B114" s="34"/>
      <c r="C114" s="34"/>
      <c r="I114" s="35"/>
    </row>
    <row r="115" spans="2:9">
      <c r="B115" s="34"/>
      <c r="C115" s="34"/>
      <c r="I115" s="35"/>
    </row>
    <row r="116" spans="2:9">
      <c r="B116" s="34"/>
      <c r="C116" s="34"/>
      <c r="I116" s="35"/>
    </row>
    <row r="117" spans="2:9">
      <c r="B117" s="34"/>
      <c r="C117" s="34"/>
      <c r="I117" s="35"/>
    </row>
    <row r="118" spans="2:9">
      <c r="B118" s="34"/>
      <c r="C118" s="34"/>
      <c r="I118" s="35"/>
    </row>
    <row r="119" spans="2:9">
      <c r="B119" s="34"/>
      <c r="C119" s="34"/>
      <c r="I119" s="35"/>
    </row>
    <row r="120" spans="2:9">
      <c r="B120" s="34"/>
      <c r="C120" s="34"/>
      <c r="I120" s="35"/>
    </row>
    <row r="121" spans="2:9">
      <c r="B121" s="34"/>
      <c r="C121" s="34"/>
      <c r="I121" s="35"/>
    </row>
    <row r="122" spans="2:9">
      <c r="B122" s="34"/>
      <c r="C122" s="34"/>
      <c r="I122" s="35"/>
    </row>
    <row r="123" spans="2:9">
      <c r="B123" s="34"/>
      <c r="C123" s="34"/>
      <c r="I123" s="35"/>
    </row>
    <row r="124" spans="2:9">
      <c r="B124" s="34"/>
      <c r="C124" s="34"/>
      <c r="I124" s="35"/>
    </row>
    <row r="125" spans="2:9">
      <c r="B125" s="34"/>
      <c r="C125" s="34"/>
      <c r="I125" s="35"/>
    </row>
    <row r="126" spans="2:9">
      <c r="B126" s="34"/>
      <c r="C126" s="34"/>
      <c r="I126" s="35"/>
    </row>
    <row r="127" spans="2:9">
      <c r="B127" s="34"/>
      <c r="C127" s="34"/>
      <c r="I127" s="35"/>
    </row>
    <row r="128" spans="2:9">
      <c r="B128" s="34"/>
      <c r="C128" s="34"/>
      <c r="I128" s="35"/>
    </row>
    <row r="129" spans="2:9">
      <c r="B129" s="34"/>
      <c r="C129" s="34"/>
      <c r="I129" s="35"/>
    </row>
    <row r="130" spans="2:9">
      <c r="B130" s="34"/>
      <c r="C130" s="34"/>
      <c r="I130" s="35"/>
    </row>
    <row r="131" spans="2:9">
      <c r="B131" s="34"/>
      <c r="C131" s="34"/>
      <c r="I131" s="35"/>
    </row>
    <row r="132" spans="2:9">
      <c r="B132" s="34"/>
      <c r="C132" s="34"/>
      <c r="I132" s="35"/>
    </row>
    <row r="133" spans="2:9">
      <c r="B133" s="34"/>
      <c r="C133" s="34"/>
      <c r="I133" s="35"/>
    </row>
    <row r="134" spans="2:9">
      <c r="B134" s="34"/>
      <c r="C134" s="34"/>
      <c r="I134" s="35"/>
    </row>
    <row r="135" spans="2:9">
      <c r="B135" s="34"/>
      <c r="C135" s="34"/>
      <c r="I135" s="35"/>
    </row>
    <row r="136" spans="2:9">
      <c r="B136" s="34"/>
      <c r="C136" s="34"/>
      <c r="I136" s="35"/>
    </row>
    <row r="137" spans="2:9">
      <c r="B137" s="34"/>
      <c r="C137" s="34"/>
      <c r="I137" s="35"/>
    </row>
    <row r="138" spans="2:9">
      <c r="B138" s="34"/>
      <c r="C138" s="34"/>
      <c r="I138" s="35"/>
    </row>
    <row r="139" spans="2:9">
      <c r="B139" s="34"/>
      <c r="C139" s="34"/>
      <c r="I139" s="35"/>
    </row>
    <row r="140" spans="2:9">
      <c r="B140" s="34"/>
      <c r="C140" s="34"/>
      <c r="I140" s="35"/>
    </row>
    <row r="141" spans="2:9">
      <c r="B141" s="34"/>
      <c r="C141" s="34"/>
      <c r="I141" s="35"/>
    </row>
    <row r="142" spans="2:9">
      <c r="B142" s="34"/>
      <c r="C142" s="34"/>
      <c r="I142" s="35"/>
    </row>
    <row r="143" spans="2:9">
      <c r="B143" s="34"/>
      <c r="C143" s="34"/>
      <c r="I143" s="35"/>
    </row>
    <row r="144" spans="2:9">
      <c r="B144" s="34"/>
      <c r="C144" s="34"/>
      <c r="I144" s="35"/>
    </row>
    <row r="145" spans="2:9">
      <c r="B145" s="34"/>
      <c r="C145" s="34"/>
      <c r="I145" s="35"/>
    </row>
    <row r="146" spans="2:9">
      <c r="B146" s="34"/>
      <c r="C146" s="34"/>
      <c r="I146" s="35"/>
    </row>
    <row r="147" spans="2:9">
      <c r="B147" s="34"/>
      <c r="C147" s="34"/>
      <c r="I147" s="35"/>
    </row>
    <row r="148" spans="2:9">
      <c r="B148" s="34"/>
      <c r="C148" s="34"/>
      <c r="I148" s="35"/>
    </row>
    <row r="149" spans="2:9">
      <c r="B149" s="34"/>
      <c r="C149" s="34"/>
      <c r="I149" s="35"/>
    </row>
    <row r="150" spans="2:9">
      <c r="B150" s="34"/>
      <c r="C150" s="34"/>
      <c r="I150" s="35"/>
    </row>
    <row r="151" spans="2:9">
      <c r="B151" s="34"/>
      <c r="C151" s="34"/>
      <c r="I151" s="35"/>
    </row>
    <row r="152" spans="2:9">
      <c r="B152" s="34"/>
      <c r="C152" s="34"/>
      <c r="I152" s="35"/>
    </row>
    <row r="153" spans="2:9">
      <c r="B153" s="34"/>
      <c r="C153" s="34"/>
      <c r="I153" s="35"/>
    </row>
    <row r="154" spans="2:9">
      <c r="B154" s="34"/>
      <c r="C154" s="34"/>
      <c r="I154" s="35"/>
    </row>
    <row r="155" spans="2:9">
      <c r="B155" s="34"/>
      <c r="C155" s="34"/>
      <c r="I155" s="35"/>
    </row>
    <row r="156" spans="2:9">
      <c r="B156" s="34"/>
      <c r="C156" s="34"/>
      <c r="I156" s="35"/>
    </row>
    <row r="157" spans="2:9">
      <c r="B157" s="34"/>
      <c r="C157" s="34"/>
      <c r="I157" s="35"/>
    </row>
    <row r="158" spans="2:9">
      <c r="B158" s="34"/>
      <c r="C158" s="34"/>
      <c r="I158" s="35"/>
    </row>
    <row r="159" spans="2:9">
      <c r="B159" s="34"/>
      <c r="C159" s="34"/>
      <c r="I159" s="35"/>
    </row>
    <row r="160" spans="2:9">
      <c r="B160" s="34"/>
      <c r="C160" s="34"/>
      <c r="I160" s="35"/>
    </row>
    <row r="161" spans="2:9">
      <c r="B161" s="34"/>
      <c r="C161" s="34"/>
      <c r="I161" s="35"/>
    </row>
    <row r="162" spans="2:9">
      <c r="B162" s="34"/>
      <c r="C162" s="34"/>
      <c r="I162" s="35"/>
    </row>
    <row r="163" spans="2:9">
      <c r="B163" s="34"/>
      <c r="C163" s="34"/>
      <c r="I163" s="35"/>
    </row>
    <row r="164" spans="2:9">
      <c r="B164" s="34"/>
      <c r="C164" s="34"/>
      <c r="I164" s="35"/>
    </row>
    <row r="165" spans="2:9">
      <c r="B165" s="34"/>
      <c r="C165" s="34"/>
      <c r="I165" s="35"/>
    </row>
    <row r="166" spans="2:9">
      <c r="B166" s="34"/>
      <c r="C166" s="34"/>
      <c r="I166" s="35"/>
    </row>
    <row r="167" spans="2:9">
      <c r="B167" s="34"/>
      <c r="C167" s="34"/>
      <c r="I167" s="35"/>
    </row>
    <row r="168" spans="2:9">
      <c r="B168" s="34"/>
      <c r="C168" s="34"/>
      <c r="I168" s="35"/>
    </row>
    <row r="169" spans="2:9">
      <c r="B169" s="34"/>
      <c r="C169" s="34"/>
      <c r="I169" s="35"/>
    </row>
    <row r="170" spans="2:9">
      <c r="B170" s="34"/>
      <c r="C170" s="34"/>
      <c r="I170" s="35"/>
    </row>
    <row r="171" spans="2:9">
      <c r="B171" s="34"/>
      <c r="C171" s="34"/>
      <c r="I171" s="35"/>
    </row>
    <row r="172" spans="2:9">
      <c r="B172" s="34"/>
      <c r="C172" s="34"/>
      <c r="I172" s="35"/>
    </row>
    <row r="173" spans="2:9">
      <c r="B173" s="34"/>
      <c r="C173" s="34"/>
      <c r="I173" s="35"/>
    </row>
    <row r="174" spans="2:9">
      <c r="B174" s="34"/>
      <c r="C174" s="34"/>
      <c r="I174" s="35"/>
    </row>
    <row r="175" spans="2:9">
      <c r="B175" s="34"/>
      <c r="C175" s="34"/>
      <c r="I175" s="35"/>
    </row>
    <row r="176" spans="2:9">
      <c r="B176" s="34"/>
      <c r="C176" s="34"/>
      <c r="I176" s="35"/>
    </row>
    <row r="177" spans="2:9">
      <c r="B177" s="34"/>
      <c r="C177" s="34"/>
      <c r="I177" s="35"/>
    </row>
    <row r="178" spans="2:9">
      <c r="B178" s="34"/>
      <c r="C178" s="34"/>
      <c r="I178" s="35"/>
    </row>
    <row r="179" spans="2:9">
      <c r="B179" s="34"/>
      <c r="C179" s="34"/>
      <c r="I179" s="35"/>
    </row>
    <row r="180" spans="2:9">
      <c r="B180" s="34"/>
      <c r="C180" s="34"/>
      <c r="I180" s="35"/>
    </row>
    <row r="181" spans="2:9">
      <c r="B181" s="34"/>
      <c r="C181" s="34"/>
      <c r="I181" s="35"/>
    </row>
    <row r="182" spans="2:9">
      <c r="B182" s="34"/>
      <c r="C182" s="34"/>
      <c r="I182" s="35"/>
    </row>
    <row r="183" spans="2:9">
      <c r="B183" s="34"/>
      <c r="C183" s="34"/>
      <c r="I183" s="35"/>
    </row>
    <row r="184" spans="2:9">
      <c r="B184" s="34"/>
      <c r="C184" s="34"/>
      <c r="I184" s="35"/>
    </row>
    <row r="185" spans="2:9">
      <c r="B185" s="34"/>
      <c r="C185" s="34"/>
      <c r="I185" s="35"/>
    </row>
    <row r="186" spans="2:9">
      <c r="B186" s="34"/>
      <c r="C186" s="34"/>
      <c r="I186" s="35"/>
    </row>
    <row r="187" spans="2:9">
      <c r="B187" s="34"/>
      <c r="C187" s="34"/>
      <c r="I187" s="35"/>
    </row>
    <row r="188" spans="2:9">
      <c r="B188" s="34"/>
      <c r="C188" s="34"/>
      <c r="I188" s="35"/>
    </row>
    <row r="189" spans="2:9">
      <c r="B189" s="34"/>
      <c r="C189" s="34"/>
      <c r="I189" s="35"/>
    </row>
    <row r="190" spans="2:9">
      <c r="B190" s="34"/>
      <c r="C190" s="34"/>
      <c r="I190" s="35"/>
    </row>
    <row r="191" spans="2:9">
      <c r="B191" s="34"/>
      <c r="C191" s="34"/>
      <c r="I191" s="35"/>
    </row>
    <row r="192" spans="2:9">
      <c r="B192" s="34"/>
      <c r="C192" s="34"/>
      <c r="I192" s="35"/>
    </row>
    <row r="193" spans="2:9">
      <c r="B193" s="34"/>
      <c r="C193" s="34"/>
      <c r="I193" s="35"/>
    </row>
    <row r="194" spans="2:9">
      <c r="B194" s="34"/>
      <c r="C194" s="34"/>
      <c r="I194" s="35"/>
    </row>
    <row r="195" spans="2:9">
      <c r="B195" s="34"/>
      <c r="C195" s="34"/>
      <c r="I195" s="35"/>
    </row>
    <row r="196" spans="2:9">
      <c r="B196" s="34"/>
      <c r="C196" s="34"/>
      <c r="I196" s="35"/>
    </row>
    <row r="197" spans="2:9">
      <c r="B197" s="34"/>
      <c r="C197" s="34"/>
      <c r="I197" s="35"/>
    </row>
    <row r="198" spans="2:9">
      <c r="B198" s="34"/>
      <c r="C198" s="34"/>
      <c r="I198" s="35"/>
    </row>
    <row r="199" spans="2:9">
      <c r="B199" s="34"/>
      <c r="C199" s="34"/>
      <c r="I199" s="35"/>
    </row>
    <row r="200" spans="2:9">
      <c r="B200" s="34"/>
      <c r="C200" s="34"/>
      <c r="I200" s="35"/>
    </row>
    <row r="201" spans="2:9">
      <c r="B201" s="34"/>
      <c r="C201" s="34"/>
      <c r="I201" s="35"/>
    </row>
    <row r="202" spans="2:9">
      <c r="B202" s="34"/>
      <c r="C202" s="34"/>
      <c r="I202" s="35"/>
    </row>
    <row r="203" spans="2:9">
      <c r="B203" s="34"/>
      <c r="C203" s="34"/>
      <c r="I203" s="35"/>
    </row>
    <row r="204" spans="2:9">
      <c r="B204" s="34"/>
      <c r="C204" s="34"/>
      <c r="I204" s="35"/>
    </row>
    <row r="205" spans="2:9">
      <c r="B205" s="34"/>
      <c r="C205" s="34"/>
      <c r="I205" s="35"/>
    </row>
    <row r="206" spans="2:9">
      <c r="B206" s="34"/>
      <c r="C206" s="34"/>
      <c r="I206" s="35"/>
    </row>
    <row r="207" spans="2:9">
      <c r="B207" s="34"/>
      <c r="C207" s="34"/>
      <c r="I207" s="35"/>
    </row>
    <row r="208" spans="2:9">
      <c r="B208" s="34"/>
      <c r="C208" s="34"/>
      <c r="I208" s="35"/>
    </row>
    <row r="209" spans="2:9">
      <c r="B209" s="34"/>
      <c r="C209" s="34"/>
      <c r="I209" s="35"/>
    </row>
    <row r="210" spans="2:9">
      <c r="B210" s="34"/>
      <c r="C210" s="34"/>
      <c r="I210" s="35"/>
    </row>
    <row r="211" spans="2:9">
      <c r="B211" s="34"/>
      <c r="C211" s="34"/>
      <c r="I211" s="35"/>
    </row>
    <row r="212" spans="2:9">
      <c r="B212" s="34"/>
      <c r="C212" s="34"/>
      <c r="I212" s="35"/>
    </row>
    <row r="213" spans="2:9">
      <c r="B213" s="34"/>
      <c r="C213" s="34"/>
      <c r="I213" s="35"/>
    </row>
    <row r="214" spans="2:9">
      <c r="B214" s="34"/>
      <c r="C214" s="34"/>
      <c r="I214" s="35"/>
    </row>
    <row r="215" spans="2:9">
      <c r="B215" s="34"/>
      <c r="C215" s="34"/>
      <c r="I215" s="35"/>
    </row>
    <row r="216" spans="2:9">
      <c r="B216" s="34"/>
      <c r="C216" s="34"/>
      <c r="I216" s="35"/>
    </row>
    <row r="217" spans="2:9">
      <c r="B217" s="34"/>
      <c r="C217" s="34"/>
      <c r="I217" s="35"/>
    </row>
    <row r="218" spans="2:9">
      <c r="B218" s="34"/>
      <c r="C218" s="34"/>
      <c r="I218" s="35"/>
    </row>
    <row r="219" spans="2:9">
      <c r="B219" s="34"/>
      <c r="C219" s="34"/>
      <c r="I219" s="35"/>
    </row>
    <row r="220" spans="2:9">
      <c r="B220" s="34"/>
      <c r="C220" s="34"/>
      <c r="I220" s="35"/>
    </row>
    <row r="221" spans="2:9">
      <c r="B221" s="34"/>
      <c r="C221" s="34"/>
      <c r="I221" s="35"/>
    </row>
    <row r="222" spans="2:9">
      <c r="B222" s="34"/>
      <c r="C222" s="34"/>
      <c r="I222" s="35"/>
    </row>
    <row r="223" spans="2:9">
      <c r="B223" s="34"/>
      <c r="C223" s="34"/>
      <c r="I223" s="35"/>
    </row>
    <row r="224" spans="2:9">
      <c r="B224" s="34"/>
      <c r="C224" s="34"/>
      <c r="I224" s="35"/>
    </row>
    <row r="225" spans="2:9">
      <c r="B225" s="34"/>
      <c r="C225" s="34"/>
      <c r="I225" s="35"/>
    </row>
    <row r="226" spans="2:9">
      <c r="B226" s="34"/>
      <c r="C226" s="34"/>
      <c r="I226" s="35"/>
    </row>
    <row r="227" spans="2:9">
      <c r="B227" s="34"/>
      <c r="C227" s="34"/>
      <c r="I227" s="35"/>
    </row>
    <row r="228" spans="2:9">
      <c r="B228" s="34"/>
      <c r="C228" s="34"/>
      <c r="I228" s="35"/>
    </row>
    <row r="229" spans="2:9">
      <c r="B229" s="34"/>
      <c r="C229" s="34"/>
      <c r="I229" s="35"/>
    </row>
    <row r="230" spans="2:9">
      <c r="B230" s="34"/>
      <c r="C230" s="34"/>
      <c r="I230" s="35"/>
    </row>
    <row r="231" spans="2:9">
      <c r="B231" s="34"/>
      <c r="C231" s="34"/>
      <c r="I231" s="35"/>
    </row>
    <row r="232" spans="2:9">
      <c r="B232" s="34"/>
      <c r="C232" s="34"/>
      <c r="I232" s="35"/>
    </row>
    <row r="233" spans="2:9">
      <c r="B233" s="34"/>
      <c r="C233" s="34"/>
      <c r="I233" s="35"/>
    </row>
    <row r="234" spans="2:9">
      <c r="B234" s="34"/>
      <c r="C234" s="34"/>
      <c r="I234" s="35"/>
    </row>
    <row r="235" spans="2:9">
      <c r="B235" s="34"/>
      <c r="C235" s="34"/>
      <c r="I235" s="35"/>
    </row>
    <row r="236" spans="2:9">
      <c r="B236" s="34"/>
      <c r="C236" s="34"/>
      <c r="I236" s="35"/>
    </row>
    <row r="237" spans="2:9">
      <c r="B237" s="34"/>
      <c r="C237" s="34"/>
      <c r="I237" s="35"/>
    </row>
    <row r="238" spans="2:9">
      <c r="B238" s="34"/>
      <c r="C238" s="34"/>
      <c r="I238" s="35"/>
    </row>
    <row r="239" spans="2:9">
      <c r="B239" s="34"/>
      <c r="C239" s="34"/>
      <c r="I239" s="35"/>
    </row>
    <row r="240" spans="2:9">
      <c r="B240" s="34"/>
      <c r="C240" s="34"/>
      <c r="I240" s="35"/>
    </row>
    <row r="241" spans="2:9">
      <c r="B241" s="34"/>
      <c r="C241" s="34"/>
      <c r="I241" s="35"/>
    </row>
    <row r="242" spans="2:9">
      <c r="B242" s="34"/>
      <c r="C242" s="34"/>
      <c r="I242" s="35"/>
    </row>
    <row r="243" spans="2:9">
      <c r="B243" s="34"/>
      <c r="C243" s="34"/>
      <c r="I243" s="35"/>
    </row>
    <row r="244" spans="2:9">
      <c r="B244" s="34"/>
      <c r="C244" s="34"/>
      <c r="I244" s="35"/>
    </row>
    <row r="245" spans="2:9">
      <c r="B245" s="34"/>
      <c r="C245" s="34"/>
      <c r="I245" s="35"/>
    </row>
    <row r="246" spans="2:9">
      <c r="B246" s="34"/>
      <c r="C246" s="34"/>
      <c r="I246" s="35"/>
    </row>
    <row r="247" spans="2:9">
      <c r="B247" s="34"/>
      <c r="C247" s="34"/>
      <c r="I247" s="35"/>
    </row>
    <row r="248" spans="2:9">
      <c r="B248" s="34"/>
      <c r="C248" s="34"/>
      <c r="I248" s="35"/>
    </row>
    <row r="249" spans="2:9">
      <c r="B249" s="34"/>
      <c r="C249" s="34"/>
      <c r="I249" s="35"/>
    </row>
    <row r="250" spans="2:9">
      <c r="B250" s="34"/>
      <c r="C250" s="34"/>
      <c r="I250" s="35"/>
    </row>
    <row r="251" spans="2:9">
      <c r="B251" s="34"/>
      <c r="C251" s="34"/>
      <c r="I251" s="35"/>
    </row>
    <row r="252" spans="2:9">
      <c r="B252" s="34"/>
      <c r="C252" s="34"/>
      <c r="I252" s="35"/>
    </row>
    <row r="253" spans="2:9">
      <c r="B253" s="34"/>
      <c r="C253" s="34"/>
      <c r="I253" s="35"/>
    </row>
    <row r="254" spans="2:9">
      <c r="B254" s="34"/>
      <c r="C254" s="34"/>
      <c r="I254" s="35"/>
    </row>
    <row r="255" spans="2:9">
      <c r="B255" s="34"/>
      <c r="C255" s="34"/>
      <c r="I255" s="35"/>
    </row>
    <row r="256" spans="2:9">
      <c r="B256" s="34"/>
      <c r="C256" s="34"/>
      <c r="I256" s="35"/>
    </row>
    <row r="257" spans="2:9">
      <c r="B257" s="34"/>
      <c r="C257" s="34"/>
      <c r="I257" s="35"/>
    </row>
    <row r="258" spans="2:9">
      <c r="B258" s="34"/>
      <c r="C258" s="34"/>
      <c r="I258" s="35"/>
    </row>
    <row r="259" spans="2:9">
      <c r="B259" s="34"/>
      <c r="C259" s="34"/>
      <c r="I259" s="35"/>
    </row>
    <row r="260" spans="2:9">
      <c r="B260" s="34"/>
      <c r="C260" s="34"/>
      <c r="I260" s="35"/>
    </row>
    <row r="261" spans="2:9">
      <c r="B261" s="34"/>
      <c r="C261" s="34"/>
      <c r="I261" s="35"/>
    </row>
    <row r="262" spans="2:9">
      <c r="B262" s="34"/>
      <c r="C262" s="34"/>
      <c r="I262" s="35"/>
    </row>
    <row r="263" spans="2:9">
      <c r="B263" s="34"/>
      <c r="C263" s="34"/>
      <c r="I263" s="35"/>
    </row>
    <row r="264" spans="2:9">
      <c r="B264" s="34"/>
      <c r="C264" s="34"/>
      <c r="I264" s="35"/>
    </row>
    <row r="265" spans="2:9">
      <c r="B265" s="34"/>
      <c r="C265" s="34"/>
      <c r="I265" s="35"/>
    </row>
    <row r="266" spans="2:9">
      <c r="B266" s="34"/>
      <c r="C266" s="34"/>
      <c r="I266" s="35"/>
    </row>
    <row r="267" spans="2:9">
      <c r="B267" s="34"/>
      <c r="C267" s="34"/>
      <c r="I267" s="35"/>
    </row>
    <row r="268" spans="2:9">
      <c r="B268" s="34"/>
      <c r="C268" s="34"/>
      <c r="I268" s="35"/>
    </row>
    <row r="269" spans="2:9">
      <c r="B269" s="34"/>
      <c r="C269" s="34"/>
      <c r="I269" s="35"/>
    </row>
    <row r="270" spans="2:9">
      <c r="B270" s="34"/>
      <c r="C270" s="34"/>
      <c r="I270" s="35"/>
    </row>
    <row r="271" spans="2:9">
      <c r="B271" s="34"/>
      <c r="C271" s="34"/>
      <c r="I271" s="35"/>
    </row>
    <row r="272" spans="2:9">
      <c r="B272" s="34"/>
      <c r="C272" s="34"/>
      <c r="I272" s="35"/>
    </row>
    <row r="273" spans="2:9">
      <c r="B273" s="34"/>
      <c r="C273" s="34"/>
      <c r="I273" s="35"/>
    </row>
    <row r="274" spans="2:9">
      <c r="B274" s="34"/>
      <c r="C274" s="34"/>
      <c r="I274" s="35"/>
    </row>
    <row r="275" spans="2:9">
      <c r="B275" s="34"/>
      <c r="C275" s="34"/>
      <c r="I275" s="35"/>
    </row>
    <row r="276" spans="2:9">
      <c r="B276" s="34"/>
      <c r="C276" s="34"/>
      <c r="I276" s="35"/>
    </row>
    <row r="277" spans="2:9">
      <c r="B277" s="34"/>
      <c r="C277" s="34"/>
      <c r="I277" s="35"/>
    </row>
    <row r="278" spans="2:9">
      <c r="B278" s="34"/>
      <c r="C278" s="34"/>
      <c r="I278" s="35"/>
    </row>
    <row r="279" spans="2:9">
      <c r="B279" s="34"/>
      <c r="C279" s="34"/>
      <c r="I279" s="35"/>
    </row>
    <row r="280" spans="2:9">
      <c r="B280" s="34"/>
      <c r="C280" s="34"/>
      <c r="I280" s="35"/>
    </row>
    <row r="281" spans="2:9">
      <c r="B281" s="34"/>
      <c r="C281" s="34"/>
      <c r="I281" s="35"/>
    </row>
    <row r="282" spans="2:9">
      <c r="B282" s="34"/>
      <c r="C282" s="34"/>
      <c r="I282" s="35"/>
    </row>
    <row r="283" spans="2:9">
      <c r="B283" s="34"/>
      <c r="C283" s="34"/>
      <c r="I283" s="35"/>
    </row>
    <row r="284" spans="2:9">
      <c r="B284" s="34"/>
      <c r="C284" s="34"/>
      <c r="I284" s="35"/>
    </row>
    <row r="285" spans="2:9">
      <c r="B285" s="34"/>
      <c r="C285" s="34"/>
      <c r="I285" s="35"/>
    </row>
    <row r="286" spans="2:9">
      <c r="B286" s="34"/>
      <c r="C286" s="34"/>
      <c r="I286" s="35"/>
    </row>
    <row r="287" spans="2:9">
      <c r="B287" s="34"/>
      <c r="C287" s="34"/>
      <c r="I287" s="35"/>
    </row>
    <row r="288" spans="2:9">
      <c r="B288" s="34"/>
      <c r="C288" s="34"/>
      <c r="I288" s="35"/>
    </row>
    <row r="289" spans="2:9">
      <c r="B289" s="34"/>
      <c r="C289" s="34"/>
      <c r="I289" s="35"/>
    </row>
    <row r="290" spans="2:9">
      <c r="B290" s="34"/>
      <c r="C290" s="34"/>
      <c r="I290" s="35"/>
    </row>
    <row r="291" spans="2:9">
      <c r="B291" s="34"/>
      <c r="C291" s="34"/>
      <c r="I291" s="35"/>
    </row>
    <row r="292" spans="2:9">
      <c r="B292" s="34"/>
      <c r="C292" s="34"/>
      <c r="I292" s="35"/>
    </row>
    <row r="293" spans="2:9">
      <c r="B293" s="34"/>
      <c r="C293" s="34"/>
      <c r="I293" s="35"/>
    </row>
    <row r="294" spans="2:9">
      <c r="B294" s="34"/>
      <c r="C294" s="34"/>
      <c r="I294" s="35"/>
    </row>
    <row r="295" spans="2:9">
      <c r="B295" s="34"/>
      <c r="C295" s="34"/>
      <c r="I295" s="35"/>
    </row>
    <row r="296" spans="2:9">
      <c r="B296" s="34"/>
      <c r="C296" s="34"/>
      <c r="I296" s="35"/>
    </row>
    <row r="297" spans="2:9">
      <c r="B297" s="34"/>
      <c r="C297" s="34"/>
      <c r="I297" s="35"/>
    </row>
    <row r="298" spans="2:9">
      <c r="B298" s="34"/>
      <c r="C298" s="34"/>
      <c r="I298" s="35"/>
    </row>
    <row r="299" spans="2:9">
      <c r="B299" s="34"/>
      <c r="C299" s="34"/>
      <c r="I299" s="35"/>
    </row>
    <row r="300" spans="2:9">
      <c r="B300" s="34"/>
      <c r="C300" s="34"/>
      <c r="I300" s="35"/>
    </row>
    <row r="301" spans="2:9">
      <c r="B301" s="34"/>
      <c r="C301" s="34"/>
      <c r="I301" s="35"/>
    </row>
    <row r="302" spans="2:9">
      <c r="B302" s="34"/>
      <c r="C302" s="34"/>
      <c r="I302" s="35"/>
    </row>
    <row r="303" spans="2:9">
      <c r="B303" s="34"/>
      <c r="C303" s="34"/>
      <c r="I303" s="35"/>
    </row>
    <row r="304" spans="2:9">
      <c r="B304" s="34"/>
      <c r="C304" s="34"/>
      <c r="I304" s="35"/>
    </row>
    <row r="305" spans="2:9">
      <c r="B305" s="34"/>
      <c r="C305" s="34"/>
      <c r="I305" s="35"/>
    </row>
    <row r="306" spans="2:9">
      <c r="B306" s="34"/>
      <c r="C306" s="34"/>
      <c r="I306" s="35"/>
    </row>
    <row r="307" spans="2:9">
      <c r="B307" s="34"/>
      <c r="C307" s="34"/>
      <c r="I307" s="35"/>
    </row>
    <row r="308" spans="2:9">
      <c r="B308" s="34"/>
      <c r="C308" s="34"/>
      <c r="I308" s="35"/>
    </row>
    <row r="309" spans="2:9">
      <c r="B309" s="34"/>
      <c r="C309" s="34"/>
      <c r="I309" s="35"/>
    </row>
    <row r="310" spans="2:9">
      <c r="B310" s="34"/>
      <c r="C310" s="34"/>
      <c r="I310" s="35"/>
    </row>
    <row r="311" spans="2:9">
      <c r="B311" s="34"/>
      <c r="C311" s="34"/>
      <c r="I311" s="35"/>
    </row>
    <row r="312" spans="2:9">
      <c r="B312" s="34"/>
      <c r="C312" s="34"/>
      <c r="I312" s="35"/>
    </row>
    <row r="313" spans="2:9">
      <c r="B313" s="34"/>
      <c r="C313" s="34"/>
      <c r="I313" s="35"/>
    </row>
    <row r="314" spans="2:9">
      <c r="B314" s="34"/>
      <c r="C314" s="34"/>
      <c r="I314" s="35"/>
    </row>
    <row r="315" spans="2:9">
      <c r="B315" s="34"/>
      <c r="C315" s="34"/>
      <c r="I315" s="35"/>
    </row>
    <row r="316" spans="2:9">
      <c r="B316" s="34"/>
      <c r="C316" s="34"/>
      <c r="I316" s="35"/>
    </row>
    <row r="317" spans="2:9">
      <c r="B317" s="34"/>
      <c r="C317" s="34"/>
      <c r="I317" s="35"/>
    </row>
    <row r="318" spans="2:9">
      <c r="B318" s="34"/>
      <c r="C318" s="34"/>
      <c r="I318" s="35"/>
    </row>
    <row r="319" spans="2:9">
      <c r="B319" s="34"/>
      <c r="C319" s="34"/>
      <c r="I319" s="35"/>
    </row>
    <row r="320" spans="2:9">
      <c r="B320" s="34"/>
      <c r="C320" s="34"/>
      <c r="I320" s="35"/>
    </row>
    <row r="321" spans="2:9">
      <c r="B321" s="34"/>
      <c r="C321" s="34"/>
      <c r="I321" s="35"/>
    </row>
    <row r="322" spans="2:9">
      <c r="B322" s="34"/>
      <c r="C322" s="34"/>
      <c r="I322" s="35"/>
    </row>
    <row r="323" spans="2:9">
      <c r="B323" s="34"/>
      <c r="C323" s="34"/>
      <c r="I323" s="35"/>
    </row>
    <row r="324" spans="2:9">
      <c r="B324" s="34"/>
      <c r="C324" s="34"/>
    </row>
    <row r="325" spans="2:9">
      <c r="B325" s="34"/>
      <c r="C325" s="34"/>
    </row>
    <row r="326" spans="2:9">
      <c r="B326" s="34"/>
      <c r="C326" s="34"/>
    </row>
    <row r="327" spans="2:9">
      <c r="B327" s="34"/>
      <c r="C327" s="34"/>
    </row>
  </sheetData>
  <autoFilter ref="A5:L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topLeftCell="A7" zoomScale="115" zoomScaleNormal="115" workbookViewId="0">
      <selection activeCell="M27" sqref="M27:N27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17.875" style="5" customWidth="1"/>
    <col min="21" max="21" width="37.5" style="5" hidden="1" customWidth="1"/>
    <col min="22" max="22" width="46.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36" t="s">
        <v>10</v>
      </c>
      <c r="B1" s="137"/>
      <c r="C1" s="137"/>
      <c r="D1" s="137"/>
      <c r="E1" s="138"/>
      <c r="F1" s="139"/>
      <c r="G1" s="140"/>
    </row>
    <row r="2" spans="1:25" ht="13.5" customHeight="1">
      <c r="A2" s="123"/>
      <c r="B2" s="124"/>
      <c r="C2" s="124"/>
      <c r="D2" s="124"/>
      <c r="E2" s="125"/>
      <c r="F2" s="126"/>
      <c r="G2" s="127"/>
    </row>
    <row r="3" spans="1:25" ht="13.5" customHeight="1">
      <c r="A3" s="120" t="s">
        <v>0</v>
      </c>
      <c r="B3" s="121"/>
      <c r="C3" s="121"/>
      <c r="D3" s="121"/>
      <c r="E3" s="122"/>
      <c r="F3" s="141"/>
      <c r="G3" s="142"/>
    </row>
    <row r="4" spans="1:25" ht="13.5" customHeight="1">
      <c r="A4" s="123"/>
      <c r="B4" s="124"/>
      <c r="C4" s="124"/>
      <c r="D4" s="124"/>
      <c r="E4" s="125"/>
      <c r="F4" s="141"/>
      <c r="G4" s="142"/>
    </row>
    <row r="5" spans="1:25" ht="13.5" customHeight="1">
      <c r="A5" s="120" t="s">
        <v>11</v>
      </c>
      <c r="B5" s="121"/>
      <c r="C5" s="121"/>
      <c r="D5" s="121"/>
      <c r="E5" s="122"/>
      <c r="F5" s="126"/>
      <c r="G5" s="127"/>
    </row>
    <row r="6" spans="1:25" ht="13.5" customHeight="1">
      <c r="A6" s="123"/>
      <c r="B6" s="124"/>
      <c r="C6" s="124"/>
      <c r="D6" s="124"/>
      <c r="E6" s="125"/>
      <c r="F6" s="126"/>
      <c r="G6" s="127"/>
    </row>
    <row r="7" spans="1:25" ht="13.5" customHeight="1">
      <c r="A7" s="120" t="s">
        <v>1</v>
      </c>
      <c r="B7" s="121"/>
      <c r="C7" s="121"/>
      <c r="D7" s="121"/>
      <c r="E7" s="122"/>
      <c r="F7" s="126"/>
      <c r="G7" s="127"/>
    </row>
    <row r="8" spans="1:25" ht="26.25" customHeight="1">
      <c r="A8" s="123"/>
      <c r="B8" s="124"/>
      <c r="C8" s="124"/>
      <c r="D8" s="124"/>
      <c r="E8" s="125"/>
      <c r="F8" s="126"/>
      <c r="G8" s="127"/>
    </row>
    <row r="9" spans="1:25" ht="13.5" customHeight="1">
      <c r="A9" s="128" t="s">
        <v>12</v>
      </c>
      <c r="B9" s="121"/>
      <c r="C9" s="121"/>
      <c r="D9" s="121"/>
      <c r="E9" s="122"/>
      <c r="F9" s="132"/>
      <c r="G9" s="133"/>
    </row>
    <row r="10" spans="1:25" ht="13.5" customHeight="1" thickBot="1">
      <c r="A10" s="129"/>
      <c r="B10" s="130"/>
      <c r="C10" s="130"/>
      <c r="D10" s="130"/>
      <c r="E10" s="131"/>
      <c r="F10" s="134"/>
      <c r="G10" s="135"/>
    </row>
    <row r="11" spans="1:25" ht="17.25" thickBot="1"/>
    <row r="12" spans="1:25" ht="12.75" customHeight="1">
      <c r="A12" s="179" t="s">
        <v>13</v>
      </c>
      <c r="B12" s="146" t="s">
        <v>51</v>
      </c>
      <c r="C12" s="143" t="s">
        <v>2</v>
      </c>
      <c r="D12" s="143" t="s">
        <v>39</v>
      </c>
      <c r="E12" s="182" t="s">
        <v>15</v>
      </c>
      <c r="F12" s="182"/>
      <c r="G12" s="182"/>
      <c r="H12" s="182"/>
      <c r="I12" s="185"/>
      <c r="J12" s="170" t="s">
        <v>49</v>
      </c>
      <c r="K12" s="171"/>
      <c r="L12" s="176" t="s">
        <v>50</v>
      </c>
      <c r="N12" s="24"/>
      <c r="P12" s="179" t="s">
        <v>50</v>
      </c>
      <c r="Q12" s="182" t="s">
        <v>49</v>
      </c>
      <c r="R12" s="171"/>
      <c r="S12" s="143" t="s">
        <v>39</v>
      </c>
      <c r="T12" s="182" t="s">
        <v>15</v>
      </c>
      <c r="U12" s="182"/>
      <c r="V12" s="185"/>
      <c r="W12" s="143" t="s">
        <v>2</v>
      </c>
      <c r="X12" s="146" t="s">
        <v>51</v>
      </c>
      <c r="Y12" s="149" t="s">
        <v>13</v>
      </c>
    </row>
    <row r="13" spans="1:25" ht="12.75" customHeight="1">
      <c r="A13" s="180"/>
      <c r="B13" s="147"/>
      <c r="C13" s="144"/>
      <c r="D13" s="144"/>
      <c r="E13" s="183"/>
      <c r="F13" s="183"/>
      <c r="G13" s="183"/>
      <c r="H13" s="183"/>
      <c r="I13" s="186"/>
      <c r="J13" s="172"/>
      <c r="K13" s="173"/>
      <c r="L13" s="177"/>
      <c r="N13" s="24"/>
      <c r="P13" s="180"/>
      <c r="Q13" s="183"/>
      <c r="R13" s="173"/>
      <c r="S13" s="144"/>
      <c r="T13" s="183"/>
      <c r="U13" s="183"/>
      <c r="V13" s="186"/>
      <c r="W13" s="144"/>
      <c r="X13" s="147"/>
      <c r="Y13" s="150"/>
    </row>
    <row r="14" spans="1:25" ht="12.75" customHeight="1">
      <c r="A14" s="180"/>
      <c r="B14" s="147"/>
      <c r="C14" s="144"/>
      <c r="D14" s="144"/>
      <c r="E14" s="183"/>
      <c r="F14" s="183"/>
      <c r="G14" s="183"/>
      <c r="H14" s="183"/>
      <c r="I14" s="186"/>
      <c r="J14" s="172"/>
      <c r="K14" s="173"/>
      <c r="L14" s="177"/>
      <c r="N14" s="24"/>
      <c r="P14" s="180"/>
      <c r="Q14" s="183"/>
      <c r="R14" s="173"/>
      <c r="S14" s="144"/>
      <c r="T14" s="183"/>
      <c r="U14" s="183"/>
      <c r="V14" s="186"/>
      <c r="W14" s="144"/>
      <c r="X14" s="147"/>
      <c r="Y14" s="150"/>
    </row>
    <row r="15" spans="1:25" ht="12.75" customHeight="1" thickBot="1">
      <c r="A15" s="181"/>
      <c r="B15" s="148"/>
      <c r="C15" s="145"/>
      <c r="D15" s="145"/>
      <c r="E15" s="184"/>
      <c r="F15" s="184"/>
      <c r="G15" s="184"/>
      <c r="H15" s="184"/>
      <c r="I15" s="187"/>
      <c r="J15" s="174"/>
      <c r="K15" s="175"/>
      <c r="L15" s="178"/>
      <c r="N15" s="24"/>
      <c r="P15" s="181"/>
      <c r="Q15" s="184"/>
      <c r="R15" s="175"/>
      <c r="S15" s="145"/>
      <c r="T15" s="184"/>
      <c r="U15" s="184"/>
      <c r="V15" s="187"/>
      <c r="W15" s="145"/>
      <c r="X15" s="148"/>
      <c r="Y15" s="15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52" t="str">
        <f>IF(ISERROR((C17-B17)/C17),"",(C17-B17)/C17)</f>
        <v/>
      </c>
      <c r="B17" s="154">
        <f>SUM(B19:B21)</f>
        <v>0</v>
      </c>
      <c r="C17" s="156">
        <f>SUM(C19:C21)</f>
        <v>0</v>
      </c>
      <c r="D17" s="158"/>
      <c r="E17" s="160" t="s">
        <v>14</v>
      </c>
      <c r="F17" s="162"/>
      <c r="G17" s="163"/>
      <c r="H17" s="163"/>
      <c r="I17" s="164"/>
      <c r="J17" s="168"/>
      <c r="K17" s="194"/>
      <c r="L17" s="196"/>
      <c r="N17" s="24"/>
      <c r="P17" s="198"/>
      <c r="Q17" s="200"/>
      <c r="R17" s="202"/>
      <c r="S17" s="158"/>
      <c r="T17" s="160" t="s">
        <v>14</v>
      </c>
      <c r="U17" s="162"/>
      <c r="V17" s="164"/>
      <c r="W17" s="208">
        <f>SUM(W19:W21)</f>
        <v>0</v>
      </c>
      <c r="X17" s="204">
        <f>SUM(X19:X21)</f>
        <v>0</v>
      </c>
      <c r="Y17" s="206" t="str">
        <f>IF(ISERROR((W17-X17)/W17),"",(W17-X17)/W17)</f>
        <v/>
      </c>
    </row>
    <row r="18" spans="1:25" s="7" customFormat="1" ht="13.5" customHeight="1">
      <c r="A18" s="153"/>
      <c r="B18" s="155"/>
      <c r="C18" s="157"/>
      <c r="D18" s="159"/>
      <c r="E18" s="161"/>
      <c r="F18" s="165"/>
      <c r="G18" s="166"/>
      <c r="H18" s="166"/>
      <c r="I18" s="167"/>
      <c r="J18" s="169"/>
      <c r="K18" s="195"/>
      <c r="L18" s="197"/>
      <c r="N18" s="24"/>
      <c r="P18" s="199"/>
      <c r="Q18" s="201"/>
      <c r="R18" s="203"/>
      <c r="S18" s="159"/>
      <c r="T18" s="161"/>
      <c r="U18" s="165"/>
      <c r="V18" s="167"/>
      <c r="W18" s="209"/>
      <c r="X18" s="205"/>
      <c r="Y18" s="207"/>
    </row>
    <row r="19" spans="1:25" s="7" customFormat="1" ht="26.25" customHeight="1">
      <c r="A19" s="210" t="str">
        <f>IF(ISERROR(IF(B17="",3600/C17,3600/B17)),"",IF(B17="",3600/C17,3600/B17))</f>
        <v/>
      </c>
      <c r="B19" s="10"/>
      <c r="C19" s="11"/>
      <c r="D19" s="16"/>
      <c r="E19" s="191"/>
      <c r="F19" s="192"/>
      <c r="G19" s="192"/>
      <c r="H19" s="192"/>
      <c r="I19" s="193"/>
      <c r="J19" s="20"/>
      <c r="K19" s="22"/>
      <c r="L19" s="26"/>
      <c r="N19" s="24"/>
      <c r="P19" s="28"/>
      <c r="Q19" s="22"/>
      <c r="R19" s="18"/>
      <c r="S19" s="16"/>
      <c r="T19" s="103"/>
      <c r="U19" s="104"/>
      <c r="V19" s="104"/>
      <c r="W19" s="11"/>
      <c r="X19" s="10"/>
      <c r="Y19" s="188" t="str">
        <f>IF(ISERROR(IF(X17="",3600/W17,3600/X17)),"",IF(X17="",3600/W17,3600/X17))</f>
        <v/>
      </c>
    </row>
    <row r="20" spans="1:25" s="7" customFormat="1" ht="22.5">
      <c r="A20" s="211"/>
      <c r="B20" s="10"/>
      <c r="C20" s="11"/>
      <c r="D20" s="16"/>
      <c r="E20" s="191"/>
      <c r="F20" s="192"/>
      <c r="G20" s="192"/>
      <c r="H20" s="192"/>
      <c r="I20" s="193"/>
      <c r="J20" s="20"/>
      <c r="K20" s="22"/>
      <c r="L20" s="26"/>
      <c r="N20" s="24"/>
      <c r="P20" s="28"/>
      <c r="Q20" s="22"/>
      <c r="R20" s="18"/>
      <c r="S20" s="16"/>
      <c r="T20" s="103"/>
      <c r="U20" s="104"/>
      <c r="V20" s="104"/>
      <c r="W20" s="11"/>
      <c r="X20" s="10"/>
      <c r="Y20" s="189"/>
    </row>
    <row r="21" spans="1:25" s="7" customFormat="1" ht="26.25" customHeight="1" thickBot="1">
      <c r="A21" s="212"/>
      <c r="B21" s="12"/>
      <c r="C21" s="13"/>
      <c r="D21" s="17"/>
      <c r="E21" s="191"/>
      <c r="F21" s="192"/>
      <c r="G21" s="192"/>
      <c r="H21" s="192"/>
      <c r="I21" s="193"/>
      <c r="J21" s="19"/>
      <c r="K21" s="23"/>
      <c r="L21" s="27"/>
      <c r="N21" s="24"/>
      <c r="P21" s="29"/>
      <c r="Q21" s="23"/>
      <c r="R21" s="21"/>
      <c r="S21" s="17"/>
      <c r="T21" s="103"/>
      <c r="U21" s="104"/>
      <c r="V21" s="104"/>
      <c r="W21" s="11" t="s">
        <v>3</v>
      </c>
      <c r="X21" s="12"/>
      <c r="Y21" s="190"/>
    </row>
    <row r="24" spans="1:25" ht="18" customHeight="1">
      <c r="D24" s="55"/>
      <c r="E24" s="55"/>
      <c r="F24" s="55"/>
      <c r="G24" s="55"/>
      <c r="H24" s="55"/>
      <c r="I24" s="55"/>
      <c r="J24" s="235" t="s">
        <v>56</v>
      </c>
      <c r="K24" s="235"/>
      <c r="L24" s="235"/>
      <c r="M24" s="236">
        <f>SUM(M27:M27)</f>
        <v>0</v>
      </c>
      <c r="N24" s="237"/>
      <c r="P24" s="77" t="s">
        <v>57</v>
      </c>
      <c r="Q24" s="78"/>
    </row>
    <row r="25" spans="1:25" ht="18" customHeight="1">
      <c r="H25" s="68"/>
      <c r="I25" s="51"/>
      <c r="J25" s="235"/>
      <c r="K25" s="235"/>
      <c r="L25" s="235"/>
      <c r="M25" s="236"/>
      <c r="N25" s="237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105" t="s">
        <v>61</v>
      </c>
      <c r="N26" s="106"/>
      <c r="P26" s="75" t="s">
        <v>62</v>
      </c>
      <c r="Q26" s="75" t="s">
        <v>63</v>
      </c>
      <c r="R26" s="83"/>
      <c r="S26" s="107" t="s">
        <v>64</v>
      </c>
      <c r="T26" s="108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09"/>
      <c r="N27" s="110"/>
      <c r="P27" s="79"/>
      <c r="Q27" s="79"/>
      <c r="R27" s="82"/>
      <c r="S27" s="111"/>
      <c r="T27" s="112"/>
    </row>
    <row r="28" spans="1:25" ht="18" customHeight="1">
      <c r="A28" s="113" t="s">
        <v>41</v>
      </c>
      <c r="B28" s="114"/>
      <c r="C28" s="114"/>
      <c r="D28" s="117"/>
      <c r="E28" s="118"/>
      <c r="F28" s="118"/>
      <c r="G28" s="119"/>
      <c r="H28" s="69"/>
      <c r="I28" s="51"/>
      <c r="J28" s="74"/>
      <c r="N28" s="8"/>
      <c r="Q28" s="55"/>
      <c r="R28" s="55"/>
      <c r="S28" s="55"/>
      <c r="T28" s="55"/>
      <c r="U28" s="217"/>
      <c r="V28" s="217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19"/>
      <c r="R29" s="219"/>
      <c r="S29" s="219"/>
      <c r="T29" s="56"/>
      <c r="U29" s="218"/>
      <c r="V29" s="218"/>
    </row>
    <row r="30" spans="1:25" ht="18" customHeight="1">
      <c r="A30" s="113" t="s">
        <v>42</v>
      </c>
      <c r="B30" s="114"/>
      <c r="C30" s="114"/>
      <c r="D30" s="115"/>
      <c r="E30" s="116"/>
      <c r="F30" s="116"/>
      <c r="G30" s="116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15"/>
      <c r="V31" s="215"/>
      <c r="W31" s="67"/>
      <c r="X31" s="67"/>
    </row>
    <row r="32" spans="1:25" ht="18" customHeight="1">
      <c r="A32" s="113" t="s">
        <v>43</v>
      </c>
      <c r="B32" s="114"/>
      <c r="C32" s="114"/>
      <c r="D32" s="117"/>
      <c r="E32" s="118"/>
      <c r="F32" s="118"/>
      <c r="G32" s="119"/>
      <c r="H32" s="62"/>
      <c r="I32" s="66"/>
      <c r="J32" s="64"/>
      <c r="K32" s="55"/>
      <c r="L32" s="55"/>
      <c r="N32" s="8"/>
      <c r="O32" s="67"/>
      <c r="P32" s="67"/>
      <c r="Q32" s="216"/>
      <c r="R32" s="216"/>
      <c r="S32" s="216"/>
      <c r="T32" s="70"/>
      <c r="U32" s="215"/>
      <c r="V32" s="215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13" t="s">
        <v>44</v>
      </c>
      <c r="B34" s="114"/>
      <c r="C34" s="114"/>
      <c r="D34" s="115"/>
      <c r="E34" s="116"/>
      <c r="F34" s="116"/>
      <c r="G34" s="116"/>
      <c r="H34" s="62"/>
      <c r="I34" s="51"/>
      <c r="O34" s="67"/>
      <c r="P34" s="67"/>
      <c r="Q34" s="67"/>
      <c r="R34" s="67"/>
      <c r="S34" s="67"/>
      <c r="T34" s="67"/>
      <c r="U34" s="220"/>
      <c r="V34" s="220"/>
      <c r="W34" s="67"/>
      <c r="X34" s="67"/>
    </row>
    <row r="35" spans="1:24" ht="18" customHeight="1" thickBot="1">
      <c r="H35" s="67"/>
      <c r="O35" s="67"/>
      <c r="P35" s="67"/>
      <c r="Q35" s="214"/>
      <c r="R35" s="214"/>
      <c r="S35" s="214"/>
      <c r="T35" s="72"/>
      <c r="U35" s="220"/>
      <c r="V35" s="220"/>
      <c r="W35" s="67"/>
      <c r="X35" s="67"/>
    </row>
    <row r="36" spans="1:24" ht="18" customHeight="1">
      <c r="A36" s="221" t="s">
        <v>30</v>
      </c>
      <c r="B36" s="222"/>
      <c r="C36" s="222"/>
      <c r="D36" s="225"/>
      <c r="E36" s="226"/>
      <c r="F36" s="227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8" customHeight="1">
      <c r="A37" s="223"/>
      <c r="B37" s="224"/>
      <c r="C37" s="224"/>
      <c r="D37" s="228"/>
      <c r="E37" s="229"/>
      <c r="F37" s="230"/>
      <c r="O37" s="67"/>
      <c r="P37" s="67"/>
      <c r="Q37" s="65"/>
      <c r="R37" s="65"/>
      <c r="S37" s="65"/>
      <c r="T37" s="65"/>
      <c r="U37" s="213"/>
      <c r="V37" s="213"/>
      <c r="W37" s="67"/>
      <c r="X37" s="67"/>
    </row>
    <row r="38" spans="1:24" ht="13.5" customHeight="1">
      <c r="A38" s="231" t="s">
        <v>31</v>
      </c>
      <c r="B38" s="224"/>
      <c r="C38" s="224"/>
      <c r="D38" s="232"/>
      <c r="E38" s="233"/>
      <c r="F38" s="234"/>
      <c r="O38" s="67"/>
      <c r="P38" s="67"/>
      <c r="Q38" s="214"/>
      <c r="R38" s="214"/>
      <c r="S38" s="214"/>
      <c r="T38" s="72"/>
      <c r="U38" s="213"/>
      <c r="V38" s="213"/>
      <c r="W38" s="67"/>
      <c r="X38" s="67"/>
    </row>
    <row r="39" spans="1:24" ht="13.5" customHeight="1">
      <c r="A39" s="223"/>
      <c r="B39" s="224"/>
      <c r="C39" s="224"/>
      <c r="D39" s="228"/>
      <c r="E39" s="229"/>
      <c r="F39" s="230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3.5" customHeight="1">
      <c r="A40" s="231" t="s">
        <v>32</v>
      </c>
      <c r="B40" s="224"/>
      <c r="C40" s="224"/>
      <c r="D40" s="232"/>
      <c r="E40" s="233"/>
      <c r="F40" s="234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3.5" customHeight="1">
      <c r="A41" s="223"/>
      <c r="B41" s="224"/>
      <c r="C41" s="224"/>
      <c r="D41" s="228"/>
      <c r="E41" s="229"/>
      <c r="F41" s="230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3.5" customHeight="1">
      <c r="A42" s="231" t="s">
        <v>33</v>
      </c>
      <c r="B42" s="224"/>
      <c r="C42" s="224"/>
      <c r="D42" s="232" t="e">
        <f>IF(TtlGSD=0,0,ROUND(3600*D40/TtlGSD,0))</f>
        <v>#NAME?</v>
      </c>
      <c r="E42" s="233"/>
      <c r="F42" s="234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3.5" customHeight="1">
      <c r="A43" s="223"/>
      <c r="B43" s="224"/>
      <c r="C43" s="224"/>
      <c r="D43" s="228"/>
      <c r="E43" s="229"/>
      <c r="F43" s="230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>
      <c r="A44" s="231" t="s">
        <v>34</v>
      </c>
      <c r="B44" s="224"/>
      <c r="C44" s="224"/>
      <c r="D44" s="232" t="e">
        <f>ROUND(D42*D38,0)</f>
        <v>#NAME?</v>
      </c>
      <c r="E44" s="233"/>
      <c r="F44" s="234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3.5" customHeight="1">
      <c r="A45" s="223"/>
      <c r="B45" s="224"/>
      <c r="C45" s="224"/>
      <c r="D45" s="228"/>
      <c r="E45" s="229"/>
      <c r="F45" s="230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3.5" customHeight="1">
      <c r="A46" s="231" t="s">
        <v>35</v>
      </c>
      <c r="B46" s="224"/>
      <c r="C46" s="224"/>
      <c r="D46" s="232" t="e">
        <f>IF(D44=0,0,ROUND(D38*3600/D44,0))</f>
        <v>#NAME?</v>
      </c>
      <c r="E46" s="233"/>
      <c r="F46" s="234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3.5" customHeight="1">
      <c r="A47" s="223"/>
      <c r="B47" s="224"/>
      <c r="C47" s="224"/>
      <c r="D47" s="228"/>
      <c r="E47" s="229"/>
      <c r="F47" s="230"/>
    </row>
    <row r="48" spans="1:24" ht="13.5" customHeight="1">
      <c r="A48" s="231" t="s">
        <v>22</v>
      </c>
      <c r="B48" s="224"/>
      <c r="C48" s="224"/>
      <c r="D48" s="232" t="e">
        <f>ROUND(3600/MaxTMS,2)</f>
        <v>#NAME?</v>
      </c>
      <c r="E48" s="233"/>
      <c r="F48" s="234"/>
    </row>
    <row r="49" spans="1:6" ht="13.5" customHeight="1">
      <c r="A49" s="223"/>
      <c r="B49" s="224"/>
      <c r="C49" s="224"/>
      <c r="D49" s="228"/>
      <c r="E49" s="229"/>
      <c r="F49" s="230"/>
    </row>
    <row r="50" spans="1:6" ht="13.5" customHeight="1">
      <c r="A50" s="231" t="s">
        <v>23</v>
      </c>
      <c r="B50" s="224"/>
      <c r="C50" s="224"/>
      <c r="D50" s="232" t="e">
        <f>TtlTMS</f>
        <v>#NAME?</v>
      </c>
      <c r="E50" s="233"/>
      <c r="F50" s="234"/>
    </row>
    <row r="51" spans="1:6" ht="13.5" customHeight="1">
      <c r="A51" s="223"/>
      <c r="B51" s="224"/>
      <c r="C51" s="224"/>
      <c r="D51" s="228"/>
      <c r="E51" s="229"/>
      <c r="F51" s="230"/>
    </row>
    <row r="52" spans="1:6" ht="13.5" customHeight="1">
      <c r="A52" s="231" t="s">
        <v>24</v>
      </c>
      <c r="B52" s="224"/>
      <c r="C52" s="224"/>
      <c r="D52" s="232" t="e">
        <f>TtlGSD</f>
        <v>#NAME?</v>
      </c>
      <c r="E52" s="233"/>
      <c r="F52" s="234"/>
    </row>
    <row r="53" spans="1:6" ht="13.5" customHeight="1">
      <c r="A53" s="223"/>
      <c r="B53" s="224"/>
      <c r="C53" s="224"/>
      <c r="D53" s="228"/>
      <c r="E53" s="229"/>
      <c r="F53" s="230"/>
    </row>
    <row r="54" spans="1:6">
      <c r="A54" s="231" t="s">
        <v>25</v>
      </c>
      <c r="B54" s="224"/>
      <c r="C54" s="224"/>
      <c r="D54" s="238" t="e">
        <f>IF(D52=0,0,(D52-D50)/D52)</f>
        <v>#NAME?</v>
      </c>
      <c r="E54" s="239"/>
      <c r="F54" s="240"/>
    </row>
    <row r="55" spans="1:6">
      <c r="A55" s="223"/>
      <c r="B55" s="224"/>
      <c r="C55" s="224"/>
      <c r="D55" s="241"/>
      <c r="E55" s="242"/>
      <c r="F55" s="243"/>
    </row>
    <row r="56" spans="1:6">
      <c r="A56" s="231" t="s">
        <v>26</v>
      </c>
      <c r="B56" s="224"/>
      <c r="C56" s="224"/>
      <c r="D56" s="238" t="e">
        <f>IF(OR(D40=0,MaxTMS=0),0,D50/MaxTMS/D40)</f>
        <v>#NAME?</v>
      </c>
      <c r="E56" s="239"/>
      <c r="F56" s="240"/>
    </row>
    <row r="57" spans="1:6">
      <c r="A57" s="223"/>
      <c r="B57" s="224"/>
      <c r="C57" s="224"/>
      <c r="D57" s="241"/>
      <c r="E57" s="242"/>
      <c r="F57" s="243"/>
    </row>
    <row r="58" spans="1:6" ht="16.5" customHeight="1">
      <c r="A58" s="231" t="s">
        <v>27</v>
      </c>
      <c r="B58" s="224"/>
      <c r="C58" s="224"/>
      <c r="D58" s="238" t="e">
        <f>IF(OR(D46=0,D40=0),0,D50/D46/D40)</f>
        <v>#NAME?</v>
      </c>
      <c r="E58" s="239"/>
      <c r="F58" s="240"/>
    </row>
    <row r="59" spans="1:6" ht="16.5" customHeight="1">
      <c r="A59" s="223"/>
      <c r="B59" s="224"/>
      <c r="C59" s="224"/>
      <c r="D59" s="241"/>
      <c r="E59" s="242"/>
      <c r="F59" s="243"/>
    </row>
    <row r="60" spans="1:6" ht="16.5" customHeight="1">
      <c r="A60" s="231" t="s">
        <v>28</v>
      </c>
      <c r="B60" s="224"/>
      <c r="C60" s="224"/>
      <c r="D60" s="238" t="e">
        <f>IF(OR(MaxTMS=0,D40=0),0,D52/MaxTMS/D40)</f>
        <v>#NAME?</v>
      </c>
      <c r="E60" s="239"/>
      <c r="F60" s="240"/>
    </row>
    <row r="61" spans="1:6" ht="16.5" customHeight="1">
      <c r="A61" s="223"/>
      <c r="B61" s="224"/>
      <c r="C61" s="224"/>
      <c r="D61" s="241"/>
      <c r="E61" s="242"/>
      <c r="F61" s="243"/>
    </row>
    <row r="62" spans="1:6" ht="16.5" customHeight="1">
      <c r="A62" s="231" t="s">
        <v>29</v>
      </c>
      <c r="B62" s="224"/>
      <c r="C62" s="224"/>
      <c r="D62" s="246" t="e">
        <f>IF(OR(MaxTMS=0,D40=0),0,ROUND(3600/MaxTMS,2)*F9/D40)</f>
        <v>#NAME?</v>
      </c>
      <c r="E62" s="247"/>
      <c r="F62" s="248"/>
    </row>
    <row r="63" spans="1:6" ht="16.5" customHeight="1" thickBot="1">
      <c r="A63" s="244"/>
      <c r="B63" s="245"/>
      <c r="C63" s="245"/>
      <c r="D63" s="249"/>
      <c r="E63" s="250"/>
      <c r="F63" s="25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T20:V20"/>
    <mergeCell ref="T19:V19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A34:C34"/>
    <mergeCell ref="D34:G34"/>
    <mergeCell ref="A28:C28"/>
    <mergeCell ref="D28:G28"/>
    <mergeCell ref="A30:C30"/>
    <mergeCell ref="D30:G30"/>
    <mergeCell ref="A32:C32"/>
    <mergeCell ref="D32:G32"/>
    <mergeCell ref="T21:V21"/>
    <mergeCell ref="M26:N26"/>
    <mergeCell ref="S26:T26"/>
    <mergeCell ref="M27:N27"/>
    <mergeCell ref="S27:T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15.5" style="5" bestFit="1" customWidth="1"/>
    <col min="21" max="21" width="37.5" style="5" hidden="1" customWidth="1"/>
    <col min="22" max="22" width="44.6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36" t="s">
        <v>10</v>
      </c>
      <c r="B1" s="137"/>
      <c r="C1" s="137"/>
      <c r="D1" s="137"/>
      <c r="E1" s="138"/>
      <c r="F1" s="139"/>
      <c r="G1" s="140"/>
    </row>
    <row r="2" spans="1:25" ht="13.5" customHeight="1">
      <c r="A2" s="123"/>
      <c r="B2" s="124"/>
      <c r="C2" s="124"/>
      <c r="D2" s="124"/>
      <c r="E2" s="125"/>
      <c r="F2" s="126"/>
      <c r="G2" s="127"/>
    </row>
    <row r="3" spans="1:25" ht="13.5" customHeight="1">
      <c r="A3" s="120" t="s">
        <v>0</v>
      </c>
      <c r="B3" s="121"/>
      <c r="C3" s="121"/>
      <c r="D3" s="121"/>
      <c r="E3" s="122"/>
      <c r="F3" s="141"/>
      <c r="G3" s="142"/>
    </row>
    <row r="4" spans="1:25" ht="13.5" customHeight="1">
      <c r="A4" s="123"/>
      <c r="B4" s="124"/>
      <c r="C4" s="124"/>
      <c r="D4" s="124"/>
      <c r="E4" s="125"/>
      <c r="F4" s="141"/>
      <c r="G4" s="142"/>
    </row>
    <row r="5" spans="1:25" ht="13.5" customHeight="1">
      <c r="A5" s="120" t="s">
        <v>11</v>
      </c>
      <c r="B5" s="121"/>
      <c r="C5" s="121"/>
      <c r="D5" s="121"/>
      <c r="E5" s="122"/>
      <c r="F5" s="126"/>
      <c r="G5" s="127"/>
    </row>
    <row r="6" spans="1:25" ht="13.5" customHeight="1">
      <c r="A6" s="123"/>
      <c r="B6" s="124"/>
      <c r="C6" s="124"/>
      <c r="D6" s="124"/>
      <c r="E6" s="125"/>
      <c r="F6" s="126"/>
      <c r="G6" s="127"/>
    </row>
    <row r="7" spans="1:25" ht="13.5" customHeight="1">
      <c r="A7" s="120" t="s">
        <v>1</v>
      </c>
      <c r="B7" s="121"/>
      <c r="C7" s="121"/>
      <c r="D7" s="121"/>
      <c r="E7" s="122"/>
      <c r="F7" s="126"/>
      <c r="G7" s="127"/>
    </row>
    <row r="8" spans="1:25" ht="26.25" customHeight="1">
      <c r="A8" s="123"/>
      <c r="B8" s="124"/>
      <c r="C8" s="124"/>
      <c r="D8" s="124"/>
      <c r="E8" s="125"/>
      <c r="F8" s="126"/>
      <c r="G8" s="127"/>
    </row>
    <row r="9" spans="1:25" ht="13.5" customHeight="1">
      <c r="A9" s="128" t="s">
        <v>12</v>
      </c>
      <c r="B9" s="121"/>
      <c r="C9" s="121"/>
      <c r="D9" s="121"/>
      <c r="E9" s="122"/>
      <c r="F9" s="132"/>
      <c r="G9" s="133"/>
    </row>
    <row r="10" spans="1:25" ht="13.5" customHeight="1" thickBot="1">
      <c r="A10" s="129"/>
      <c r="B10" s="130"/>
      <c r="C10" s="130"/>
      <c r="D10" s="130"/>
      <c r="E10" s="131"/>
      <c r="F10" s="134"/>
      <c r="G10" s="135"/>
    </row>
    <row r="11" spans="1:25" ht="17.25" thickBot="1"/>
    <row r="12" spans="1:25" ht="12.75" customHeight="1">
      <c r="A12" s="179" t="s">
        <v>13</v>
      </c>
      <c r="B12" s="146" t="s">
        <v>51</v>
      </c>
      <c r="C12" s="143" t="s">
        <v>2</v>
      </c>
      <c r="D12" s="143" t="s">
        <v>39</v>
      </c>
      <c r="E12" s="182" t="s">
        <v>15</v>
      </c>
      <c r="F12" s="182"/>
      <c r="G12" s="182"/>
      <c r="H12" s="182"/>
      <c r="I12" s="185"/>
      <c r="J12" s="170" t="s">
        <v>47</v>
      </c>
      <c r="K12" s="171"/>
      <c r="L12" s="176" t="s">
        <v>50</v>
      </c>
      <c r="N12" s="24"/>
      <c r="P12" s="179" t="s">
        <v>50</v>
      </c>
      <c r="Q12" s="182" t="s">
        <v>47</v>
      </c>
      <c r="R12" s="171"/>
      <c r="S12" s="143" t="s">
        <v>39</v>
      </c>
      <c r="T12" s="182" t="s">
        <v>15</v>
      </c>
      <c r="U12" s="182"/>
      <c r="V12" s="185"/>
      <c r="W12" s="143" t="s">
        <v>2</v>
      </c>
      <c r="X12" s="146" t="s">
        <v>51</v>
      </c>
      <c r="Y12" s="149" t="s">
        <v>13</v>
      </c>
    </row>
    <row r="13" spans="1:25" ht="12.75" customHeight="1">
      <c r="A13" s="180"/>
      <c r="B13" s="147"/>
      <c r="C13" s="144"/>
      <c r="D13" s="144"/>
      <c r="E13" s="183"/>
      <c r="F13" s="183"/>
      <c r="G13" s="183"/>
      <c r="H13" s="183"/>
      <c r="I13" s="186"/>
      <c r="J13" s="172"/>
      <c r="K13" s="173"/>
      <c r="L13" s="177"/>
      <c r="N13" s="24"/>
      <c r="P13" s="180"/>
      <c r="Q13" s="183"/>
      <c r="R13" s="173"/>
      <c r="S13" s="144"/>
      <c r="T13" s="183"/>
      <c r="U13" s="183"/>
      <c r="V13" s="186"/>
      <c r="W13" s="144"/>
      <c r="X13" s="147"/>
      <c r="Y13" s="150"/>
    </row>
    <row r="14" spans="1:25" ht="12.75" customHeight="1">
      <c r="A14" s="180"/>
      <c r="B14" s="147"/>
      <c r="C14" s="144"/>
      <c r="D14" s="144"/>
      <c r="E14" s="183"/>
      <c r="F14" s="183"/>
      <c r="G14" s="183"/>
      <c r="H14" s="183"/>
      <c r="I14" s="186"/>
      <c r="J14" s="172"/>
      <c r="K14" s="173"/>
      <c r="L14" s="177"/>
      <c r="N14" s="24"/>
      <c r="P14" s="180"/>
      <c r="Q14" s="183"/>
      <c r="R14" s="173"/>
      <c r="S14" s="144"/>
      <c r="T14" s="183"/>
      <c r="U14" s="183"/>
      <c r="V14" s="186"/>
      <c r="W14" s="144"/>
      <c r="X14" s="147"/>
      <c r="Y14" s="150"/>
    </row>
    <row r="15" spans="1:25" ht="12.75" customHeight="1" thickBot="1">
      <c r="A15" s="181"/>
      <c r="B15" s="148"/>
      <c r="C15" s="145"/>
      <c r="D15" s="145"/>
      <c r="E15" s="184"/>
      <c r="F15" s="184"/>
      <c r="G15" s="184"/>
      <c r="H15" s="184"/>
      <c r="I15" s="187"/>
      <c r="J15" s="174"/>
      <c r="K15" s="175"/>
      <c r="L15" s="178"/>
      <c r="N15" s="24"/>
      <c r="P15" s="181"/>
      <c r="Q15" s="184"/>
      <c r="R15" s="175"/>
      <c r="S15" s="145"/>
      <c r="T15" s="184"/>
      <c r="U15" s="184"/>
      <c r="V15" s="187"/>
      <c r="W15" s="145"/>
      <c r="X15" s="148"/>
      <c r="Y15" s="15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52" t="str">
        <f>IF(ISERROR((C17-B17)/C17),"",(C17-B17)/C17)</f>
        <v/>
      </c>
      <c r="B17" s="154">
        <f>SUM(B19:B21)</f>
        <v>0</v>
      </c>
      <c r="C17" s="156">
        <f>SUM(C19:C21)</f>
        <v>0</v>
      </c>
      <c r="D17" s="158"/>
      <c r="E17" s="160" t="s">
        <v>14</v>
      </c>
      <c r="F17" s="162"/>
      <c r="G17" s="163"/>
      <c r="H17" s="163"/>
      <c r="I17" s="164"/>
      <c r="J17" s="168"/>
      <c r="K17" s="194"/>
      <c r="L17" s="196"/>
      <c r="N17" s="24"/>
      <c r="P17" s="198"/>
      <c r="Q17" s="200"/>
      <c r="R17" s="202"/>
      <c r="S17" s="158"/>
      <c r="T17" s="160" t="s">
        <v>14</v>
      </c>
      <c r="U17" s="162"/>
      <c r="V17" s="164"/>
      <c r="W17" s="208">
        <f>SUM(W19:W21)</f>
        <v>0</v>
      </c>
      <c r="X17" s="204">
        <f>SUM(X19:X21)</f>
        <v>0</v>
      </c>
      <c r="Y17" s="206" t="str">
        <f>IF(ISERROR((W17-X17)/W17),"",(W17-X17)/W17)</f>
        <v/>
      </c>
    </row>
    <row r="18" spans="1:25" s="7" customFormat="1" ht="13.5" customHeight="1">
      <c r="A18" s="153"/>
      <c r="B18" s="155"/>
      <c r="C18" s="157"/>
      <c r="D18" s="159"/>
      <c r="E18" s="161"/>
      <c r="F18" s="165"/>
      <c r="G18" s="166"/>
      <c r="H18" s="166"/>
      <c r="I18" s="167"/>
      <c r="J18" s="169"/>
      <c r="K18" s="195"/>
      <c r="L18" s="197"/>
      <c r="N18" s="24"/>
      <c r="P18" s="199"/>
      <c r="Q18" s="201"/>
      <c r="R18" s="203"/>
      <c r="S18" s="159"/>
      <c r="T18" s="161"/>
      <c r="U18" s="165"/>
      <c r="V18" s="167"/>
      <c r="W18" s="209"/>
      <c r="X18" s="205"/>
      <c r="Y18" s="207"/>
    </row>
    <row r="19" spans="1:25" s="7" customFormat="1" ht="26.25" customHeight="1">
      <c r="A19" s="210" t="str">
        <f>IF(ISERROR(IF(B17="",3600/C17,3600/B17)),"",IF(B17="",3600/C17,3600/B17))</f>
        <v/>
      </c>
      <c r="B19" s="10"/>
      <c r="C19" s="11"/>
      <c r="D19" s="16"/>
      <c r="E19" s="191"/>
      <c r="F19" s="192"/>
      <c r="G19" s="192"/>
      <c r="H19" s="192"/>
      <c r="I19" s="193"/>
      <c r="J19" s="20"/>
      <c r="K19" s="22"/>
      <c r="L19" s="26"/>
      <c r="N19" s="24"/>
      <c r="P19" s="28"/>
      <c r="Q19" s="22"/>
      <c r="R19" s="18"/>
      <c r="S19" s="16"/>
      <c r="T19" s="103"/>
      <c r="U19" s="104"/>
      <c r="V19" s="104"/>
      <c r="W19" s="11"/>
      <c r="X19" s="10"/>
      <c r="Y19" s="188" t="str">
        <f>IF(ISERROR(IF(X17="",3600/W17,3600/X17)),"",IF(X17="",3600/W17,3600/X17))</f>
        <v/>
      </c>
    </row>
    <row r="20" spans="1:25" s="7" customFormat="1" ht="22.5">
      <c r="A20" s="211"/>
      <c r="B20" s="10"/>
      <c r="C20" s="11"/>
      <c r="D20" s="16"/>
      <c r="E20" s="191"/>
      <c r="F20" s="192"/>
      <c r="G20" s="192"/>
      <c r="H20" s="192"/>
      <c r="I20" s="193"/>
      <c r="J20" s="20"/>
      <c r="K20" s="22"/>
      <c r="L20" s="26"/>
      <c r="N20" s="24"/>
      <c r="P20" s="28"/>
      <c r="Q20" s="22"/>
      <c r="R20" s="18"/>
      <c r="S20" s="16"/>
      <c r="T20" s="103"/>
      <c r="U20" s="104"/>
      <c r="V20" s="104"/>
      <c r="W20" s="11"/>
      <c r="X20" s="10"/>
      <c r="Y20" s="189"/>
    </row>
    <row r="21" spans="1:25" s="7" customFormat="1" ht="26.25" customHeight="1" thickBot="1">
      <c r="A21" s="212"/>
      <c r="B21" s="12"/>
      <c r="C21" s="13"/>
      <c r="D21" s="17"/>
      <c r="E21" s="191"/>
      <c r="F21" s="192"/>
      <c r="G21" s="192"/>
      <c r="H21" s="192"/>
      <c r="I21" s="193"/>
      <c r="J21" s="19"/>
      <c r="K21" s="23"/>
      <c r="L21" s="27"/>
      <c r="N21" s="24"/>
      <c r="P21" s="29"/>
      <c r="Q21" s="23"/>
      <c r="R21" s="21"/>
      <c r="S21" s="17"/>
      <c r="T21" s="103"/>
      <c r="U21" s="104"/>
      <c r="V21" s="104"/>
      <c r="W21" s="11" t="s">
        <v>3</v>
      </c>
      <c r="X21" s="12"/>
      <c r="Y21" s="190"/>
    </row>
    <row r="24" spans="1:25" ht="18" customHeight="1">
      <c r="D24" s="67"/>
      <c r="E24" s="67"/>
      <c r="F24" s="67"/>
      <c r="G24" s="67"/>
      <c r="H24" s="67"/>
      <c r="I24" s="88"/>
      <c r="J24" s="235" t="s">
        <v>56</v>
      </c>
      <c r="K24" s="235"/>
      <c r="L24" s="235"/>
      <c r="M24" s="236">
        <f>SUM(M27:M27)</f>
        <v>0</v>
      </c>
      <c r="N24" s="237"/>
      <c r="P24" s="77" t="s">
        <v>57</v>
      </c>
      <c r="Q24" s="78"/>
    </row>
    <row r="25" spans="1:25" ht="18" customHeight="1">
      <c r="D25" s="67"/>
      <c r="E25" s="67"/>
      <c r="F25" s="67"/>
      <c r="G25" s="67"/>
      <c r="H25" s="62"/>
      <c r="I25" s="73"/>
      <c r="J25" s="235"/>
      <c r="K25" s="235"/>
      <c r="L25" s="235"/>
      <c r="M25" s="236"/>
      <c r="N25" s="237"/>
      <c r="P25" s="77" t="s">
        <v>58</v>
      </c>
      <c r="Q25" s="78"/>
    </row>
    <row r="26" spans="1:25" ht="18" customHeight="1">
      <c r="D26" s="87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105" t="s">
        <v>61</v>
      </c>
      <c r="N26" s="106"/>
      <c r="P26" s="75" t="s">
        <v>62</v>
      </c>
      <c r="Q26" s="75" t="s">
        <v>63</v>
      </c>
      <c r="R26" s="89"/>
      <c r="S26" s="105" t="s">
        <v>64</v>
      </c>
      <c r="T26" s="106"/>
    </row>
    <row r="27" spans="1:25" ht="18" customHeight="1">
      <c r="D27" s="70"/>
      <c r="E27" s="93"/>
      <c r="F27" s="93"/>
      <c r="G27" s="93"/>
      <c r="H27" s="62"/>
      <c r="I27" s="73"/>
      <c r="J27" s="76"/>
      <c r="K27" s="82"/>
      <c r="L27" s="85"/>
      <c r="M27" s="109" t="str">
        <f>IF(J27="","",COUNTIFS(MachineINV1,J27,MachineINV3,K27) + COUNTIFS(MachineINV2,J27,MachineINV4,K27))</f>
        <v/>
      </c>
      <c r="N27" s="110"/>
      <c r="P27" s="79"/>
      <c r="Q27" s="79"/>
      <c r="R27" s="60"/>
      <c r="S27" s="252"/>
      <c r="T27" s="253"/>
    </row>
    <row r="28" spans="1:25" ht="18" customHeight="1">
      <c r="A28" s="113" t="s">
        <v>41</v>
      </c>
      <c r="B28" s="114"/>
      <c r="C28" s="114"/>
      <c r="D28" s="254"/>
      <c r="E28" s="255"/>
      <c r="F28" s="255"/>
      <c r="G28" s="255"/>
      <c r="H28" s="62"/>
      <c r="I28" s="62"/>
      <c r="J28" s="53"/>
      <c r="N28" s="8"/>
      <c r="Q28" s="55"/>
      <c r="R28" s="55"/>
      <c r="S28" s="55"/>
      <c r="T28" s="55"/>
      <c r="U28" s="217"/>
      <c r="V28" s="217"/>
    </row>
    <row r="29" spans="1:25" ht="32.25" customHeight="1">
      <c r="D29" s="56"/>
      <c r="E29" s="91"/>
      <c r="F29" s="91"/>
      <c r="G29" s="91"/>
      <c r="H29" s="69"/>
      <c r="I29" s="69"/>
      <c r="J29" s="63"/>
      <c r="K29" s="67"/>
      <c r="L29" s="67"/>
      <c r="M29" s="67"/>
      <c r="N29" s="86"/>
      <c r="O29" s="67"/>
      <c r="P29" s="67"/>
      <c r="Q29" s="216"/>
      <c r="R29" s="216"/>
      <c r="S29" s="216"/>
      <c r="T29" s="70"/>
      <c r="U29" s="218"/>
      <c r="V29" s="218"/>
    </row>
    <row r="30" spans="1:25" ht="18" customHeight="1">
      <c r="A30" s="113" t="s">
        <v>42</v>
      </c>
      <c r="B30" s="114"/>
      <c r="C30" s="114"/>
      <c r="D30" s="115"/>
      <c r="E30" s="116"/>
      <c r="F30" s="116"/>
      <c r="G30" s="116"/>
      <c r="H30" s="62"/>
      <c r="I30" s="62"/>
      <c r="J30" s="63"/>
      <c r="K30" s="67"/>
      <c r="L30" s="67"/>
      <c r="M30" s="67"/>
      <c r="N30" s="86"/>
      <c r="O30" s="67"/>
      <c r="P30" s="67"/>
      <c r="Q30" s="67"/>
      <c r="R30" s="67"/>
      <c r="S30" s="67"/>
      <c r="T30" s="67"/>
    </row>
    <row r="31" spans="1:25" ht="32.25" customHeight="1">
      <c r="D31" s="92"/>
      <c r="E31" s="92"/>
      <c r="F31" s="92"/>
      <c r="G31" s="92"/>
      <c r="H31" s="62"/>
      <c r="I31" s="62"/>
      <c r="J31" s="63"/>
      <c r="K31" s="67"/>
      <c r="L31" s="67"/>
      <c r="M31" s="67"/>
      <c r="N31" s="86"/>
      <c r="O31" s="67"/>
      <c r="P31" s="67"/>
      <c r="Q31" s="67"/>
      <c r="R31" s="67"/>
      <c r="S31" s="67"/>
      <c r="T31" s="67"/>
      <c r="U31" s="258"/>
      <c r="V31" s="258"/>
    </row>
    <row r="32" spans="1:25" ht="18" customHeight="1">
      <c r="A32" s="113" t="s">
        <v>43</v>
      </c>
      <c r="B32" s="114"/>
      <c r="C32" s="114"/>
      <c r="D32" s="117"/>
      <c r="E32" s="118"/>
      <c r="F32" s="118"/>
      <c r="G32" s="119"/>
      <c r="H32" s="62"/>
      <c r="I32" s="62"/>
      <c r="J32" s="64"/>
      <c r="K32" s="67"/>
      <c r="L32" s="67"/>
      <c r="M32" s="67"/>
      <c r="N32" s="86"/>
      <c r="O32" s="65"/>
      <c r="P32" s="65"/>
      <c r="Q32" s="214"/>
      <c r="R32" s="214"/>
      <c r="S32" s="214"/>
      <c r="T32" s="72"/>
      <c r="U32" s="259"/>
      <c r="V32" s="259"/>
    </row>
    <row r="33" spans="1:22" ht="32.25" customHeight="1">
      <c r="D33" s="56"/>
      <c r="E33" s="91"/>
      <c r="F33" s="91"/>
      <c r="G33" s="91"/>
      <c r="H33" s="62"/>
      <c r="I33" s="62"/>
      <c r="J33" s="65"/>
      <c r="K33" s="67"/>
      <c r="L33" s="67"/>
      <c r="M33" s="67"/>
      <c r="N33" s="86"/>
      <c r="O33" s="65"/>
      <c r="P33" s="65"/>
      <c r="Q33" s="65"/>
      <c r="R33" s="65"/>
      <c r="S33" s="65"/>
      <c r="T33" s="65"/>
      <c r="U33" s="9"/>
      <c r="V33" s="9"/>
    </row>
    <row r="34" spans="1:22" ht="16.5" customHeight="1">
      <c r="A34" s="113" t="s">
        <v>44</v>
      </c>
      <c r="B34" s="114"/>
      <c r="C34" s="114"/>
      <c r="D34" s="115"/>
      <c r="E34" s="116"/>
      <c r="F34" s="116"/>
      <c r="G34" s="116"/>
      <c r="H34" s="62"/>
      <c r="I34" s="62"/>
      <c r="J34" s="65"/>
      <c r="K34" s="67"/>
      <c r="L34" s="67"/>
      <c r="M34" s="67"/>
      <c r="N34" s="67"/>
      <c r="O34" s="65"/>
      <c r="P34" s="65"/>
      <c r="Q34" s="65"/>
      <c r="R34" s="65"/>
      <c r="S34" s="65"/>
      <c r="T34" s="65"/>
      <c r="U34" s="260"/>
      <c r="V34" s="260"/>
    </row>
    <row r="35" spans="1:22" ht="18" customHeight="1" thickBot="1">
      <c r="H35" s="67"/>
      <c r="I35" s="67"/>
      <c r="J35" s="67"/>
      <c r="K35" s="67"/>
      <c r="L35" s="67"/>
      <c r="M35" s="67"/>
      <c r="N35" s="67"/>
      <c r="O35" s="65"/>
      <c r="P35" s="65"/>
      <c r="Q35" s="214"/>
      <c r="R35" s="214"/>
      <c r="S35" s="214"/>
      <c r="T35" s="72"/>
      <c r="U35" s="261"/>
      <c r="V35" s="261"/>
    </row>
    <row r="36" spans="1:22" ht="18" customHeight="1">
      <c r="A36" s="221" t="s">
        <v>30</v>
      </c>
      <c r="B36" s="222"/>
      <c r="C36" s="222"/>
      <c r="D36" s="225"/>
      <c r="E36" s="226"/>
      <c r="F36" s="227"/>
      <c r="H36" s="67"/>
      <c r="I36" s="67"/>
      <c r="J36" s="67"/>
      <c r="K36" s="67"/>
      <c r="L36" s="67"/>
      <c r="M36" s="67"/>
      <c r="N36" s="67"/>
      <c r="O36" s="65"/>
      <c r="P36" s="65"/>
      <c r="Q36" s="65"/>
      <c r="R36" s="65"/>
      <c r="S36" s="65"/>
      <c r="T36" s="65"/>
      <c r="U36" s="9"/>
      <c r="V36" s="9"/>
    </row>
    <row r="37" spans="1:22" ht="18" customHeight="1">
      <c r="A37" s="223"/>
      <c r="B37" s="224"/>
      <c r="C37" s="224"/>
      <c r="D37" s="228"/>
      <c r="E37" s="229"/>
      <c r="F37" s="230"/>
      <c r="H37" s="67"/>
      <c r="I37" s="67"/>
      <c r="J37" s="67"/>
      <c r="K37" s="67"/>
      <c r="L37" s="67"/>
      <c r="M37" s="67"/>
      <c r="N37" s="67"/>
      <c r="O37" s="65"/>
      <c r="P37" s="65"/>
      <c r="Q37" s="65"/>
      <c r="R37" s="65"/>
      <c r="S37" s="65"/>
      <c r="T37" s="65"/>
      <c r="U37" s="256"/>
      <c r="V37" s="256"/>
    </row>
    <row r="38" spans="1:22" ht="13.5" customHeight="1">
      <c r="A38" s="231" t="s">
        <v>31</v>
      </c>
      <c r="B38" s="224"/>
      <c r="C38" s="224"/>
      <c r="D38" s="232"/>
      <c r="E38" s="233"/>
      <c r="F38" s="234"/>
      <c r="H38" s="67"/>
      <c r="I38" s="67"/>
      <c r="J38" s="67"/>
      <c r="K38" s="67"/>
      <c r="L38" s="67"/>
      <c r="M38" s="67"/>
      <c r="N38" s="67"/>
      <c r="O38" s="65"/>
      <c r="P38" s="65"/>
      <c r="Q38" s="214"/>
      <c r="R38" s="214"/>
      <c r="S38" s="214"/>
      <c r="T38" s="72"/>
      <c r="U38" s="257"/>
      <c r="V38" s="257"/>
    </row>
    <row r="39" spans="1:22" ht="13.5" customHeight="1">
      <c r="A39" s="223"/>
      <c r="B39" s="224"/>
      <c r="C39" s="224"/>
      <c r="D39" s="228"/>
      <c r="E39" s="229"/>
      <c r="F39" s="230"/>
      <c r="H39" s="67"/>
      <c r="I39" s="67"/>
      <c r="J39" s="67"/>
      <c r="K39" s="67"/>
      <c r="L39" s="67"/>
      <c r="M39" s="67"/>
      <c r="N39" s="67"/>
      <c r="O39" s="65"/>
      <c r="P39" s="65"/>
      <c r="Q39" s="65"/>
      <c r="R39" s="65"/>
      <c r="S39" s="65"/>
      <c r="T39" s="65"/>
    </row>
    <row r="40" spans="1:22" ht="13.5" customHeight="1">
      <c r="A40" s="231" t="s">
        <v>32</v>
      </c>
      <c r="B40" s="224"/>
      <c r="C40" s="224"/>
      <c r="D40" s="232"/>
      <c r="E40" s="233"/>
      <c r="F40" s="234"/>
      <c r="H40" s="67"/>
      <c r="I40" s="67"/>
      <c r="J40" s="67"/>
      <c r="K40" s="67"/>
      <c r="L40" s="67"/>
      <c r="M40" s="67"/>
      <c r="N40" s="67"/>
      <c r="O40" s="65"/>
      <c r="P40" s="65"/>
      <c r="Q40" s="65"/>
      <c r="R40" s="65"/>
      <c r="S40" s="65"/>
      <c r="T40" s="65"/>
    </row>
    <row r="41" spans="1:22" ht="13.5" customHeight="1">
      <c r="A41" s="223"/>
      <c r="B41" s="224"/>
      <c r="C41" s="224"/>
      <c r="D41" s="228"/>
      <c r="E41" s="229"/>
      <c r="F41" s="230"/>
      <c r="H41" s="67"/>
      <c r="I41" s="67"/>
      <c r="J41" s="67"/>
      <c r="K41" s="67"/>
      <c r="L41" s="67"/>
      <c r="M41" s="67"/>
      <c r="N41" s="67"/>
      <c r="O41" s="65"/>
      <c r="P41" s="65"/>
      <c r="Q41" s="65"/>
      <c r="R41" s="65"/>
      <c r="S41" s="65"/>
      <c r="T41" s="65"/>
    </row>
    <row r="42" spans="1:22" ht="13.5" customHeight="1">
      <c r="A42" s="231" t="s">
        <v>33</v>
      </c>
      <c r="B42" s="224"/>
      <c r="C42" s="224"/>
      <c r="D42" s="232" t="e">
        <f>IF(TtlGSD=0,0,ROUND(3600*D40/TtlGSD,0))</f>
        <v>#NAME?</v>
      </c>
      <c r="E42" s="233"/>
      <c r="F42" s="234"/>
      <c r="H42" s="67"/>
      <c r="I42" s="67"/>
      <c r="J42" s="67"/>
      <c r="K42" s="67"/>
      <c r="L42" s="67"/>
      <c r="M42" s="67"/>
      <c r="N42" s="67"/>
      <c r="O42" s="65"/>
      <c r="P42" s="65"/>
      <c r="Q42" s="65"/>
      <c r="R42" s="65"/>
      <c r="S42" s="65"/>
      <c r="T42" s="65"/>
    </row>
    <row r="43" spans="1:22" ht="13.5" customHeight="1">
      <c r="A43" s="223"/>
      <c r="B43" s="224"/>
      <c r="C43" s="224"/>
      <c r="D43" s="228"/>
      <c r="E43" s="229"/>
      <c r="F43" s="230"/>
      <c r="H43" s="67"/>
      <c r="I43" s="67"/>
      <c r="J43" s="67"/>
      <c r="K43" s="67"/>
      <c r="L43" s="67"/>
      <c r="M43" s="67"/>
      <c r="N43" s="67"/>
      <c r="O43" s="65"/>
      <c r="P43" s="65"/>
      <c r="Q43" s="65"/>
      <c r="R43" s="65"/>
      <c r="S43" s="65"/>
      <c r="T43" s="65"/>
    </row>
    <row r="44" spans="1:22">
      <c r="A44" s="231" t="s">
        <v>34</v>
      </c>
      <c r="B44" s="224"/>
      <c r="C44" s="224"/>
      <c r="D44" s="232" t="e">
        <f>ROUND(D42*D38,0)</f>
        <v>#NAME?</v>
      </c>
      <c r="E44" s="233"/>
      <c r="F44" s="234"/>
      <c r="H44" s="67"/>
      <c r="I44" s="67"/>
      <c r="J44" s="67"/>
      <c r="K44" s="67"/>
      <c r="L44" s="67"/>
      <c r="M44" s="67"/>
      <c r="N44" s="67"/>
      <c r="O44" s="65"/>
      <c r="P44" s="65"/>
      <c r="Q44" s="65"/>
      <c r="R44" s="65"/>
      <c r="S44" s="65"/>
      <c r="T44" s="65"/>
    </row>
    <row r="45" spans="1:22" ht="13.5" customHeight="1">
      <c r="A45" s="223"/>
      <c r="B45" s="224"/>
      <c r="C45" s="224"/>
      <c r="D45" s="228"/>
      <c r="E45" s="229"/>
      <c r="F45" s="230"/>
      <c r="H45" s="67"/>
      <c r="I45" s="67"/>
      <c r="J45" s="67"/>
      <c r="K45" s="67"/>
      <c r="L45" s="67"/>
      <c r="M45" s="67"/>
      <c r="N45" s="67"/>
      <c r="O45" s="65"/>
      <c r="P45" s="65"/>
      <c r="Q45" s="65"/>
      <c r="R45" s="65"/>
      <c r="S45" s="65"/>
      <c r="T45" s="65"/>
    </row>
    <row r="46" spans="1:22" ht="13.5" customHeight="1">
      <c r="A46" s="231" t="s">
        <v>35</v>
      </c>
      <c r="B46" s="224"/>
      <c r="C46" s="224"/>
      <c r="D46" s="232" t="e">
        <f>IF(D44=0,0,ROUND(D38*3600/D44,0))</f>
        <v>#NAME?</v>
      </c>
      <c r="E46" s="233"/>
      <c r="F46" s="234"/>
      <c r="H46" s="67"/>
      <c r="I46" s="67"/>
      <c r="J46" s="67"/>
      <c r="K46" s="67"/>
      <c r="L46" s="67"/>
      <c r="M46" s="67"/>
      <c r="N46" s="67"/>
      <c r="O46" s="65"/>
      <c r="P46" s="65"/>
      <c r="Q46" s="65"/>
      <c r="R46" s="65"/>
      <c r="S46" s="65"/>
      <c r="T46" s="65"/>
    </row>
    <row r="47" spans="1:22" ht="13.5" customHeight="1">
      <c r="A47" s="223"/>
      <c r="B47" s="224"/>
      <c r="C47" s="224"/>
      <c r="D47" s="228"/>
      <c r="E47" s="229"/>
      <c r="F47" s="230"/>
      <c r="H47" s="67"/>
      <c r="I47" s="67"/>
      <c r="J47" s="67"/>
      <c r="K47" s="67"/>
      <c r="L47" s="67"/>
      <c r="M47" s="67"/>
      <c r="N47" s="67"/>
      <c r="O47" s="65"/>
      <c r="P47" s="65"/>
      <c r="Q47" s="65"/>
      <c r="R47" s="65"/>
      <c r="S47" s="65"/>
      <c r="T47" s="65"/>
    </row>
    <row r="48" spans="1:22" ht="13.5" customHeight="1">
      <c r="A48" s="231" t="s">
        <v>22</v>
      </c>
      <c r="B48" s="224"/>
      <c r="C48" s="224"/>
      <c r="D48" s="232" t="e">
        <f>ROUND(3600/MaxTMS,2)</f>
        <v>#NAME?</v>
      </c>
      <c r="E48" s="233"/>
      <c r="F48" s="234"/>
      <c r="H48" s="67"/>
      <c r="I48" s="67"/>
      <c r="J48" s="67"/>
      <c r="K48" s="67"/>
      <c r="L48" s="67"/>
      <c r="M48" s="67"/>
      <c r="N48" s="67"/>
      <c r="O48" s="65"/>
      <c r="P48" s="65"/>
      <c r="Q48" s="65"/>
      <c r="R48" s="65"/>
      <c r="S48" s="65"/>
      <c r="T48" s="65"/>
    </row>
    <row r="49" spans="1:20" ht="13.5" customHeight="1">
      <c r="A49" s="223"/>
      <c r="B49" s="224"/>
      <c r="C49" s="224"/>
      <c r="D49" s="228"/>
      <c r="E49" s="229"/>
      <c r="F49" s="230"/>
      <c r="H49" s="67"/>
      <c r="I49" s="67"/>
      <c r="J49" s="67"/>
      <c r="K49" s="67"/>
      <c r="L49" s="67"/>
      <c r="M49" s="67"/>
      <c r="N49" s="67"/>
      <c r="O49" s="65"/>
      <c r="P49" s="65"/>
      <c r="Q49" s="65"/>
      <c r="R49" s="65"/>
      <c r="S49" s="65"/>
      <c r="T49" s="65"/>
    </row>
    <row r="50" spans="1:20" ht="13.5" customHeight="1">
      <c r="A50" s="231" t="s">
        <v>23</v>
      </c>
      <c r="B50" s="224"/>
      <c r="C50" s="224"/>
      <c r="D50" s="232" t="e">
        <f>TtlTMS</f>
        <v>#NAME?</v>
      </c>
      <c r="E50" s="233"/>
      <c r="F50" s="234"/>
      <c r="H50" s="67"/>
      <c r="I50" s="67"/>
      <c r="J50" s="67"/>
      <c r="K50" s="67"/>
      <c r="L50" s="67"/>
      <c r="M50" s="67"/>
      <c r="N50" s="67"/>
      <c r="O50" s="65"/>
      <c r="P50" s="65"/>
      <c r="Q50" s="65"/>
      <c r="R50" s="65"/>
      <c r="S50" s="65"/>
      <c r="T50" s="65"/>
    </row>
    <row r="51" spans="1:20" ht="13.5" customHeight="1">
      <c r="A51" s="223"/>
      <c r="B51" s="224"/>
      <c r="C51" s="224"/>
      <c r="D51" s="228"/>
      <c r="E51" s="229"/>
      <c r="F51" s="230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</row>
    <row r="52" spans="1:20" ht="13.5" customHeight="1">
      <c r="A52" s="231" t="s">
        <v>24</v>
      </c>
      <c r="B52" s="224"/>
      <c r="C52" s="224"/>
      <c r="D52" s="232" t="e">
        <f>TtlGSD</f>
        <v>#NAME?</v>
      </c>
      <c r="E52" s="233"/>
      <c r="F52" s="234"/>
    </row>
    <row r="53" spans="1:20" ht="13.5" customHeight="1">
      <c r="A53" s="223"/>
      <c r="B53" s="224"/>
      <c r="C53" s="224"/>
      <c r="D53" s="228"/>
      <c r="E53" s="229"/>
      <c r="F53" s="230"/>
    </row>
    <row r="54" spans="1:20">
      <c r="A54" s="231" t="s">
        <v>25</v>
      </c>
      <c r="B54" s="224"/>
      <c r="C54" s="224"/>
      <c r="D54" s="238" t="e">
        <f>IF(D52=0,0,(D52-D50)/D52)</f>
        <v>#NAME?</v>
      </c>
      <c r="E54" s="239"/>
      <c r="F54" s="240"/>
    </row>
    <row r="55" spans="1:20">
      <c r="A55" s="223"/>
      <c r="B55" s="224"/>
      <c r="C55" s="224"/>
      <c r="D55" s="241"/>
      <c r="E55" s="242"/>
      <c r="F55" s="243"/>
    </row>
    <row r="56" spans="1:20">
      <c r="A56" s="231" t="s">
        <v>26</v>
      </c>
      <c r="B56" s="224"/>
      <c r="C56" s="224"/>
      <c r="D56" s="238" t="e">
        <f>IF(OR(D40=0,MaxTMS=0),0,D50/MaxTMS/D40)</f>
        <v>#NAME?</v>
      </c>
      <c r="E56" s="239"/>
      <c r="F56" s="240"/>
    </row>
    <row r="57" spans="1:20">
      <c r="A57" s="223"/>
      <c r="B57" s="224"/>
      <c r="C57" s="224"/>
      <c r="D57" s="241"/>
      <c r="E57" s="242"/>
      <c r="F57" s="243"/>
    </row>
    <row r="58" spans="1:20" ht="16.5" customHeight="1">
      <c r="A58" s="231" t="s">
        <v>27</v>
      </c>
      <c r="B58" s="224"/>
      <c r="C58" s="224"/>
      <c r="D58" s="238" t="e">
        <f>IF(OR(D46=0,D40=0),0,D50/D46/D40)</f>
        <v>#NAME?</v>
      </c>
      <c r="E58" s="239"/>
      <c r="F58" s="240"/>
    </row>
    <row r="59" spans="1:20" ht="16.5" customHeight="1">
      <c r="A59" s="223"/>
      <c r="B59" s="224"/>
      <c r="C59" s="224"/>
      <c r="D59" s="241"/>
      <c r="E59" s="242"/>
      <c r="F59" s="243"/>
    </row>
    <row r="60" spans="1:20" ht="16.5" customHeight="1">
      <c r="A60" s="231" t="s">
        <v>28</v>
      </c>
      <c r="B60" s="224"/>
      <c r="C60" s="224"/>
      <c r="D60" s="238" t="e">
        <f>IF(OR(MaxTMS=0,D40=0),0,D52/MaxTMS/D40)</f>
        <v>#NAME?</v>
      </c>
      <c r="E60" s="239"/>
      <c r="F60" s="240"/>
    </row>
    <row r="61" spans="1:20" ht="16.5" customHeight="1">
      <c r="A61" s="223"/>
      <c r="B61" s="224"/>
      <c r="C61" s="224"/>
      <c r="D61" s="241"/>
      <c r="E61" s="242"/>
      <c r="F61" s="243"/>
    </row>
    <row r="62" spans="1:20" ht="16.5" customHeight="1">
      <c r="A62" s="231" t="s">
        <v>29</v>
      </c>
      <c r="B62" s="224"/>
      <c r="C62" s="224"/>
      <c r="D62" s="246" t="e">
        <f>IF(OR(MaxTMS=0,D40=0),0,ROUND(3600/MaxTMS,2)*F9/D40)</f>
        <v>#NAME?</v>
      </c>
      <c r="E62" s="247"/>
      <c r="F62" s="248"/>
    </row>
    <row r="63" spans="1:20" ht="16.5" customHeight="1" thickBot="1">
      <c r="A63" s="244"/>
      <c r="B63" s="245"/>
      <c r="C63" s="245"/>
      <c r="D63" s="249"/>
      <c r="E63" s="250"/>
      <c r="F63" s="251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62:C63"/>
    <mergeCell ref="D62:F63"/>
    <mergeCell ref="A56:C57"/>
    <mergeCell ref="D56:F57"/>
    <mergeCell ref="A58:C59"/>
    <mergeCell ref="D58:F59"/>
    <mergeCell ref="A60:C61"/>
    <mergeCell ref="D60:F61"/>
    <mergeCell ref="A50:C51"/>
    <mergeCell ref="D50:F51"/>
    <mergeCell ref="A52:C53"/>
    <mergeCell ref="D52:F53"/>
    <mergeCell ref="A54:C55"/>
    <mergeCell ref="D54:F55"/>
    <mergeCell ref="A46:C47"/>
    <mergeCell ref="D46:F47"/>
    <mergeCell ref="A48:C49"/>
    <mergeCell ref="D48:F49"/>
    <mergeCell ref="A44:C45"/>
    <mergeCell ref="D44:F45"/>
    <mergeCell ref="U37:V38"/>
    <mergeCell ref="A38:C39"/>
    <mergeCell ref="D38:F39"/>
    <mergeCell ref="Q38:S38"/>
    <mergeCell ref="U31:V32"/>
    <mergeCell ref="Q32:S32"/>
    <mergeCell ref="U34:V35"/>
    <mergeCell ref="Q35:S35"/>
    <mergeCell ref="A42:C43"/>
    <mergeCell ref="A36:C37"/>
    <mergeCell ref="D36:F37"/>
    <mergeCell ref="D42:F43"/>
    <mergeCell ref="A32:C32"/>
    <mergeCell ref="D32:G32"/>
    <mergeCell ref="A34:C34"/>
    <mergeCell ref="D34:G34"/>
    <mergeCell ref="A28:C28"/>
    <mergeCell ref="D28:G28"/>
    <mergeCell ref="A30:C30"/>
    <mergeCell ref="D30:G30"/>
    <mergeCell ref="A40:C41"/>
    <mergeCell ref="D40:F41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T21:V21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9:V19"/>
    <mergeCell ref="T20:V2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36" t="s">
        <v>10</v>
      </c>
      <c r="B1" s="137"/>
      <c r="C1" s="137"/>
      <c r="D1" s="137"/>
      <c r="E1" s="138"/>
      <c r="F1" s="139"/>
      <c r="G1" s="140"/>
    </row>
    <row r="2" spans="1:25" ht="13.5" customHeight="1">
      <c r="A2" s="123"/>
      <c r="B2" s="124"/>
      <c r="C2" s="124"/>
      <c r="D2" s="124"/>
      <c r="E2" s="125"/>
      <c r="F2" s="126"/>
      <c r="G2" s="127"/>
    </row>
    <row r="3" spans="1:25" ht="13.5" customHeight="1">
      <c r="A3" s="120" t="s">
        <v>0</v>
      </c>
      <c r="B3" s="121"/>
      <c r="C3" s="121"/>
      <c r="D3" s="121"/>
      <c r="E3" s="122"/>
      <c r="F3" s="141"/>
      <c r="G3" s="142"/>
    </row>
    <row r="4" spans="1:25" ht="13.5" customHeight="1">
      <c r="A4" s="123"/>
      <c r="B4" s="124"/>
      <c r="C4" s="124"/>
      <c r="D4" s="124"/>
      <c r="E4" s="125"/>
      <c r="F4" s="141"/>
      <c r="G4" s="142"/>
    </row>
    <row r="5" spans="1:25" ht="13.5" customHeight="1">
      <c r="A5" s="120" t="s">
        <v>11</v>
      </c>
      <c r="B5" s="121"/>
      <c r="C5" s="121"/>
      <c r="D5" s="121"/>
      <c r="E5" s="122"/>
      <c r="F5" s="126"/>
      <c r="G5" s="127"/>
    </row>
    <row r="6" spans="1:25" ht="13.5" customHeight="1">
      <c r="A6" s="123"/>
      <c r="B6" s="124"/>
      <c r="C6" s="124"/>
      <c r="D6" s="124"/>
      <c r="E6" s="125"/>
      <c r="F6" s="126"/>
      <c r="G6" s="127"/>
    </row>
    <row r="7" spans="1:25" ht="13.5" customHeight="1">
      <c r="A7" s="120" t="s">
        <v>1</v>
      </c>
      <c r="B7" s="121"/>
      <c r="C7" s="121"/>
      <c r="D7" s="121"/>
      <c r="E7" s="122"/>
      <c r="F7" s="126"/>
      <c r="G7" s="127"/>
    </row>
    <row r="8" spans="1:25" ht="26.25" customHeight="1">
      <c r="A8" s="123"/>
      <c r="B8" s="124"/>
      <c r="C8" s="124"/>
      <c r="D8" s="124"/>
      <c r="E8" s="125"/>
      <c r="F8" s="126"/>
      <c r="G8" s="127"/>
    </row>
    <row r="9" spans="1:25" ht="13.5" customHeight="1">
      <c r="A9" s="128" t="s">
        <v>12</v>
      </c>
      <c r="B9" s="121"/>
      <c r="C9" s="121"/>
      <c r="D9" s="121"/>
      <c r="E9" s="122"/>
      <c r="F9" s="132"/>
      <c r="G9" s="133"/>
    </row>
    <row r="10" spans="1:25" ht="13.5" customHeight="1" thickBot="1">
      <c r="A10" s="129"/>
      <c r="B10" s="130"/>
      <c r="C10" s="130"/>
      <c r="D10" s="130"/>
      <c r="E10" s="131"/>
      <c r="F10" s="134"/>
      <c r="G10" s="135"/>
    </row>
    <row r="11" spans="1:25" ht="17.25" thickBot="1"/>
    <row r="12" spans="1:25" ht="12.75" customHeight="1">
      <c r="A12" s="179" t="s">
        <v>13</v>
      </c>
      <c r="B12" s="146" t="s">
        <v>51</v>
      </c>
      <c r="C12" s="143" t="s">
        <v>2</v>
      </c>
      <c r="D12" s="143" t="s">
        <v>39</v>
      </c>
      <c r="E12" s="182" t="s">
        <v>15</v>
      </c>
      <c r="F12" s="182"/>
      <c r="G12" s="182"/>
      <c r="H12" s="182"/>
      <c r="I12" s="185"/>
      <c r="J12" s="170" t="s">
        <v>47</v>
      </c>
      <c r="K12" s="171"/>
      <c r="L12" s="176" t="s">
        <v>50</v>
      </c>
      <c r="N12" s="24"/>
      <c r="P12" s="179" t="s">
        <v>50</v>
      </c>
      <c r="Q12" s="182" t="s">
        <v>47</v>
      </c>
      <c r="R12" s="171"/>
      <c r="S12" s="143" t="s">
        <v>39</v>
      </c>
      <c r="T12" s="182" t="s">
        <v>15</v>
      </c>
      <c r="U12" s="182"/>
      <c r="V12" s="94"/>
      <c r="W12" s="143" t="s">
        <v>2</v>
      </c>
      <c r="X12" s="146" t="s">
        <v>51</v>
      </c>
      <c r="Y12" s="149" t="s">
        <v>13</v>
      </c>
    </row>
    <row r="13" spans="1:25" ht="12.75" customHeight="1">
      <c r="A13" s="180"/>
      <c r="B13" s="147"/>
      <c r="C13" s="144"/>
      <c r="D13" s="144"/>
      <c r="E13" s="183"/>
      <c r="F13" s="183"/>
      <c r="G13" s="183"/>
      <c r="H13" s="183"/>
      <c r="I13" s="186"/>
      <c r="J13" s="172"/>
      <c r="K13" s="173"/>
      <c r="L13" s="177"/>
      <c r="N13" s="24"/>
      <c r="P13" s="180"/>
      <c r="Q13" s="183"/>
      <c r="R13" s="173"/>
      <c r="S13" s="144"/>
      <c r="T13" s="183"/>
      <c r="U13" s="183"/>
      <c r="V13" s="95"/>
      <c r="W13" s="144"/>
      <c r="X13" s="147"/>
      <c r="Y13" s="150"/>
    </row>
    <row r="14" spans="1:25" ht="12.75" customHeight="1">
      <c r="A14" s="180"/>
      <c r="B14" s="147"/>
      <c r="C14" s="144"/>
      <c r="D14" s="144"/>
      <c r="E14" s="183"/>
      <c r="F14" s="183"/>
      <c r="G14" s="183"/>
      <c r="H14" s="183"/>
      <c r="I14" s="186"/>
      <c r="J14" s="172"/>
      <c r="K14" s="173"/>
      <c r="L14" s="177"/>
      <c r="N14" s="24"/>
      <c r="P14" s="180"/>
      <c r="Q14" s="183"/>
      <c r="R14" s="173"/>
      <c r="S14" s="144"/>
      <c r="T14" s="183"/>
      <c r="U14" s="183"/>
      <c r="V14" s="95"/>
      <c r="W14" s="144"/>
      <c r="X14" s="147"/>
      <c r="Y14" s="150"/>
    </row>
    <row r="15" spans="1:25" ht="12.75" customHeight="1" thickBot="1">
      <c r="A15" s="181"/>
      <c r="B15" s="148"/>
      <c r="C15" s="145"/>
      <c r="D15" s="145"/>
      <c r="E15" s="184"/>
      <c r="F15" s="184"/>
      <c r="G15" s="184"/>
      <c r="H15" s="184"/>
      <c r="I15" s="187"/>
      <c r="J15" s="174"/>
      <c r="K15" s="175"/>
      <c r="L15" s="178"/>
      <c r="N15" s="24"/>
      <c r="P15" s="181"/>
      <c r="Q15" s="184"/>
      <c r="R15" s="175"/>
      <c r="S15" s="145"/>
      <c r="T15" s="184"/>
      <c r="U15" s="184"/>
      <c r="V15" s="96"/>
      <c r="W15" s="145"/>
      <c r="X15" s="148"/>
      <c r="Y15" s="15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52" t="str">
        <f>IF(ISERROR((C17-B17)/C17),"",(C17-B17)/C17)</f>
        <v/>
      </c>
      <c r="B17" s="154">
        <f>SUM(B19:B21)</f>
        <v>0</v>
      </c>
      <c r="C17" s="156">
        <f>SUM(C19:C21)</f>
        <v>0</v>
      </c>
      <c r="D17" s="158"/>
      <c r="E17" s="160" t="s">
        <v>14</v>
      </c>
      <c r="F17" s="162"/>
      <c r="G17" s="163"/>
      <c r="H17" s="163"/>
      <c r="I17" s="164"/>
      <c r="J17" s="168"/>
      <c r="K17" s="194"/>
      <c r="L17" s="196"/>
      <c r="N17" s="24"/>
      <c r="P17" s="198"/>
      <c r="Q17" s="200"/>
      <c r="R17" s="202"/>
      <c r="S17" s="272"/>
      <c r="T17" s="160" t="s">
        <v>14</v>
      </c>
      <c r="U17" s="162"/>
      <c r="V17" s="163"/>
      <c r="W17" s="208">
        <f>SUM(W19:W21)</f>
        <v>0</v>
      </c>
      <c r="X17" s="204">
        <f>SUM(X19:X21)</f>
        <v>0</v>
      </c>
      <c r="Y17" s="206" t="str">
        <f>IF(ISERROR((W17-X17)/W17),"",(W17-X17)/W17)</f>
        <v/>
      </c>
    </row>
    <row r="18" spans="1:25" s="7" customFormat="1" ht="13.5" customHeight="1">
      <c r="A18" s="153"/>
      <c r="B18" s="155"/>
      <c r="C18" s="157"/>
      <c r="D18" s="159"/>
      <c r="E18" s="161"/>
      <c r="F18" s="165"/>
      <c r="G18" s="166"/>
      <c r="H18" s="166"/>
      <c r="I18" s="167"/>
      <c r="J18" s="169"/>
      <c r="K18" s="195"/>
      <c r="L18" s="197"/>
      <c r="N18" s="24"/>
      <c r="P18" s="199"/>
      <c r="Q18" s="201"/>
      <c r="R18" s="203"/>
      <c r="S18" s="273"/>
      <c r="T18" s="161"/>
      <c r="U18" s="165"/>
      <c r="V18" s="166"/>
      <c r="W18" s="209"/>
      <c r="X18" s="205"/>
      <c r="Y18" s="207"/>
    </row>
    <row r="19" spans="1:25" s="7" customFormat="1" ht="26.25" customHeight="1">
      <c r="A19" s="210" t="str">
        <f>IF(ISERROR(IF(B17="",3600/C17,3600/B17)),"",IF(B17="",3600/C17,3600/B17))</f>
        <v/>
      </c>
      <c r="B19" s="10"/>
      <c r="C19" s="11"/>
      <c r="D19" s="16"/>
      <c r="E19" s="191"/>
      <c r="F19" s="192"/>
      <c r="G19" s="192"/>
      <c r="H19" s="192"/>
      <c r="I19" s="193"/>
      <c r="J19" s="20"/>
      <c r="K19" s="22"/>
      <c r="L19" s="26"/>
      <c r="N19" s="24"/>
      <c r="P19" s="28"/>
      <c r="Q19" s="22"/>
      <c r="R19" s="18"/>
      <c r="S19" s="16"/>
      <c r="T19" s="191"/>
      <c r="U19" s="192"/>
      <c r="V19" s="192"/>
      <c r="W19" s="20"/>
      <c r="X19" s="10"/>
      <c r="Y19" s="188" t="str">
        <f>IF(ISERROR(IF(X17="",3600/W17,3600/X17)),"",IF(X17="",3600/W17,3600/X17))</f>
        <v/>
      </c>
    </row>
    <row r="20" spans="1:25" s="7" customFormat="1" ht="22.5">
      <c r="A20" s="211"/>
      <c r="B20" s="10"/>
      <c r="C20" s="11"/>
      <c r="D20" s="16"/>
      <c r="E20" s="191"/>
      <c r="F20" s="192"/>
      <c r="G20" s="192"/>
      <c r="H20" s="192"/>
      <c r="I20" s="193"/>
      <c r="J20" s="20"/>
      <c r="K20" s="22"/>
      <c r="L20" s="26"/>
      <c r="N20" s="24"/>
      <c r="P20" s="28"/>
      <c r="Q20" s="22"/>
      <c r="R20" s="18"/>
      <c r="S20" s="16"/>
      <c r="T20" s="191"/>
      <c r="U20" s="192"/>
      <c r="V20" s="192"/>
      <c r="W20" s="20"/>
      <c r="X20" s="10"/>
      <c r="Y20" s="189"/>
    </row>
    <row r="21" spans="1:25" s="7" customFormat="1" ht="26.25" customHeight="1" thickBot="1">
      <c r="A21" s="212"/>
      <c r="B21" s="12"/>
      <c r="C21" s="13"/>
      <c r="D21" s="17"/>
      <c r="E21" s="191"/>
      <c r="F21" s="192"/>
      <c r="G21" s="192"/>
      <c r="H21" s="192"/>
      <c r="I21" s="193"/>
      <c r="J21" s="19"/>
      <c r="K21" s="23"/>
      <c r="L21" s="27"/>
      <c r="N21" s="24"/>
      <c r="P21" s="29"/>
      <c r="Q21" s="23"/>
      <c r="R21" s="21"/>
      <c r="S21" s="17"/>
      <c r="T21" s="191"/>
      <c r="U21" s="192"/>
      <c r="V21" s="192"/>
      <c r="W21" s="11" t="s">
        <v>3</v>
      </c>
      <c r="X21" s="12"/>
      <c r="Y21" s="190"/>
    </row>
    <row r="24" spans="1:25" ht="18" customHeight="1">
      <c r="D24" s="55"/>
      <c r="E24" s="55"/>
      <c r="F24" s="55"/>
      <c r="G24" s="55"/>
      <c r="H24" s="55"/>
      <c r="I24" s="55"/>
      <c r="J24" s="235" t="s">
        <v>56</v>
      </c>
      <c r="K24" s="235"/>
      <c r="L24" s="235"/>
      <c r="M24" s="237">
        <f>SUM(M27:M27)</f>
        <v>0</v>
      </c>
      <c r="N24" s="237"/>
      <c r="P24" s="49" t="s">
        <v>57</v>
      </c>
      <c r="Q24" s="61"/>
    </row>
    <row r="25" spans="1:25" ht="18" customHeight="1">
      <c r="H25" s="68"/>
      <c r="I25" s="51"/>
      <c r="J25" s="235"/>
      <c r="K25" s="235"/>
      <c r="L25" s="235"/>
      <c r="M25" s="237"/>
      <c r="N25" s="237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277" t="s">
        <v>61</v>
      </c>
      <c r="N26" s="106"/>
      <c r="P26" s="57" t="s">
        <v>62</v>
      </c>
      <c r="Q26" s="57" t="s">
        <v>63</v>
      </c>
      <c r="R26" s="90"/>
      <c r="S26" s="105" t="s">
        <v>64</v>
      </c>
      <c r="T26" s="106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10" t="str">
        <f>IF(J27="","",COUNTIFS(MachineINV1,J27,MachineINV3,K27) + COUNTIFS(MachineINV2,J27,MachineINV4,K27))</f>
        <v/>
      </c>
      <c r="N27" s="110"/>
      <c r="P27" s="59"/>
      <c r="Q27" s="59"/>
      <c r="R27" s="60"/>
      <c r="S27" s="252"/>
      <c r="T27" s="253"/>
    </row>
    <row r="28" spans="1:25" ht="18" customHeight="1">
      <c r="A28" s="113" t="s">
        <v>41</v>
      </c>
      <c r="B28" s="114"/>
      <c r="C28" s="114"/>
      <c r="D28" s="117"/>
      <c r="E28" s="118"/>
      <c r="F28" s="118"/>
      <c r="G28" s="119"/>
      <c r="H28" s="69"/>
      <c r="I28" s="51"/>
      <c r="J28" s="74"/>
      <c r="N28" s="8"/>
      <c r="Q28" s="55"/>
      <c r="R28" s="55"/>
      <c r="S28" s="55"/>
      <c r="T28" s="55"/>
      <c r="U28" s="217"/>
      <c r="V28" s="97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19"/>
      <c r="R29" s="219"/>
      <c r="S29" s="219"/>
      <c r="T29" s="56"/>
      <c r="U29" s="218"/>
      <c r="V29" s="97"/>
    </row>
    <row r="30" spans="1:25" ht="18" customHeight="1">
      <c r="A30" s="113" t="s">
        <v>42</v>
      </c>
      <c r="B30" s="114"/>
      <c r="C30" s="114"/>
      <c r="D30" s="115"/>
      <c r="E30" s="116"/>
      <c r="F30" s="116"/>
      <c r="G30" s="116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58"/>
      <c r="V31" s="99"/>
    </row>
    <row r="32" spans="1:25" ht="18" customHeight="1">
      <c r="A32" s="113" t="s">
        <v>43</v>
      </c>
      <c r="B32" s="114"/>
      <c r="C32" s="114"/>
      <c r="D32" s="117"/>
      <c r="E32" s="118"/>
      <c r="F32" s="118"/>
      <c r="G32" s="119"/>
      <c r="H32" s="62"/>
      <c r="I32" s="66"/>
      <c r="J32" s="64"/>
      <c r="K32" s="55"/>
      <c r="L32" s="55"/>
      <c r="N32" s="8"/>
      <c r="Q32" s="219"/>
      <c r="R32" s="219"/>
      <c r="S32" s="219"/>
      <c r="T32" s="56"/>
      <c r="U32" s="259"/>
      <c r="V32" s="99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13" t="s">
        <v>44</v>
      </c>
      <c r="B34" s="114"/>
      <c r="C34" s="114"/>
      <c r="D34" s="115"/>
      <c r="E34" s="116"/>
      <c r="F34" s="116"/>
      <c r="G34" s="116"/>
      <c r="H34" s="62"/>
      <c r="I34" s="51"/>
      <c r="P34" s="67"/>
      <c r="Q34" s="67"/>
      <c r="R34" s="67"/>
      <c r="S34" s="67"/>
      <c r="T34" s="67"/>
      <c r="U34" s="260"/>
      <c r="V34" s="100"/>
    </row>
    <row r="35" spans="1:22" ht="18" customHeight="1" thickBot="1">
      <c r="P35" s="67"/>
      <c r="Q35" s="214"/>
      <c r="R35" s="214"/>
      <c r="S35" s="214"/>
      <c r="T35" s="72"/>
      <c r="U35" s="261"/>
      <c r="V35" s="100"/>
    </row>
    <row r="36" spans="1:22" ht="18" customHeight="1">
      <c r="A36" s="221" t="s">
        <v>30</v>
      </c>
      <c r="B36" s="222"/>
      <c r="C36" s="222"/>
      <c r="D36" s="225"/>
      <c r="E36" s="226"/>
      <c r="F36" s="227"/>
      <c r="P36" s="67"/>
      <c r="Q36" s="65"/>
      <c r="R36" s="65"/>
      <c r="S36" s="65"/>
      <c r="T36" s="65"/>
      <c r="U36" s="9"/>
      <c r="V36" s="9"/>
    </row>
    <row r="37" spans="1:22" ht="18" customHeight="1">
      <c r="A37" s="223"/>
      <c r="B37" s="224"/>
      <c r="C37" s="224"/>
      <c r="D37" s="228"/>
      <c r="E37" s="229"/>
      <c r="F37" s="230"/>
      <c r="P37" s="67"/>
      <c r="Q37" s="65"/>
      <c r="R37" s="65"/>
      <c r="S37" s="65"/>
      <c r="T37" s="65"/>
      <c r="U37" s="256"/>
      <c r="V37" s="98"/>
    </row>
    <row r="38" spans="1:22" ht="13.5" customHeight="1">
      <c r="A38" s="231" t="s">
        <v>31</v>
      </c>
      <c r="B38" s="224"/>
      <c r="C38" s="224"/>
      <c r="D38" s="232"/>
      <c r="E38" s="233"/>
      <c r="F38" s="234"/>
      <c r="P38" s="67"/>
      <c r="Q38" s="214"/>
      <c r="R38" s="214"/>
      <c r="S38" s="214"/>
      <c r="T38" s="72"/>
      <c r="U38" s="257"/>
      <c r="V38" s="98"/>
    </row>
    <row r="39" spans="1:22" ht="13.5" customHeight="1">
      <c r="A39" s="223"/>
      <c r="B39" s="224"/>
      <c r="C39" s="224"/>
      <c r="D39" s="228"/>
      <c r="E39" s="229"/>
      <c r="F39" s="230"/>
      <c r="P39" s="67"/>
      <c r="Q39" s="65"/>
      <c r="R39" s="65"/>
      <c r="S39" s="65"/>
      <c r="T39" s="65"/>
    </row>
    <row r="40" spans="1:22" ht="13.5" customHeight="1">
      <c r="A40" s="231" t="s">
        <v>32</v>
      </c>
      <c r="B40" s="224"/>
      <c r="C40" s="224"/>
      <c r="D40" s="232"/>
      <c r="E40" s="233"/>
      <c r="F40" s="234"/>
      <c r="P40" s="67"/>
      <c r="Q40" s="67"/>
      <c r="R40" s="67"/>
      <c r="S40" s="67"/>
      <c r="T40" s="67"/>
    </row>
    <row r="41" spans="1:22" ht="13.5" customHeight="1">
      <c r="A41" s="223"/>
      <c r="B41" s="224"/>
      <c r="C41" s="224"/>
      <c r="D41" s="228"/>
      <c r="E41" s="229"/>
      <c r="F41" s="230"/>
      <c r="P41" s="67"/>
      <c r="Q41" s="67"/>
      <c r="R41" s="67"/>
      <c r="S41" s="67"/>
      <c r="T41" s="67"/>
    </row>
    <row r="42" spans="1:22" ht="13.5" customHeight="1">
      <c r="A42" s="231" t="s">
        <v>33</v>
      </c>
      <c r="B42" s="224"/>
      <c r="C42" s="224"/>
      <c r="D42" s="232" t="e">
        <f>IF(TtlGSD=0,0,ROUND(3600*D40/TtlGSD,0))</f>
        <v>#NAME?</v>
      </c>
      <c r="E42" s="233"/>
      <c r="F42" s="234"/>
      <c r="P42" s="67"/>
      <c r="Q42" s="67"/>
      <c r="R42" s="67"/>
      <c r="S42" s="67"/>
      <c r="T42" s="67"/>
    </row>
    <row r="43" spans="1:22" ht="13.5" customHeight="1">
      <c r="A43" s="223"/>
      <c r="B43" s="224"/>
      <c r="C43" s="224"/>
      <c r="D43" s="228"/>
      <c r="E43" s="229"/>
      <c r="F43" s="230"/>
      <c r="P43" s="67"/>
      <c r="Q43" s="67"/>
      <c r="R43" s="67"/>
      <c r="S43" s="67"/>
      <c r="T43" s="67"/>
    </row>
    <row r="44" spans="1:22">
      <c r="A44" s="231" t="s">
        <v>34</v>
      </c>
      <c r="B44" s="224"/>
      <c r="C44" s="224"/>
      <c r="D44" s="232" t="e">
        <f>ROUND(D42*D38,0)</f>
        <v>#NAME?</v>
      </c>
      <c r="E44" s="233"/>
      <c r="F44" s="234"/>
    </row>
    <row r="45" spans="1:22" ht="13.5" customHeight="1">
      <c r="A45" s="223"/>
      <c r="B45" s="224"/>
      <c r="C45" s="224"/>
      <c r="D45" s="228"/>
      <c r="E45" s="229"/>
      <c r="F45" s="230"/>
    </row>
    <row r="46" spans="1:22" ht="13.5" customHeight="1">
      <c r="A46" s="231" t="s">
        <v>35</v>
      </c>
      <c r="B46" s="224"/>
      <c r="C46" s="224"/>
      <c r="D46" s="232" t="e">
        <f>IF(D44=0,0,ROUND(D38*3600/D44,0))</f>
        <v>#NAME?</v>
      </c>
      <c r="E46" s="233"/>
      <c r="F46" s="234"/>
    </row>
    <row r="47" spans="1:22" ht="13.5" customHeight="1">
      <c r="A47" s="223"/>
      <c r="B47" s="224"/>
      <c r="C47" s="224"/>
      <c r="D47" s="228"/>
      <c r="E47" s="229"/>
      <c r="F47" s="230"/>
    </row>
    <row r="48" spans="1:22" ht="13.5" customHeight="1">
      <c r="A48" s="231" t="s">
        <v>22</v>
      </c>
      <c r="B48" s="224"/>
      <c r="C48" s="224"/>
      <c r="D48" s="232" t="e">
        <f>ROUND(3600/MaxTMS,2)</f>
        <v>#NAME?</v>
      </c>
      <c r="E48" s="233"/>
      <c r="F48" s="234"/>
    </row>
    <row r="49" spans="1:6" ht="13.5" customHeight="1">
      <c r="A49" s="223"/>
      <c r="B49" s="224"/>
      <c r="C49" s="224"/>
      <c r="D49" s="228"/>
      <c r="E49" s="229"/>
      <c r="F49" s="230"/>
    </row>
    <row r="50" spans="1:6" ht="13.5" customHeight="1">
      <c r="A50" s="231" t="s">
        <v>23</v>
      </c>
      <c r="B50" s="224"/>
      <c r="C50" s="224"/>
      <c r="D50" s="232" t="e">
        <f>TtlTMS</f>
        <v>#NAME?</v>
      </c>
      <c r="E50" s="233"/>
      <c r="F50" s="234"/>
    </row>
    <row r="51" spans="1:6" ht="13.5" customHeight="1">
      <c r="A51" s="223"/>
      <c r="B51" s="224"/>
      <c r="C51" s="224"/>
      <c r="D51" s="228"/>
      <c r="E51" s="229"/>
      <c r="F51" s="230"/>
    </row>
    <row r="52" spans="1:6" ht="13.5" customHeight="1">
      <c r="A52" s="231" t="s">
        <v>24</v>
      </c>
      <c r="B52" s="224"/>
      <c r="C52" s="224"/>
      <c r="D52" s="232" t="e">
        <f>TtlGSD</f>
        <v>#NAME?</v>
      </c>
      <c r="E52" s="233"/>
      <c r="F52" s="234"/>
    </row>
    <row r="53" spans="1:6" ht="13.5" customHeight="1">
      <c r="A53" s="223"/>
      <c r="B53" s="224"/>
      <c r="C53" s="224"/>
      <c r="D53" s="228"/>
      <c r="E53" s="229"/>
      <c r="F53" s="230"/>
    </row>
    <row r="54" spans="1:6">
      <c r="A54" s="231" t="s">
        <v>25</v>
      </c>
      <c r="B54" s="224"/>
      <c r="C54" s="224"/>
      <c r="D54" s="238" t="e">
        <f>IF(D52=0,0,(D52-D50)/D52)</f>
        <v>#NAME?</v>
      </c>
      <c r="E54" s="239"/>
      <c r="F54" s="240"/>
    </row>
    <row r="55" spans="1:6">
      <c r="A55" s="223"/>
      <c r="B55" s="224"/>
      <c r="C55" s="224"/>
      <c r="D55" s="241"/>
      <c r="E55" s="242"/>
      <c r="F55" s="243"/>
    </row>
    <row r="56" spans="1:6">
      <c r="A56" s="231" t="s">
        <v>26</v>
      </c>
      <c r="B56" s="224"/>
      <c r="C56" s="224"/>
      <c r="D56" s="238" t="e">
        <f>IF(OR(D40=0,MaxTMS=0),0,D50/MaxTMS/D40)</f>
        <v>#NAME?</v>
      </c>
      <c r="E56" s="239"/>
      <c r="F56" s="240"/>
    </row>
    <row r="57" spans="1:6">
      <c r="A57" s="223"/>
      <c r="B57" s="224"/>
      <c r="C57" s="224"/>
      <c r="D57" s="241"/>
      <c r="E57" s="242"/>
      <c r="F57" s="243"/>
    </row>
    <row r="58" spans="1:6" ht="16.5" customHeight="1">
      <c r="A58" s="231" t="s">
        <v>27</v>
      </c>
      <c r="B58" s="224"/>
      <c r="C58" s="224"/>
      <c r="D58" s="238" t="e">
        <f>IF(OR(D46=0,D40=0),0,D50/D46/D40)</f>
        <v>#NAME?</v>
      </c>
      <c r="E58" s="239"/>
      <c r="F58" s="240"/>
    </row>
    <row r="59" spans="1:6" ht="16.5" customHeight="1">
      <c r="A59" s="223"/>
      <c r="B59" s="224"/>
      <c r="C59" s="224"/>
      <c r="D59" s="241"/>
      <c r="E59" s="242"/>
      <c r="F59" s="243"/>
    </row>
    <row r="60" spans="1:6" ht="16.5" customHeight="1">
      <c r="A60" s="231" t="s">
        <v>28</v>
      </c>
      <c r="B60" s="224"/>
      <c r="C60" s="224"/>
      <c r="D60" s="238" t="e">
        <f>IF(OR(MaxTMS=0,D40=0),0,D52/MaxTMS/D40)</f>
        <v>#NAME?</v>
      </c>
      <c r="E60" s="239"/>
      <c r="F60" s="240"/>
    </row>
    <row r="61" spans="1:6" ht="16.5" customHeight="1">
      <c r="A61" s="223"/>
      <c r="B61" s="224"/>
      <c r="C61" s="224"/>
      <c r="D61" s="241"/>
      <c r="E61" s="242"/>
      <c r="F61" s="243"/>
    </row>
    <row r="62" spans="1:6" ht="16.5" customHeight="1">
      <c r="A62" s="231" t="s">
        <v>29</v>
      </c>
      <c r="B62" s="224"/>
      <c r="C62" s="224"/>
      <c r="D62" s="246" t="e">
        <f>IF(OR(MaxTMS=0,D40=0),0,ROUND(3600/MaxTMS,2)*F9/D40)</f>
        <v>#NAME?</v>
      </c>
      <c r="E62" s="247"/>
      <c r="F62" s="248"/>
    </row>
    <row r="63" spans="1:6" ht="16.5" customHeight="1" thickBot="1">
      <c r="A63" s="244"/>
      <c r="B63" s="245"/>
      <c r="C63" s="245"/>
      <c r="D63" s="249"/>
      <c r="E63" s="250"/>
      <c r="F63" s="25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74" t="s">
        <v>15</v>
      </c>
      <c r="B92" s="274"/>
      <c r="C92" s="274"/>
      <c r="D92" s="32"/>
      <c r="E92" s="275" t="s">
        <v>55</v>
      </c>
      <c r="F92" s="275"/>
      <c r="G92" s="275"/>
      <c r="H92" s="275"/>
      <c r="I92" s="275"/>
      <c r="J92" s="276" t="s">
        <v>16</v>
      </c>
      <c r="K92" s="276"/>
    </row>
    <row r="93" spans="1:11" ht="20.25">
      <c r="A93" s="262"/>
      <c r="B93" s="263"/>
      <c r="C93" s="264"/>
      <c r="D93" s="33"/>
      <c r="E93" s="270"/>
      <c r="F93" s="270"/>
      <c r="G93" s="270"/>
      <c r="H93" s="270"/>
      <c r="I93" s="270"/>
      <c r="J93" s="271"/>
      <c r="K93" s="271"/>
    </row>
    <row r="94" spans="1:11" ht="20.25">
      <c r="A94" s="262"/>
      <c r="B94" s="263"/>
      <c r="C94" s="264"/>
      <c r="D94" s="33"/>
      <c r="E94" s="270"/>
      <c r="F94" s="270"/>
      <c r="G94" s="270"/>
      <c r="H94" s="270"/>
      <c r="I94" s="270"/>
      <c r="J94" s="271"/>
      <c r="K94" s="271"/>
    </row>
    <row r="95" spans="1:11" ht="20.25">
      <c r="A95" s="262"/>
      <c r="B95" s="263"/>
      <c r="C95" s="264"/>
      <c r="D95" s="33"/>
      <c r="E95" s="270"/>
      <c r="F95" s="270"/>
      <c r="G95" s="270"/>
      <c r="H95" s="270"/>
      <c r="I95" s="270"/>
      <c r="J95" s="271"/>
      <c r="K95" s="271"/>
    </row>
    <row r="96" spans="1:11" ht="20.25">
      <c r="A96" s="262"/>
      <c r="B96" s="263"/>
      <c r="C96" s="264"/>
      <c r="D96" s="33"/>
      <c r="E96" s="270"/>
      <c r="F96" s="270"/>
      <c r="G96" s="270"/>
      <c r="H96" s="270"/>
      <c r="I96" s="270"/>
      <c r="J96" s="271"/>
      <c r="K96" s="271"/>
    </row>
    <row r="97" spans="1:11" ht="20.25">
      <c r="A97" s="262"/>
      <c r="B97" s="263"/>
      <c r="C97" s="264"/>
      <c r="D97" s="33"/>
      <c r="E97" s="270"/>
      <c r="F97" s="270"/>
      <c r="G97" s="270"/>
      <c r="H97" s="270"/>
      <c r="I97" s="270"/>
      <c r="J97" s="271"/>
      <c r="K97" s="271"/>
    </row>
    <row r="98" spans="1:11" ht="20.25">
      <c r="A98" s="262"/>
      <c r="B98" s="263"/>
      <c r="C98" s="264"/>
      <c r="D98" s="33"/>
      <c r="E98" s="270"/>
      <c r="F98" s="270"/>
      <c r="G98" s="270"/>
      <c r="H98" s="270"/>
      <c r="I98" s="270"/>
      <c r="J98" s="271"/>
      <c r="K98" s="271"/>
    </row>
    <row r="99" spans="1:11" ht="20.25">
      <c r="A99" s="262"/>
      <c r="B99" s="263"/>
      <c r="C99" s="264"/>
      <c r="D99" s="33"/>
      <c r="E99" s="265"/>
      <c r="F99" s="266"/>
      <c r="G99" s="266"/>
      <c r="H99" s="266"/>
      <c r="I99" s="267"/>
      <c r="J99" s="268"/>
      <c r="K99" s="269"/>
    </row>
    <row r="100" spans="1:11" ht="20.25">
      <c r="A100" s="262"/>
      <c r="B100" s="263"/>
      <c r="C100" s="264"/>
      <c r="D100" s="33"/>
      <c r="E100" s="265"/>
      <c r="F100" s="266"/>
      <c r="G100" s="266"/>
      <c r="H100" s="266"/>
      <c r="I100" s="267"/>
      <c r="J100" s="268"/>
      <c r="K100" s="269"/>
    </row>
    <row r="101" spans="1:11" ht="20.25">
      <c r="A101" s="262"/>
      <c r="B101" s="263"/>
      <c r="C101" s="264"/>
      <c r="D101" s="33"/>
      <c r="E101" s="265"/>
      <c r="F101" s="266"/>
      <c r="G101" s="266"/>
      <c r="H101" s="266"/>
      <c r="I101" s="267"/>
      <c r="J101" s="268"/>
      <c r="K101" s="269"/>
    </row>
    <row r="102" spans="1:11" ht="20.25">
      <c r="A102" s="262"/>
      <c r="B102" s="263"/>
      <c r="C102" s="264"/>
      <c r="D102" s="33"/>
      <c r="E102" s="265"/>
      <c r="F102" s="266"/>
      <c r="G102" s="266"/>
      <c r="H102" s="266"/>
      <c r="I102" s="267"/>
      <c r="J102" s="268"/>
      <c r="K102" s="269"/>
    </row>
  </sheetData>
  <mergeCells count="133"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U15"/>
    <mergeCell ref="X17:X18"/>
    <mergeCell ref="Y17:Y18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W17:W18"/>
    <mergeCell ref="U17:V18"/>
    <mergeCell ref="T19:V19"/>
    <mergeCell ref="T20:V20"/>
    <mergeCell ref="T21:V21"/>
    <mergeCell ref="U28:U29"/>
    <mergeCell ref="Q29:S29"/>
    <mergeCell ref="U34:U35"/>
    <mergeCell ref="Q35:S35"/>
    <mergeCell ref="U37:U38"/>
    <mergeCell ref="Q38:S38"/>
    <mergeCell ref="U31:U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zoomScale="55" zoomScaleNormal="5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1.125" style="5" customWidth="1"/>
    <col min="21" max="21" width="37.5" style="5" hidden="1" customWidth="1"/>
    <col min="22" max="22" width="53.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36" t="s">
        <v>10</v>
      </c>
      <c r="B1" s="137"/>
      <c r="C1" s="137"/>
      <c r="D1" s="137"/>
      <c r="E1" s="138"/>
      <c r="F1" s="139"/>
      <c r="G1" s="140"/>
    </row>
    <row r="2" spans="1:25" ht="13.5" customHeight="1">
      <c r="A2" s="123"/>
      <c r="B2" s="124"/>
      <c r="C2" s="124"/>
      <c r="D2" s="124"/>
      <c r="E2" s="125"/>
      <c r="F2" s="126"/>
      <c r="G2" s="127"/>
    </row>
    <row r="3" spans="1:25" ht="13.5" customHeight="1">
      <c r="A3" s="120" t="s">
        <v>0</v>
      </c>
      <c r="B3" s="121"/>
      <c r="C3" s="121"/>
      <c r="D3" s="121"/>
      <c r="E3" s="122"/>
      <c r="F3" s="141"/>
      <c r="G3" s="142"/>
    </row>
    <row r="4" spans="1:25" ht="13.5" customHeight="1">
      <c r="A4" s="123"/>
      <c r="B4" s="124"/>
      <c r="C4" s="124"/>
      <c r="D4" s="124"/>
      <c r="E4" s="125"/>
      <c r="F4" s="141"/>
      <c r="G4" s="142"/>
    </row>
    <row r="5" spans="1:25" ht="13.5" customHeight="1">
      <c r="A5" s="120" t="s">
        <v>11</v>
      </c>
      <c r="B5" s="121"/>
      <c r="C5" s="121"/>
      <c r="D5" s="121"/>
      <c r="E5" s="122"/>
      <c r="F5" s="126"/>
      <c r="G5" s="127"/>
    </row>
    <row r="6" spans="1:25" ht="13.5" customHeight="1">
      <c r="A6" s="123"/>
      <c r="B6" s="124"/>
      <c r="C6" s="124"/>
      <c r="D6" s="124"/>
      <c r="E6" s="125"/>
      <c r="F6" s="126"/>
      <c r="G6" s="127"/>
    </row>
    <row r="7" spans="1:25" ht="13.5" customHeight="1">
      <c r="A7" s="120" t="s">
        <v>1</v>
      </c>
      <c r="B7" s="121"/>
      <c r="C7" s="121"/>
      <c r="D7" s="121"/>
      <c r="E7" s="122"/>
      <c r="F7" s="126"/>
      <c r="G7" s="127"/>
    </row>
    <row r="8" spans="1:25" ht="26.25" customHeight="1">
      <c r="A8" s="123"/>
      <c r="B8" s="124"/>
      <c r="C8" s="124"/>
      <c r="D8" s="124"/>
      <c r="E8" s="125"/>
      <c r="F8" s="126"/>
      <c r="G8" s="127"/>
    </row>
    <row r="9" spans="1:25" ht="13.5" customHeight="1">
      <c r="A9" s="128" t="s">
        <v>12</v>
      </c>
      <c r="B9" s="121"/>
      <c r="C9" s="121"/>
      <c r="D9" s="121"/>
      <c r="E9" s="122"/>
      <c r="F9" s="132"/>
      <c r="G9" s="133"/>
    </row>
    <row r="10" spans="1:25" ht="13.5" customHeight="1" thickBot="1">
      <c r="A10" s="129"/>
      <c r="B10" s="130"/>
      <c r="C10" s="130"/>
      <c r="D10" s="130"/>
      <c r="E10" s="131"/>
      <c r="F10" s="134"/>
      <c r="G10" s="135"/>
    </row>
    <row r="11" spans="1:25" ht="17.25" thickBot="1"/>
    <row r="12" spans="1:25" ht="12.75" customHeight="1">
      <c r="A12" s="179" t="s">
        <v>13</v>
      </c>
      <c r="B12" s="146" t="s">
        <v>51</v>
      </c>
      <c r="C12" s="143" t="s">
        <v>2</v>
      </c>
      <c r="D12" s="143" t="s">
        <v>39</v>
      </c>
      <c r="E12" s="182" t="s">
        <v>15</v>
      </c>
      <c r="F12" s="182"/>
      <c r="G12" s="182"/>
      <c r="H12" s="182"/>
      <c r="I12" s="185"/>
      <c r="J12" s="170" t="s">
        <v>47</v>
      </c>
      <c r="K12" s="171"/>
      <c r="L12" s="176" t="s">
        <v>50</v>
      </c>
      <c r="N12" s="24"/>
      <c r="P12" s="179" t="s">
        <v>50</v>
      </c>
      <c r="Q12" s="182" t="s">
        <v>47</v>
      </c>
      <c r="R12" s="171"/>
      <c r="S12" s="143" t="s">
        <v>39</v>
      </c>
      <c r="T12" s="182" t="s">
        <v>15</v>
      </c>
      <c r="U12" s="182"/>
      <c r="V12" s="185"/>
      <c r="W12" s="143" t="s">
        <v>2</v>
      </c>
      <c r="X12" s="146" t="s">
        <v>51</v>
      </c>
      <c r="Y12" s="149" t="s">
        <v>13</v>
      </c>
    </row>
    <row r="13" spans="1:25" ht="12.75" customHeight="1">
      <c r="A13" s="180"/>
      <c r="B13" s="147"/>
      <c r="C13" s="144"/>
      <c r="D13" s="144"/>
      <c r="E13" s="183"/>
      <c r="F13" s="183"/>
      <c r="G13" s="183"/>
      <c r="H13" s="183"/>
      <c r="I13" s="186"/>
      <c r="J13" s="172"/>
      <c r="K13" s="173"/>
      <c r="L13" s="177"/>
      <c r="N13" s="24"/>
      <c r="P13" s="180"/>
      <c r="Q13" s="183"/>
      <c r="R13" s="173"/>
      <c r="S13" s="144"/>
      <c r="T13" s="183"/>
      <c r="U13" s="183"/>
      <c r="V13" s="186"/>
      <c r="W13" s="144"/>
      <c r="X13" s="147"/>
      <c r="Y13" s="150"/>
    </row>
    <row r="14" spans="1:25" ht="12.75" customHeight="1">
      <c r="A14" s="180"/>
      <c r="B14" s="147"/>
      <c r="C14" s="144"/>
      <c r="D14" s="144"/>
      <c r="E14" s="183"/>
      <c r="F14" s="183"/>
      <c r="G14" s="183"/>
      <c r="H14" s="183"/>
      <c r="I14" s="186"/>
      <c r="J14" s="172"/>
      <c r="K14" s="173"/>
      <c r="L14" s="177"/>
      <c r="N14" s="24"/>
      <c r="P14" s="180"/>
      <c r="Q14" s="183"/>
      <c r="R14" s="173"/>
      <c r="S14" s="144"/>
      <c r="T14" s="183"/>
      <c r="U14" s="183"/>
      <c r="V14" s="186"/>
      <c r="W14" s="144"/>
      <c r="X14" s="147"/>
      <c r="Y14" s="150"/>
    </row>
    <row r="15" spans="1:25" ht="12.75" customHeight="1" thickBot="1">
      <c r="A15" s="181"/>
      <c r="B15" s="148"/>
      <c r="C15" s="145"/>
      <c r="D15" s="145"/>
      <c r="E15" s="184"/>
      <c r="F15" s="184"/>
      <c r="G15" s="184"/>
      <c r="H15" s="184"/>
      <c r="I15" s="187"/>
      <c r="J15" s="174"/>
      <c r="K15" s="175"/>
      <c r="L15" s="178"/>
      <c r="N15" s="24"/>
      <c r="P15" s="181"/>
      <c r="Q15" s="184"/>
      <c r="R15" s="175"/>
      <c r="S15" s="145"/>
      <c r="T15" s="184"/>
      <c r="U15" s="184"/>
      <c r="V15" s="187"/>
      <c r="W15" s="145"/>
      <c r="X15" s="148"/>
      <c r="Y15" s="151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52" t="str">
        <f>IF(ISERROR((C17-B17)/C17),"",(C17-B17)/C17)</f>
        <v/>
      </c>
      <c r="B17" s="154">
        <f>SUM(B19:B21)</f>
        <v>0</v>
      </c>
      <c r="C17" s="156">
        <f>SUM(C19:C21)</f>
        <v>0</v>
      </c>
      <c r="D17" s="158"/>
      <c r="E17" s="160" t="s">
        <v>14</v>
      </c>
      <c r="F17" s="162"/>
      <c r="G17" s="163"/>
      <c r="H17" s="163"/>
      <c r="I17" s="164"/>
      <c r="J17" s="168"/>
      <c r="K17" s="194"/>
      <c r="L17" s="196"/>
      <c r="N17" s="24"/>
      <c r="P17" s="198"/>
      <c r="Q17" s="200"/>
      <c r="R17" s="202"/>
      <c r="S17" s="158"/>
      <c r="T17" s="160" t="s">
        <v>14</v>
      </c>
      <c r="U17" s="162"/>
      <c r="V17" s="164"/>
      <c r="W17" s="208">
        <f>SUM(W19:W21)</f>
        <v>0</v>
      </c>
      <c r="X17" s="204">
        <f>SUM(X19:X21)</f>
        <v>0</v>
      </c>
      <c r="Y17" s="206" t="str">
        <f>IF(ISERROR((W17-X17)/W17),"",(W17-X17)/W17)</f>
        <v/>
      </c>
    </row>
    <row r="18" spans="1:43" s="7" customFormat="1" ht="13.5" customHeight="1">
      <c r="A18" s="153"/>
      <c r="B18" s="155"/>
      <c r="C18" s="157"/>
      <c r="D18" s="159"/>
      <c r="E18" s="161"/>
      <c r="F18" s="165"/>
      <c r="G18" s="166"/>
      <c r="H18" s="166"/>
      <c r="I18" s="167"/>
      <c r="J18" s="169"/>
      <c r="K18" s="195"/>
      <c r="L18" s="197"/>
      <c r="N18" s="24"/>
      <c r="P18" s="199"/>
      <c r="Q18" s="201"/>
      <c r="R18" s="203"/>
      <c r="S18" s="159"/>
      <c r="T18" s="161"/>
      <c r="U18" s="165"/>
      <c r="V18" s="167"/>
      <c r="W18" s="209"/>
      <c r="X18" s="205"/>
      <c r="Y18" s="207"/>
    </row>
    <row r="19" spans="1:43" s="7" customFormat="1" ht="26.25" customHeight="1">
      <c r="A19" s="210" t="str">
        <f>IF(ISERROR(IF(B17="",3600/C17,3600/B17)),"",IF(B17="",3600/C17,3600/B17))</f>
        <v/>
      </c>
      <c r="B19" s="10"/>
      <c r="C19" s="11"/>
      <c r="D19" s="16"/>
      <c r="E19" s="191"/>
      <c r="F19" s="192"/>
      <c r="G19" s="192"/>
      <c r="H19" s="192"/>
      <c r="I19" s="193"/>
      <c r="J19" s="20"/>
      <c r="K19" s="22"/>
      <c r="L19" s="26"/>
      <c r="N19" s="24"/>
      <c r="P19" s="28"/>
      <c r="Q19" s="22"/>
      <c r="R19" s="18"/>
      <c r="S19" s="16"/>
      <c r="T19" s="103"/>
      <c r="U19" s="104"/>
      <c r="V19" s="104"/>
      <c r="W19" s="11"/>
      <c r="X19" s="10"/>
      <c r="Y19" s="188" t="str">
        <f>IF(ISERROR(IF(X17="",3600/W17,3600/X17)),"",IF(X17="",3600/W17,3600/X17))</f>
        <v/>
      </c>
    </row>
    <row r="20" spans="1:43" s="7" customFormat="1" ht="22.5">
      <c r="A20" s="211"/>
      <c r="B20" s="10"/>
      <c r="C20" s="11"/>
      <c r="D20" s="16"/>
      <c r="E20" s="191"/>
      <c r="F20" s="192"/>
      <c r="G20" s="192"/>
      <c r="H20" s="192"/>
      <c r="I20" s="193"/>
      <c r="J20" s="20"/>
      <c r="K20" s="22"/>
      <c r="L20" s="26"/>
      <c r="N20" s="24"/>
      <c r="P20" s="28"/>
      <c r="Q20" s="22"/>
      <c r="R20" s="18"/>
      <c r="S20" s="16"/>
      <c r="T20" s="103"/>
      <c r="U20" s="104"/>
      <c r="V20" s="104"/>
      <c r="W20" s="11"/>
      <c r="X20" s="10"/>
      <c r="Y20" s="189"/>
    </row>
    <row r="21" spans="1:43" s="7" customFormat="1" ht="26.25" customHeight="1" thickBot="1">
      <c r="A21" s="212"/>
      <c r="B21" s="12"/>
      <c r="C21" s="13"/>
      <c r="D21" s="17"/>
      <c r="E21" s="191"/>
      <c r="F21" s="192"/>
      <c r="G21" s="192"/>
      <c r="H21" s="192"/>
      <c r="I21" s="193"/>
      <c r="J21" s="19"/>
      <c r="K21" s="23"/>
      <c r="L21" s="27"/>
      <c r="N21" s="24"/>
      <c r="P21" s="29"/>
      <c r="Q21" s="23"/>
      <c r="R21" s="21"/>
      <c r="S21" s="17"/>
      <c r="T21" s="103"/>
      <c r="U21" s="104"/>
      <c r="V21" s="104"/>
      <c r="W21" s="11" t="s">
        <v>3</v>
      </c>
      <c r="X21" s="12"/>
      <c r="Y21" s="190"/>
    </row>
    <row r="24" spans="1:43" ht="18" customHeight="1">
      <c r="D24" s="55"/>
      <c r="E24" s="55"/>
      <c r="F24" s="55"/>
      <c r="G24" s="55"/>
      <c r="H24" s="55"/>
      <c r="I24" s="55"/>
      <c r="J24" s="235" t="s">
        <v>56</v>
      </c>
      <c r="K24" s="235"/>
      <c r="L24" s="235"/>
      <c r="M24" s="237">
        <f>SUM(M27:M27)</f>
        <v>0</v>
      </c>
      <c r="N24" s="237"/>
      <c r="P24" s="48" t="s">
        <v>57</v>
      </c>
      <c r="Q24" s="61"/>
    </row>
    <row r="25" spans="1:43" ht="18" customHeight="1">
      <c r="H25" s="68"/>
      <c r="I25" s="51"/>
      <c r="J25" s="235"/>
      <c r="K25" s="235"/>
      <c r="L25" s="235"/>
      <c r="M25" s="237"/>
      <c r="N25" s="237"/>
      <c r="P25" s="48" t="s">
        <v>58</v>
      </c>
      <c r="Q25" s="61"/>
    </row>
    <row r="26" spans="1:43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277" t="s">
        <v>61</v>
      </c>
      <c r="N26" s="106"/>
      <c r="P26" s="57" t="s">
        <v>62</v>
      </c>
      <c r="Q26" s="57" t="s">
        <v>63</v>
      </c>
      <c r="R26" s="90"/>
      <c r="S26" s="105" t="s">
        <v>64</v>
      </c>
      <c r="T26" s="106"/>
    </row>
    <row r="27" spans="1:43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10" t="str">
        <f>IF(J27="","",COUNTIFS(MachineINV1,J27,MachineINV3,K27) + COUNTIFS(MachineINV2,J27,MachineINV4,K27))</f>
        <v/>
      </c>
      <c r="N27" s="110"/>
      <c r="P27" s="59"/>
      <c r="Q27" s="59"/>
      <c r="R27" s="60"/>
      <c r="S27" s="252"/>
      <c r="T27" s="253"/>
    </row>
    <row r="28" spans="1:43" ht="18" customHeight="1">
      <c r="A28" s="113" t="s">
        <v>41</v>
      </c>
      <c r="B28" s="114"/>
      <c r="C28" s="114"/>
      <c r="D28" s="117"/>
      <c r="E28" s="118"/>
      <c r="F28" s="118"/>
      <c r="G28" s="119"/>
      <c r="H28" s="69"/>
      <c r="I28" s="51"/>
      <c r="J28" s="74"/>
      <c r="N28" s="8"/>
      <c r="Q28" s="55"/>
      <c r="R28" s="55"/>
      <c r="S28" s="55"/>
      <c r="T28" s="55"/>
      <c r="U28" s="217"/>
      <c r="V28" s="217"/>
    </row>
    <row r="29" spans="1:43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19"/>
      <c r="R29" s="219"/>
      <c r="S29" s="219"/>
      <c r="T29" s="56"/>
      <c r="U29" s="218"/>
      <c r="V29" s="218"/>
    </row>
    <row r="30" spans="1:43" ht="18" customHeight="1">
      <c r="A30" s="113" t="s">
        <v>42</v>
      </c>
      <c r="B30" s="114"/>
      <c r="C30" s="114"/>
      <c r="D30" s="115"/>
      <c r="E30" s="116"/>
      <c r="F30" s="116"/>
      <c r="G30" s="116"/>
      <c r="H30" s="62"/>
      <c r="I30" s="66"/>
      <c r="J30" s="63"/>
      <c r="K30" s="55"/>
      <c r="L30" s="55"/>
      <c r="N30" s="8"/>
      <c r="Q30" s="55"/>
      <c r="R30" s="55"/>
      <c r="S30" s="55"/>
      <c r="T30" s="55"/>
      <c r="AH30" s="58"/>
      <c r="AI30" s="58"/>
      <c r="AJ30" s="58"/>
      <c r="AK30" s="58"/>
      <c r="AL30" s="278"/>
      <c r="AM30" s="278"/>
      <c r="AN30" s="278"/>
      <c r="AO30" s="278"/>
      <c r="AP30" s="278"/>
      <c r="AQ30" s="278"/>
    </row>
    <row r="31" spans="1:43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58"/>
      <c r="V31" s="258"/>
      <c r="AH31" s="279"/>
      <c r="AI31" s="279"/>
      <c r="AJ31" s="280"/>
      <c r="AK31" s="280"/>
      <c r="AL31" s="52"/>
      <c r="AM31" s="53"/>
      <c r="AN31" s="52"/>
      <c r="AO31" s="53"/>
      <c r="AP31" s="54"/>
      <c r="AQ31" s="53"/>
    </row>
    <row r="32" spans="1:43" ht="18" customHeight="1">
      <c r="A32" s="113" t="s">
        <v>43</v>
      </c>
      <c r="B32" s="114"/>
      <c r="C32" s="114"/>
      <c r="D32" s="117"/>
      <c r="E32" s="118"/>
      <c r="F32" s="118"/>
      <c r="G32" s="119"/>
      <c r="H32" s="62"/>
      <c r="I32" s="66"/>
      <c r="J32" s="64"/>
      <c r="K32" s="55"/>
      <c r="L32" s="55"/>
      <c r="N32" s="8"/>
      <c r="Q32" s="219"/>
      <c r="R32" s="219"/>
      <c r="S32" s="219"/>
      <c r="T32" s="56"/>
      <c r="U32" s="259"/>
      <c r="V32" s="259"/>
      <c r="AH32" s="279"/>
      <c r="AI32" s="279"/>
      <c r="AJ32" s="280"/>
      <c r="AK32" s="280"/>
      <c r="AL32" s="52"/>
      <c r="AM32" s="53"/>
      <c r="AN32" s="52"/>
      <c r="AO32" s="53"/>
      <c r="AP32" s="54"/>
      <c r="AQ32" s="53"/>
    </row>
    <row r="33" spans="1:43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Q33" s="55"/>
      <c r="R33" s="55"/>
      <c r="S33" s="55"/>
      <c r="T33" s="55"/>
      <c r="U33" s="9"/>
      <c r="V33" s="9"/>
      <c r="AH33" s="279"/>
      <c r="AI33" s="279"/>
      <c r="AJ33" s="280"/>
      <c r="AK33" s="280"/>
      <c r="AL33" s="52"/>
      <c r="AM33" s="53"/>
      <c r="AN33" s="52"/>
      <c r="AO33" s="53"/>
      <c r="AP33" s="54"/>
      <c r="AQ33" s="53"/>
    </row>
    <row r="34" spans="1:43" ht="16.5" customHeight="1">
      <c r="A34" s="113" t="s">
        <v>44</v>
      </c>
      <c r="B34" s="114"/>
      <c r="C34" s="114"/>
      <c r="D34" s="115"/>
      <c r="E34" s="116"/>
      <c r="F34" s="116"/>
      <c r="G34" s="116"/>
      <c r="H34" s="62"/>
      <c r="I34" s="51"/>
      <c r="Q34" s="55"/>
      <c r="R34" s="55"/>
      <c r="S34" s="55"/>
      <c r="T34" s="55"/>
      <c r="U34" s="260"/>
      <c r="V34" s="260"/>
      <c r="AH34" s="279"/>
      <c r="AI34" s="279"/>
      <c r="AJ34" s="280"/>
      <c r="AK34" s="280"/>
      <c r="AL34" s="52"/>
      <c r="AM34" s="53"/>
      <c r="AN34" s="54"/>
      <c r="AO34" s="53"/>
      <c r="AP34" s="54"/>
      <c r="AQ34" s="53"/>
    </row>
    <row r="35" spans="1:43" ht="18" customHeight="1" thickBot="1">
      <c r="J35" s="58"/>
      <c r="Q35" s="219"/>
      <c r="R35" s="219"/>
      <c r="S35" s="219"/>
      <c r="T35" s="56"/>
      <c r="U35" s="261"/>
      <c r="V35" s="261"/>
      <c r="AH35" s="58"/>
      <c r="AI35" s="58"/>
      <c r="AJ35" s="58"/>
      <c r="AK35" s="58"/>
      <c r="AL35" s="52"/>
      <c r="AM35" s="53"/>
      <c r="AN35" s="54"/>
      <c r="AO35" s="53"/>
      <c r="AP35" s="54"/>
      <c r="AQ35" s="53"/>
    </row>
    <row r="36" spans="1:43" ht="18" customHeight="1">
      <c r="A36" s="221" t="s">
        <v>30</v>
      </c>
      <c r="B36" s="222"/>
      <c r="C36" s="222"/>
      <c r="D36" s="225"/>
      <c r="E36" s="226"/>
      <c r="F36" s="227"/>
      <c r="Q36" s="55"/>
      <c r="R36" s="55"/>
      <c r="S36" s="55"/>
      <c r="T36" s="55"/>
      <c r="U36" s="9"/>
      <c r="V36" s="9"/>
      <c r="AH36" s="58"/>
      <c r="AI36" s="58"/>
      <c r="AJ36" s="58"/>
      <c r="AK36" s="58"/>
      <c r="AL36" s="54"/>
      <c r="AM36" s="281"/>
      <c r="AN36" s="281"/>
      <c r="AO36" s="281"/>
      <c r="AP36" s="281"/>
      <c r="AQ36" s="281"/>
    </row>
    <row r="37" spans="1:43" ht="18" customHeight="1">
      <c r="A37" s="223"/>
      <c r="B37" s="224"/>
      <c r="C37" s="224"/>
      <c r="D37" s="228"/>
      <c r="E37" s="229"/>
      <c r="F37" s="230"/>
      <c r="Q37" s="55"/>
      <c r="R37" s="55"/>
      <c r="S37" s="55"/>
      <c r="T37" s="55"/>
      <c r="U37" s="256"/>
      <c r="V37" s="256"/>
    </row>
    <row r="38" spans="1:43" ht="13.5" customHeight="1">
      <c r="A38" s="231" t="s">
        <v>31</v>
      </c>
      <c r="B38" s="224"/>
      <c r="C38" s="224"/>
      <c r="D38" s="232"/>
      <c r="E38" s="233"/>
      <c r="F38" s="234"/>
      <c r="Q38" s="219"/>
      <c r="R38" s="219"/>
      <c r="S38" s="219"/>
      <c r="T38" s="56"/>
      <c r="U38" s="257"/>
      <c r="V38" s="257"/>
    </row>
    <row r="39" spans="1:43" ht="13.5" customHeight="1">
      <c r="A39" s="223"/>
      <c r="B39" s="224"/>
      <c r="C39" s="224"/>
      <c r="D39" s="228"/>
      <c r="E39" s="229"/>
      <c r="F39" s="230"/>
      <c r="Q39" s="55"/>
      <c r="R39" s="55"/>
      <c r="S39" s="55"/>
      <c r="T39" s="55"/>
    </row>
    <row r="40" spans="1:43" ht="13.5" customHeight="1">
      <c r="A40" s="231" t="s">
        <v>32</v>
      </c>
      <c r="B40" s="224"/>
      <c r="C40" s="224"/>
      <c r="D40" s="232"/>
      <c r="E40" s="233"/>
      <c r="F40" s="234"/>
      <c r="Q40" s="55"/>
      <c r="R40" s="55"/>
      <c r="S40" s="55"/>
      <c r="T40" s="55"/>
    </row>
    <row r="41" spans="1:43" ht="13.5" customHeight="1">
      <c r="A41" s="223"/>
      <c r="B41" s="224"/>
      <c r="C41" s="224"/>
      <c r="D41" s="228"/>
      <c r="E41" s="229"/>
      <c r="F41" s="230"/>
      <c r="Q41" s="55"/>
      <c r="R41" s="55"/>
      <c r="S41" s="55"/>
      <c r="T41" s="55"/>
    </row>
    <row r="42" spans="1:43" ht="13.5" customHeight="1">
      <c r="A42" s="231" t="s">
        <v>33</v>
      </c>
      <c r="B42" s="224"/>
      <c r="C42" s="224"/>
      <c r="D42" s="232" t="e">
        <f>IF(TtlGSD=0,0,ROUND(3600*D40/TtlGSD,0))</f>
        <v>#NAME?</v>
      </c>
      <c r="E42" s="233"/>
      <c r="F42" s="234"/>
    </row>
    <row r="43" spans="1:43" ht="13.5" customHeight="1">
      <c r="A43" s="223"/>
      <c r="B43" s="224"/>
      <c r="C43" s="224"/>
      <c r="D43" s="228"/>
      <c r="E43" s="229"/>
      <c r="F43" s="230"/>
    </row>
    <row r="44" spans="1:43">
      <c r="A44" s="231" t="s">
        <v>34</v>
      </c>
      <c r="B44" s="224"/>
      <c r="C44" s="224"/>
      <c r="D44" s="232" t="e">
        <f>ROUND(D42*D38,0)</f>
        <v>#NAME?</v>
      </c>
      <c r="E44" s="233"/>
      <c r="F44" s="234"/>
    </row>
    <row r="45" spans="1:43" ht="13.5" customHeight="1">
      <c r="A45" s="223"/>
      <c r="B45" s="224"/>
      <c r="C45" s="224"/>
      <c r="D45" s="228"/>
      <c r="E45" s="229"/>
      <c r="F45" s="230"/>
    </row>
    <row r="46" spans="1:43" ht="13.5" customHeight="1">
      <c r="A46" s="231" t="s">
        <v>35</v>
      </c>
      <c r="B46" s="224"/>
      <c r="C46" s="224"/>
      <c r="D46" s="232" t="e">
        <f>IF(D44=0,0,ROUND(D38*3600/D44,0))</f>
        <v>#NAME?</v>
      </c>
      <c r="E46" s="233"/>
      <c r="F46" s="234"/>
    </row>
    <row r="47" spans="1:43" ht="13.5" customHeight="1">
      <c r="A47" s="223"/>
      <c r="B47" s="224"/>
      <c r="C47" s="224"/>
      <c r="D47" s="228"/>
      <c r="E47" s="229"/>
      <c r="F47" s="230"/>
    </row>
    <row r="48" spans="1:43" ht="13.5" customHeight="1">
      <c r="A48" s="231" t="s">
        <v>22</v>
      </c>
      <c r="B48" s="224"/>
      <c r="C48" s="224"/>
      <c r="D48" s="232" t="e">
        <f>ROUND(3600/MaxTMS,2)</f>
        <v>#NAME?</v>
      </c>
      <c r="E48" s="233"/>
      <c r="F48" s="234"/>
    </row>
    <row r="49" spans="1:6" ht="13.5" customHeight="1">
      <c r="A49" s="223"/>
      <c r="B49" s="224"/>
      <c r="C49" s="224"/>
      <c r="D49" s="228"/>
      <c r="E49" s="229"/>
      <c r="F49" s="230"/>
    </row>
    <row r="50" spans="1:6" ht="13.5" customHeight="1">
      <c r="A50" s="231" t="s">
        <v>23</v>
      </c>
      <c r="B50" s="224"/>
      <c r="C50" s="224"/>
      <c r="D50" s="232" t="e">
        <f>TtlTMS</f>
        <v>#NAME?</v>
      </c>
      <c r="E50" s="233"/>
      <c r="F50" s="234"/>
    </row>
    <row r="51" spans="1:6" ht="13.5" customHeight="1">
      <c r="A51" s="223"/>
      <c r="B51" s="224"/>
      <c r="C51" s="224"/>
      <c r="D51" s="228"/>
      <c r="E51" s="229"/>
      <c r="F51" s="230"/>
    </row>
    <row r="52" spans="1:6" ht="13.5" customHeight="1">
      <c r="A52" s="231" t="s">
        <v>24</v>
      </c>
      <c r="B52" s="224"/>
      <c r="C52" s="224"/>
      <c r="D52" s="232" t="e">
        <f>TtlGSD</f>
        <v>#NAME?</v>
      </c>
      <c r="E52" s="233"/>
      <c r="F52" s="234"/>
    </row>
    <row r="53" spans="1:6" ht="13.5" customHeight="1">
      <c r="A53" s="223"/>
      <c r="B53" s="224"/>
      <c r="C53" s="224"/>
      <c r="D53" s="228"/>
      <c r="E53" s="229"/>
      <c r="F53" s="230"/>
    </row>
    <row r="54" spans="1:6">
      <c r="A54" s="231" t="s">
        <v>25</v>
      </c>
      <c r="B54" s="224"/>
      <c r="C54" s="224"/>
      <c r="D54" s="238" t="e">
        <f>IF(D52=0,0,(D52-D50)/D52)</f>
        <v>#NAME?</v>
      </c>
      <c r="E54" s="239"/>
      <c r="F54" s="240"/>
    </row>
    <row r="55" spans="1:6">
      <c r="A55" s="223"/>
      <c r="B55" s="224"/>
      <c r="C55" s="224"/>
      <c r="D55" s="241"/>
      <c r="E55" s="242"/>
      <c r="F55" s="243"/>
    </row>
    <row r="56" spans="1:6">
      <c r="A56" s="231" t="s">
        <v>26</v>
      </c>
      <c r="B56" s="224"/>
      <c r="C56" s="224"/>
      <c r="D56" s="238" t="e">
        <f>IF(OR(D40=0,MaxTMS=0),0,D50/MaxTMS/D40)</f>
        <v>#NAME?</v>
      </c>
      <c r="E56" s="239"/>
      <c r="F56" s="240"/>
    </row>
    <row r="57" spans="1:6">
      <c r="A57" s="223"/>
      <c r="B57" s="224"/>
      <c r="C57" s="224"/>
      <c r="D57" s="241"/>
      <c r="E57" s="242"/>
      <c r="F57" s="243"/>
    </row>
    <row r="58" spans="1:6" ht="16.5" customHeight="1">
      <c r="A58" s="231" t="s">
        <v>27</v>
      </c>
      <c r="B58" s="224"/>
      <c r="C58" s="224"/>
      <c r="D58" s="238" t="e">
        <f>IF(OR(D46=0,D40=0),0,D50/D46/D40)</f>
        <v>#NAME?</v>
      </c>
      <c r="E58" s="239"/>
      <c r="F58" s="240"/>
    </row>
    <row r="59" spans="1:6" ht="16.5" customHeight="1">
      <c r="A59" s="223"/>
      <c r="B59" s="224"/>
      <c r="C59" s="224"/>
      <c r="D59" s="241"/>
      <c r="E59" s="242"/>
      <c r="F59" s="243"/>
    </row>
    <row r="60" spans="1:6" ht="16.5" customHeight="1">
      <c r="A60" s="231" t="s">
        <v>28</v>
      </c>
      <c r="B60" s="224"/>
      <c r="C60" s="224"/>
      <c r="D60" s="238" t="e">
        <f>IF(OR(MaxTMS=0,D40=0),0,D52/MaxTMS/D40)</f>
        <v>#NAME?</v>
      </c>
      <c r="E60" s="239"/>
      <c r="F60" s="240"/>
    </row>
    <row r="61" spans="1:6" ht="16.5" customHeight="1">
      <c r="A61" s="223"/>
      <c r="B61" s="224"/>
      <c r="C61" s="224"/>
      <c r="D61" s="241"/>
      <c r="E61" s="242"/>
      <c r="F61" s="243"/>
    </row>
    <row r="62" spans="1:6" ht="16.5" customHeight="1">
      <c r="A62" s="231" t="s">
        <v>29</v>
      </c>
      <c r="B62" s="224"/>
      <c r="C62" s="224"/>
      <c r="D62" s="246" t="e">
        <f>IF(OR(MaxTMS=0,D40=0),0,ROUND(3600/MaxTMS,2)*F9/D40)</f>
        <v>#NAME?</v>
      </c>
      <c r="E62" s="247"/>
      <c r="F62" s="248"/>
    </row>
    <row r="63" spans="1:6" ht="16.5" customHeight="1" thickBot="1">
      <c r="A63" s="244"/>
      <c r="B63" s="245"/>
      <c r="C63" s="245"/>
      <c r="D63" s="249"/>
      <c r="E63" s="250"/>
      <c r="F63" s="25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74" t="s">
        <v>15</v>
      </c>
      <c r="B92" s="274"/>
      <c r="C92" s="274"/>
      <c r="D92" s="31"/>
      <c r="E92" s="275" t="s">
        <v>54</v>
      </c>
      <c r="F92" s="275"/>
      <c r="G92" s="275"/>
      <c r="H92" s="275"/>
      <c r="I92" s="275"/>
      <c r="J92" s="276" t="s">
        <v>16</v>
      </c>
      <c r="K92" s="276"/>
    </row>
    <row r="93" spans="1:11" ht="20.25">
      <c r="A93" s="262"/>
      <c r="B93" s="263"/>
      <c r="C93" s="264"/>
      <c r="D93" s="30"/>
      <c r="E93" s="270"/>
      <c r="F93" s="270"/>
      <c r="G93" s="270"/>
      <c r="H93" s="270"/>
      <c r="I93" s="270"/>
      <c r="J93" s="271"/>
      <c r="K93" s="271"/>
    </row>
    <row r="94" spans="1:11" ht="20.25">
      <c r="A94" s="262"/>
      <c r="B94" s="263"/>
      <c r="C94" s="264"/>
      <c r="D94" s="30"/>
      <c r="E94" s="270"/>
      <c r="F94" s="270"/>
      <c r="G94" s="270"/>
      <c r="H94" s="270"/>
      <c r="I94" s="270"/>
      <c r="J94" s="271"/>
      <c r="K94" s="271"/>
    </row>
    <row r="95" spans="1:11" ht="20.25">
      <c r="A95" s="262"/>
      <c r="B95" s="263"/>
      <c r="C95" s="264"/>
      <c r="D95" s="30"/>
      <c r="E95" s="270"/>
      <c r="F95" s="270"/>
      <c r="G95" s="270"/>
      <c r="H95" s="270"/>
      <c r="I95" s="270"/>
      <c r="J95" s="271"/>
      <c r="K95" s="271"/>
    </row>
    <row r="96" spans="1:11" ht="20.25">
      <c r="A96" s="262"/>
      <c r="B96" s="263"/>
      <c r="C96" s="264"/>
      <c r="D96" s="30"/>
      <c r="E96" s="270"/>
      <c r="F96" s="270"/>
      <c r="G96" s="270"/>
      <c r="H96" s="270"/>
      <c r="I96" s="270"/>
      <c r="J96" s="271"/>
      <c r="K96" s="271"/>
    </row>
    <row r="97" spans="1:11" ht="20.25">
      <c r="A97" s="262"/>
      <c r="B97" s="263"/>
      <c r="C97" s="264"/>
      <c r="D97" s="30"/>
      <c r="E97" s="270"/>
      <c r="F97" s="270"/>
      <c r="G97" s="270"/>
      <c r="H97" s="270"/>
      <c r="I97" s="270"/>
      <c r="J97" s="271"/>
      <c r="K97" s="271"/>
    </row>
    <row r="98" spans="1:11" ht="20.25">
      <c r="A98" s="262"/>
      <c r="B98" s="263"/>
      <c r="C98" s="264"/>
      <c r="D98" s="30"/>
      <c r="E98" s="270"/>
      <c r="F98" s="270"/>
      <c r="G98" s="270"/>
      <c r="H98" s="270"/>
      <c r="I98" s="270"/>
      <c r="J98" s="271"/>
      <c r="K98" s="271"/>
    </row>
    <row r="99" spans="1:11" ht="20.25">
      <c r="A99" s="262"/>
      <c r="B99" s="263"/>
      <c r="C99" s="264"/>
      <c r="D99" s="33"/>
      <c r="E99" s="265"/>
      <c r="F99" s="266"/>
      <c r="G99" s="266"/>
      <c r="H99" s="266"/>
      <c r="I99" s="267"/>
      <c r="J99" s="268"/>
      <c r="K99" s="269"/>
    </row>
    <row r="100" spans="1:11" ht="20.25">
      <c r="A100" s="262"/>
      <c r="B100" s="263"/>
      <c r="C100" s="264"/>
      <c r="D100" s="33"/>
      <c r="E100" s="265"/>
      <c r="F100" s="266"/>
      <c r="G100" s="266"/>
      <c r="H100" s="266"/>
      <c r="I100" s="267"/>
      <c r="J100" s="268"/>
      <c r="K100" s="269"/>
    </row>
    <row r="101" spans="1:11" ht="20.25">
      <c r="A101" s="262"/>
      <c r="B101" s="263"/>
      <c r="C101" s="264"/>
      <c r="D101" s="33"/>
      <c r="E101" s="265"/>
      <c r="F101" s="266"/>
      <c r="G101" s="266"/>
      <c r="H101" s="266"/>
      <c r="I101" s="267"/>
      <c r="J101" s="268"/>
      <c r="K101" s="269"/>
    </row>
    <row r="102" spans="1:11" ht="20.25">
      <c r="A102" s="262"/>
      <c r="B102" s="263"/>
      <c r="C102" s="264"/>
      <c r="D102" s="33"/>
      <c r="E102" s="265"/>
      <c r="F102" s="266"/>
      <c r="G102" s="266"/>
      <c r="H102" s="266"/>
      <c r="I102" s="267"/>
      <c r="J102" s="268"/>
      <c r="K102" s="269"/>
    </row>
  </sheetData>
  <mergeCells count="139"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T19:V19"/>
    <mergeCell ref="T20:V20"/>
    <mergeCell ref="T21:V21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已命名的範圍</vt:lpstr>
      </vt:variant>
      <vt:variant>
        <vt:i4>2</vt:i4>
      </vt:variant>
    </vt:vector>
  </HeadingPairs>
  <TitlesOfParts>
    <vt:vector size="15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J1-6705</cp:lastModifiedBy>
  <cp:lastPrinted>2017-03-10T02:00:17Z</cp:lastPrinted>
  <dcterms:created xsi:type="dcterms:W3CDTF">2016-01-18T12:26:28Z</dcterms:created>
  <dcterms:modified xsi:type="dcterms:W3CDTF">2023-10-02T06:33:29Z</dcterms:modified>
</cp:coreProperties>
</file>