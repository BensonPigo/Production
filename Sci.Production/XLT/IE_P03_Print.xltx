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165" windowWidth="20475" windowHeight="9720"/>
  </bookViews>
  <sheets>
    <sheet name="Operation" sheetId="1" r:id="rId1"/>
    <sheet name="Line Mapping" sheetId="9" r:id="rId2"/>
    <sheet name="Cycle Time" sheetId="3" r:id="rId3"/>
    <sheet name="GCtime" sheetId="4" r:id="rId4"/>
    <sheet name="Line Mapping2" sheetId="10" r:id="rId5"/>
    <sheet name="Cycle Time_2" sheetId="6" r:id="rId6"/>
    <sheet name="GCtime_2" sheetId="7" r:id="rId7"/>
  </sheets>
  <definedNames>
    <definedName name="_xlnm._FilterDatabase" localSheetId="0" hidden="1">Operation!$A$5:$G$5</definedName>
  </definedNames>
  <calcPr calcId="144525"/>
  <fileRecoveryPr autoRecover="0"/>
</workbook>
</file>

<file path=xl/calcChain.xml><?xml version="1.0" encoding="utf-8"?>
<calcChain xmlns="http://schemas.openxmlformats.org/spreadsheetml/2006/main">
  <c r="E1" i="6" l="1"/>
  <c r="D82" i="10" l="1"/>
  <c r="D80" i="10"/>
  <c r="D76" i="10"/>
  <c r="D72" i="10"/>
  <c r="D74" i="10" s="1"/>
  <c r="D70" i="10"/>
  <c r="D68" i="10"/>
  <c r="D64" i="10"/>
  <c r="D66" i="10" s="1"/>
  <c r="D78" i="10" s="1"/>
  <c r="D62" i="10"/>
  <c r="B53" i="10"/>
  <c r="B52" i="10"/>
  <c r="B51" i="10"/>
  <c r="J42" i="10"/>
  <c r="H42" i="10"/>
  <c r="F42" i="10"/>
  <c r="J41" i="10"/>
  <c r="H41" i="10"/>
  <c r="F41" i="10"/>
  <c r="J40" i="10"/>
  <c r="H40" i="10"/>
  <c r="F40" i="10"/>
  <c r="C40" i="10"/>
  <c r="J39" i="10"/>
  <c r="H39" i="10"/>
  <c r="F39" i="10"/>
  <c r="J38" i="10"/>
  <c r="H38" i="10"/>
  <c r="F38" i="10"/>
  <c r="F43" i="10" s="1"/>
  <c r="C38" i="10"/>
  <c r="Y19" i="10"/>
  <c r="A19" i="10"/>
  <c r="X17" i="10"/>
  <c r="W17" i="10"/>
  <c r="Y17" i="10" s="1"/>
  <c r="C17" i="10"/>
  <c r="B17" i="10"/>
  <c r="A17" i="10"/>
  <c r="D82" i="9" l="1"/>
  <c r="D80" i="9"/>
  <c r="D76" i="9"/>
  <c r="D72" i="9"/>
  <c r="D74" i="9" s="1"/>
  <c r="D70" i="9"/>
  <c r="D68" i="9"/>
  <c r="D62" i="9"/>
  <c r="D64" i="9" s="1"/>
  <c r="D66" i="9" s="1"/>
  <c r="B53" i="9"/>
  <c r="B52" i="9"/>
  <c r="B51" i="9"/>
  <c r="J42" i="9"/>
  <c r="H42" i="9"/>
  <c r="F42" i="9"/>
  <c r="J41" i="9"/>
  <c r="H41" i="9"/>
  <c r="F41" i="9"/>
  <c r="J40" i="9"/>
  <c r="H40" i="9"/>
  <c r="F40" i="9"/>
  <c r="C40" i="9"/>
  <c r="J39" i="9"/>
  <c r="H39" i="9"/>
  <c r="F39" i="9"/>
  <c r="J38" i="9"/>
  <c r="H38" i="9"/>
  <c r="F38" i="9"/>
  <c r="C38" i="9"/>
  <c r="X17" i="9"/>
  <c r="Y19" i="9" s="1"/>
  <c r="W17" i="9"/>
  <c r="Y17" i="9" s="1"/>
  <c r="C17" i="9"/>
  <c r="A17" i="9" s="1"/>
  <c r="B17" i="9"/>
  <c r="A19" i="9" s="1"/>
  <c r="D78" i="9" l="1"/>
  <c r="E1" i="3"/>
  <c r="F43" i="9"/>
</calcChain>
</file>

<file path=xl/sharedStrings.xml><?xml version="1.0" encoding="utf-8"?>
<sst xmlns="http://schemas.openxmlformats.org/spreadsheetml/2006/main" count="130" uniqueCount="62">
  <si>
    <t>Machine Type</t>
  </si>
  <si>
    <t>INLINE DATE</t>
  </si>
  <si>
    <t>STYLE</t>
  </si>
  <si>
    <t>GSD</t>
  </si>
  <si>
    <t/>
  </si>
  <si>
    <t>Style</t>
  </si>
  <si>
    <t>#Style</t>
  </si>
  <si>
    <t>Type</t>
  </si>
  <si>
    <t>No</t>
  </si>
  <si>
    <t>Operation</t>
  </si>
  <si>
    <t>time</t>
  </si>
  <si>
    <t xml:space="preserve"> FACTORY</t>
  </si>
  <si>
    <t>LINE/SHIFT</t>
  </si>
  <si>
    <r>
      <t xml:space="preserve">PMS </t>
    </r>
    <r>
      <rPr>
        <b/>
        <sz val="9"/>
        <color indexed="9"/>
        <rFont val="Tahoma"/>
        <family val="2"/>
      </rPr>
      <t>CPU/pc</t>
    </r>
  </si>
  <si>
    <t>EFT%</t>
  </si>
  <si>
    <t>TMS</t>
  </si>
  <si>
    <t>Operator Name</t>
  </si>
  <si>
    <t>Operation</t>
    <phoneticPr fontId="1" type="noConversion"/>
  </si>
  <si>
    <t>PPA Operation Description</t>
  </si>
  <si>
    <t>Machine Type</t>
    <phoneticPr fontId="1" type="noConversion"/>
  </si>
  <si>
    <t xml:space="preserve">Total </t>
  </si>
  <si>
    <t>MACHINE</t>
    <phoneticPr fontId="1" type="noConversion"/>
  </si>
  <si>
    <t>Template</t>
  </si>
  <si>
    <t>Qty</t>
  </si>
  <si>
    <t>Technician's Signature / Date</t>
    <phoneticPr fontId="1" type="noConversion"/>
  </si>
  <si>
    <t>Act Cycle Time</t>
    <phoneticPr fontId="1" type="noConversion"/>
  </si>
  <si>
    <t>Takt time</t>
  </si>
  <si>
    <t>Operator No</t>
    <phoneticPr fontId="1" type="noConversion"/>
  </si>
  <si>
    <t>TotalGSD</t>
    <phoneticPr fontId="1" type="noConversion"/>
  </si>
  <si>
    <t>TotalCycle</t>
  </si>
  <si>
    <t>EOLR</t>
  </si>
  <si>
    <t>TOTAL CYCLE TIME</t>
  </si>
  <si>
    <t>TOTAL GSD TIME</t>
  </si>
  <si>
    <t>% DIFF GSD vs ACTUAL</t>
  </si>
  <si>
    <t>LINE BALANCING RATIO</t>
  </si>
  <si>
    <t>LLER</t>
  </si>
  <si>
    <t>EFFICIENCY</t>
  </si>
  <si>
    <t>PPH</t>
  </si>
  <si>
    <t>LINE MAP NO.</t>
    <phoneticPr fontId="1" type="noConversion"/>
  </si>
  <si>
    <t>WORKING HRS PER SHIFT</t>
    <phoneticPr fontId="1" type="noConversion"/>
  </si>
  <si>
    <t>CURRENT OPERATORS</t>
    <phoneticPr fontId="1" type="noConversion"/>
  </si>
  <si>
    <t>TARGET / HR</t>
    <phoneticPr fontId="1" type="noConversion"/>
  </si>
  <si>
    <t>DAILY TARGET / SHIFT</t>
    <phoneticPr fontId="1" type="noConversion"/>
  </si>
  <si>
    <t>TAKT TIME</t>
    <phoneticPr fontId="1" type="noConversion"/>
  </si>
  <si>
    <t>Cycle Time</t>
    <phoneticPr fontId="1" type="noConversion"/>
  </si>
  <si>
    <t>#FtyNameEN</t>
    <phoneticPr fontId="1" type="noConversion"/>
  </si>
  <si>
    <t>Attachment</t>
    <phoneticPr fontId="1" type="noConversion"/>
  </si>
  <si>
    <t>Template</t>
    <phoneticPr fontId="1" type="noConversion"/>
  </si>
  <si>
    <t>No</t>
    <phoneticPr fontId="1" type="noConversion"/>
  </si>
  <si>
    <t>MACHINE INVENTORY</t>
    <phoneticPr fontId="1" type="noConversion"/>
  </si>
  <si>
    <t>Attachment</t>
    <phoneticPr fontId="1" type="noConversion"/>
  </si>
  <si>
    <t>OperationID</t>
    <phoneticPr fontId="1" type="noConversion"/>
  </si>
  <si>
    <t>PRINT DATE</t>
    <phoneticPr fontId="1" type="noConversion"/>
  </si>
  <si>
    <t>PRINT BY</t>
    <phoneticPr fontId="1" type="noConversion"/>
  </si>
  <si>
    <t>CHECKED BY</t>
    <phoneticPr fontId="1" type="noConversion"/>
  </si>
  <si>
    <t>APPROVED BY</t>
    <phoneticPr fontId="1" type="noConversion"/>
  </si>
  <si>
    <t>Thread Color</t>
    <phoneticPr fontId="1" type="noConversion"/>
  </si>
  <si>
    <t>Act Cycle Time(average)</t>
    <phoneticPr fontId="1" type="noConversion"/>
  </si>
  <si>
    <t>ST/MC type</t>
    <phoneticPr fontId="1" type="noConversion"/>
  </si>
  <si>
    <t>Machine Group</t>
    <phoneticPr fontId="1" type="noConversion"/>
  </si>
  <si>
    <t>ST/MC type</t>
    <phoneticPr fontId="1" type="noConversion"/>
  </si>
  <si>
    <t>Machine Group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</si>
</sst>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.00_);[Red]\(0.00\)"/>
    <numFmt numFmtId="179" formatCode="0.000_);[Red]\(0.000\)"/>
    <numFmt numFmtId="180" formatCode="0_);[Red]\(0\)"/>
    <numFmt numFmtId="181" formatCode="0.00_ "/>
  </numFmts>
  <fonts count="4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b/>
      <sz val="16"/>
      <color indexed="8"/>
      <name val="Arial"/>
      <family val="2"/>
    </font>
    <font>
      <sz val="10"/>
      <name val="Helv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sz val="12"/>
      <name val="VNI-Times"/>
      <family val="2"/>
    </font>
    <font>
      <b/>
      <sz val="14"/>
      <color indexed="8"/>
      <name val="Arial"/>
      <family val="2"/>
    </font>
    <font>
      <b/>
      <sz val="12"/>
      <color indexed="63"/>
      <name val="Arial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0"/>
      <name val="Tahoma"/>
      <family val="2"/>
    </font>
    <font>
      <b/>
      <sz val="9"/>
      <color indexed="9"/>
      <name val="Tahoma"/>
      <family val="2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0"/>
      <color indexed="22"/>
      <name val="Tahoma"/>
      <family val="2"/>
    </font>
    <font>
      <b/>
      <sz val="10"/>
      <color indexed="22"/>
      <name val="Tahoma"/>
      <family val="2"/>
    </font>
    <font>
      <sz val="10"/>
      <color indexed="55"/>
      <name val="Tahoma"/>
      <family val="2"/>
    </font>
    <font>
      <sz val="11"/>
      <color indexed="22"/>
      <name val="Tahoma"/>
      <family val="2"/>
    </font>
    <font>
      <b/>
      <sz val="11"/>
      <color indexed="62"/>
      <name val="Tahoma"/>
      <family val="2"/>
    </font>
    <font>
      <sz val="16"/>
      <color indexed="18"/>
      <name val="Tahoma"/>
      <family val="2"/>
    </font>
    <font>
      <b/>
      <sz val="14"/>
      <color indexed="9"/>
      <name val="Tahoma"/>
      <family val="2"/>
    </font>
    <font>
      <b/>
      <sz val="18"/>
      <name val="Tahoma"/>
      <family val="2"/>
    </font>
    <font>
      <b/>
      <sz val="14"/>
      <name val="Tahoma"/>
      <family val="2"/>
    </font>
    <font>
      <b/>
      <sz val="18"/>
      <color indexed="18"/>
      <name val="Tahoma"/>
      <family val="2"/>
    </font>
    <font>
      <sz val="14"/>
      <name val="Arial"/>
      <family val="2"/>
    </font>
    <font>
      <sz val="12"/>
      <name val="Arial"/>
      <family val="2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2"/>
      <color theme="1"/>
      <name val="Tahoma"/>
      <family val="2"/>
    </font>
    <font>
      <sz val="16"/>
      <name val="Arial"/>
      <family val="2"/>
    </font>
    <font>
      <sz val="11"/>
      <name val="Tahoma"/>
      <family val="2"/>
    </font>
    <font>
      <sz val="12"/>
      <name val="新細明體"/>
      <family val="2"/>
      <charset val="136"/>
      <scheme val="minor"/>
    </font>
    <font>
      <b/>
      <sz val="10"/>
      <name val="Tahoma"/>
      <family val="2"/>
    </font>
    <font>
      <b/>
      <sz val="18"/>
      <color theme="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4"/>
        <bgColor indexed="64"/>
      </patternFill>
    </fill>
  </fills>
  <borders count="8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9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30">
    <xf numFmtId="0" fontId="0" fillId="0" borderId="0">
      <alignment vertical="center"/>
    </xf>
    <xf numFmtId="0" fontId="2" fillId="0" borderId="0"/>
    <xf numFmtId="0" fontId="3" fillId="0" borderId="0"/>
    <xf numFmtId="0" fontId="9" fillId="0" borderId="0">
      <alignment vertical="top"/>
    </xf>
    <xf numFmtId="0" fontId="8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vertical="center"/>
    </xf>
    <xf numFmtId="0" fontId="3" fillId="0" borderId="0"/>
    <xf numFmtId="177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</cellStyleXfs>
  <cellXfs count="241">
    <xf numFmtId="0" fontId="0" fillId="0" borderId="0" xfId="0">
      <alignment vertical="center"/>
    </xf>
    <xf numFmtId="0" fontId="7" fillId="3" borderId="0" xfId="23" applyNumberFormat="1" applyFont="1" applyFill="1" applyAlignment="1">
      <alignment horizontal="left"/>
    </xf>
    <xf numFmtId="49" fontId="7" fillId="3" borderId="0" xfId="23" applyNumberFormat="1" applyFont="1" applyFill="1" applyAlignment="1"/>
    <xf numFmtId="49" fontId="16" fillId="3" borderId="0" xfId="0" applyNumberFormat="1" applyFont="1" applyFill="1" applyAlignment="1">
      <alignment horizontal="center" vertical="center" wrapText="1"/>
    </xf>
    <xf numFmtId="178" fontId="16" fillId="3" borderId="0" xfId="0" applyNumberFormat="1" applyFont="1" applyFill="1" applyAlignment="1">
      <alignment horizontal="center" vertical="center"/>
    </xf>
    <xf numFmtId="49" fontId="17" fillId="3" borderId="0" xfId="0" applyNumberFormat="1" applyFont="1" applyFill="1" applyAlignment="1">
      <alignment vertical="center" wrapText="1"/>
    </xf>
    <xf numFmtId="49" fontId="18" fillId="3" borderId="0" xfId="0" applyNumberFormat="1" applyFont="1" applyFill="1" applyAlignment="1">
      <alignment horizontal="center" vertical="center"/>
    </xf>
    <xf numFmtId="0" fontId="18" fillId="3" borderId="0" xfId="0" applyFont="1" applyFill="1">
      <alignment vertical="center"/>
    </xf>
    <xf numFmtId="0" fontId="4" fillId="3" borderId="45" xfId="23" applyNumberFormat="1" applyFont="1" applyFill="1" applyBorder="1" applyAlignment="1">
      <alignment horizontal="center" vertical="center" wrapText="1"/>
    </xf>
    <xf numFmtId="49" fontId="12" fillId="3" borderId="46" xfId="23" applyNumberFormat="1" applyFont="1" applyFill="1" applyBorder="1" applyAlignment="1">
      <alignment horizontal="center" vertical="center" wrapText="1"/>
    </xf>
    <xf numFmtId="49" fontId="10" fillId="3" borderId="46" xfId="23" applyNumberFormat="1" applyFont="1" applyFill="1" applyBorder="1" applyAlignment="1">
      <alignment horizontal="center" vertical="center" wrapText="1"/>
    </xf>
    <xf numFmtId="49" fontId="4" fillId="3" borderId="46" xfId="23" applyNumberFormat="1" applyFont="1" applyFill="1" applyBorder="1" applyAlignment="1">
      <alignment horizontal="center" vertical="center" wrapText="1"/>
    </xf>
    <xf numFmtId="178" fontId="13" fillId="3" borderId="47" xfId="23" applyNumberFormat="1" applyFont="1" applyFill="1" applyBorder="1" applyAlignment="1">
      <alignment horizontal="center" vertical="center" wrapText="1"/>
    </xf>
    <xf numFmtId="0" fontId="16" fillId="3" borderId="0" xfId="0" applyNumberFormat="1" applyFont="1" applyFill="1" applyAlignment="1">
      <alignment horizontal="center" vertical="center" wrapText="1"/>
    </xf>
    <xf numFmtId="49" fontId="18" fillId="3" borderId="0" xfId="0" applyNumberFormat="1" applyFont="1" applyFill="1" applyAlignment="1">
      <alignment vertical="center" wrapText="1"/>
    </xf>
    <xf numFmtId="0" fontId="0" fillId="3" borderId="0" xfId="0" applyFill="1">
      <alignment vertical="center"/>
    </xf>
    <xf numFmtId="0" fontId="3" fillId="3" borderId="0" xfId="23" applyFill="1"/>
    <xf numFmtId="0" fontId="39" fillId="3" borderId="0" xfId="0" applyFont="1" applyFill="1">
      <alignment vertical="center"/>
    </xf>
    <xf numFmtId="0" fontId="40" fillId="3" borderId="0" xfId="1" applyFont="1" applyFill="1" applyBorder="1" applyAlignment="1">
      <alignment vertical="center"/>
    </xf>
    <xf numFmtId="0" fontId="35" fillId="3" borderId="0" xfId="1" applyFont="1" applyFill="1" applyBorder="1" applyAlignment="1" applyProtection="1">
      <alignment vertical="center"/>
    </xf>
    <xf numFmtId="0" fontId="36" fillId="3" borderId="0" xfId="1" applyFont="1" applyFill="1" applyBorder="1" applyAlignment="1">
      <alignment vertical="center"/>
    </xf>
    <xf numFmtId="0" fontId="36" fillId="3" borderId="0" xfId="1" applyFont="1" applyFill="1" applyBorder="1" applyProtection="1"/>
    <xf numFmtId="180" fontId="21" fillId="0" borderId="34" xfId="23" applyNumberFormat="1" applyFont="1" applyBorder="1" applyAlignment="1" applyProtection="1">
      <alignment horizontal="center" vertical="center" wrapText="1"/>
      <protection locked="0"/>
    </xf>
    <xf numFmtId="180" fontId="28" fillId="0" borderId="34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49" xfId="23" applyNumberFormat="1" applyFont="1" applyBorder="1" applyAlignment="1" applyProtection="1">
      <alignment horizontal="center" vertical="center" wrapText="1"/>
      <protection locked="0"/>
    </xf>
    <xf numFmtId="180" fontId="26" fillId="0" borderId="49" xfId="23" applyNumberFormat="1" applyFont="1" applyBorder="1" applyAlignment="1" applyProtection="1">
      <alignment horizontal="center" vertical="center" wrapText="1"/>
      <protection locked="0"/>
    </xf>
    <xf numFmtId="0" fontId="38" fillId="5" borderId="48" xfId="23" applyFont="1" applyFill="1" applyBorder="1" applyAlignment="1">
      <alignment horizontal="center"/>
    </xf>
    <xf numFmtId="0" fontId="37" fillId="7" borderId="48" xfId="23" applyFont="1" applyFill="1" applyBorder="1" applyAlignment="1">
      <alignment horizontal="center"/>
    </xf>
    <xf numFmtId="0" fontId="0" fillId="0" borderId="26" xfId="0" applyFill="1" applyBorder="1">
      <alignment vertical="center"/>
    </xf>
    <xf numFmtId="0" fontId="0" fillId="0" borderId="71" xfId="0" applyFill="1" applyBorder="1">
      <alignment vertical="center"/>
    </xf>
    <xf numFmtId="0" fontId="0" fillId="0" borderId="24" xfId="0" applyFill="1" applyBorder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8" fontId="13" fillId="3" borderId="48" xfId="23" applyNumberFormat="1" applyFont="1" applyFill="1" applyBorder="1" applyAlignment="1">
      <alignment horizontal="center" vertical="center" wrapText="1"/>
    </xf>
    <xf numFmtId="180" fontId="41" fillId="0" borderId="33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3" xfId="23" applyNumberFormat="1" applyFont="1" applyBorder="1" applyAlignment="1" applyProtection="1">
      <alignment horizontal="center" vertical="center" wrapText="1"/>
      <protection locked="0"/>
    </xf>
    <xf numFmtId="0" fontId="34" fillId="0" borderId="34" xfId="23" applyFont="1" applyFill="1" applyBorder="1" applyAlignment="1" applyProtection="1">
      <alignment horizontal="center" vertical="center" wrapText="1"/>
      <protection hidden="1"/>
    </xf>
    <xf numFmtId="0" fontId="34" fillId="0" borderId="52" xfId="23" applyFont="1" applyFill="1" applyBorder="1" applyAlignment="1" applyProtection="1">
      <alignment horizontal="center" vertical="center" wrapText="1"/>
      <protection hidden="1"/>
    </xf>
    <xf numFmtId="0" fontId="34" fillId="0" borderId="74" xfId="23" applyFont="1" applyFill="1" applyBorder="1" applyAlignment="1" applyProtection="1">
      <alignment horizontal="center" vertical="center" wrapText="1"/>
      <protection hidden="1"/>
    </xf>
    <xf numFmtId="0" fontId="34" fillId="0" borderId="49" xfId="23" applyFont="1" applyFill="1" applyBorder="1" applyAlignment="1" applyProtection="1">
      <alignment horizontal="center" vertical="center" wrapText="1"/>
      <protection hidden="1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34" fillId="0" borderId="33" xfId="23" applyFont="1" applyFill="1" applyBorder="1" applyAlignment="1" applyProtection="1">
      <alignment horizontal="center" vertical="center" wrapText="1"/>
      <protection hidden="1"/>
    </xf>
    <xf numFmtId="0" fontId="34" fillId="0" borderId="53" xfId="23" applyFont="1" applyFill="1" applyBorder="1" applyAlignment="1" applyProtection="1">
      <alignment horizontal="center" vertical="center" wrapText="1"/>
      <protection hidden="1"/>
    </xf>
    <xf numFmtId="0" fontId="19" fillId="3" borderId="0" xfId="23" applyFont="1" applyFill="1" applyBorder="1" applyAlignment="1" applyProtection="1">
      <alignment horizontal="center" vertical="center"/>
      <protection locked="0"/>
    </xf>
    <xf numFmtId="0" fontId="3" fillId="3" borderId="0" xfId="23" applyFill="1" applyBorder="1"/>
    <xf numFmtId="180" fontId="41" fillId="0" borderId="50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4" xfId="23" applyNumberFormat="1" applyFont="1" applyBorder="1" applyAlignment="1" applyProtection="1">
      <alignment horizontal="center" vertical="center" wrapText="1"/>
      <protection locked="0"/>
    </xf>
    <xf numFmtId="180" fontId="41" fillId="0" borderId="51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5" xfId="23" applyNumberFormat="1" applyFont="1" applyBorder="1" applyAlignment="1" applyProtection="1">
      <alignment horizontal="center" vertical="center" wrapText="1"/>
      <protection locked="0"/>
    </xf>
    <xf numFmtId="0" fontId="17" fillId="3" borderId="73" xfId="0" applyFont="1" applyFill="1" applyBorder="1" applyAlignment="1">
      <alignment horizontal="center" vertical="center"/>
    </xf>
    <xf numFmtId="0" fontId="17" fillId="3" borderId="48" xfId="0" applyFont="1" applyFill="1" applyBorder="1" applyAlignment="1">
      <alignment horizontal="center" vertical="center"/>
    </xf>
    <xf numFmtId="0" fontId="30" fillId="0" borderId="74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3" xfId="0" applyBorder="1" applyAlignment="1">
      <alignment horizontal="left" vertical="center" wrapText="1"/>
    </xf>
    <xf numFmtId="0" fontId="37" fillId="7" borderId="48" xfId="23" applyNumberFormat="1" applyFont="1" applyFill="1" applyBorder="1" applyAlignment="1">
      <alignment horizontal="center"/>
    </xf>
    <xf numFmtId="0" fontId="37" fillId="6" borderId="48" xfId="23" applyFont="1" applyFill="1" applyBorder="1" applyAlignment="1">
      <alignment horizontal="center"/>
    </xf>
    <xf numFmtId="0" fontId="30" fillId="0" borderId="74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3" xfId="0" applyBorder="1" applyAlignment="1">
      <alignment horizontal="left" vertical="center" wrapText="1"/>
    </xf>
    <xf numFmtId="0" fontId="17" fillId="3" borderId="48" xfId="0" applyFont="1" applyFill="1" applyBorder="1" applyAlignment="1">
      <alignment horizontal="center" vertical="center"/>
    </xf>
    <xf numFmtId="0" fontId="17" fillId="3" borderId="73" xfId="0" applyFont="1" applyFill="1" applyBorder="1" applyAlignment="1">
      <alignment horizontal="center" vertical="center"/>
    </xf>
    <xf numFmtId="0" fontId="37" fillId="6" borderId="48" xfId="23" applyFont="1" applyFill="1" applyBorder="1" applyAlignment="1">
      <alignment horizontal="center"/>
    </xf>
    <xf numFmtId="0" fontId="37" fillId="7" borderId="48" xfId="23" applyNumberFormat="1" applyFont="1" applyFill="1" applyBorder="1" applyAlignment="1">
      <alignment horizontal="center"/>
    </xf>
    <xf numFmtId="0" fontId="7" fillId="3" borderId="0" xfId="23" applyFont="1" applyFill="1" applyAlignment="1">
      <alignment horizontal="center"/>
    </xf>
    <xf numFmtId="0" fontId="20" fillId="4" borderId="79" xfId="23" applyFont="1" applyFill="1" applyBorder="1" applyAlignment="1" applyProtection="1">
      <alignment horizontal="center" vertical="center" wrapText="1"/>
      <protection locked="0"/>
    </xf>
    <xf numFmtId="0" fontId="0" fillId="0" borderId="48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10" fontId="44" fillId="0" borderId="87" xfId="0" applyNumberFormat="1" applyFont="1" applyBorder="1" applyAlignment="1">
      <alignment horizontal="center" vertical="center" wrapText="1"/>
    </xf>
    <xf numFmtId="10" fontId="44" fillId="0" borderId="17" xfId="0" applyNumberFormat="1" applyFont="1" applyBorder="1" applyAlignment="1">
      <alignment horizontal="center" vertical="center" wrapText="1"/>
    </xf>
    <xf numFmtId="10" fontId="44" fillId="0" borderId="76" xfId="0" applyNumberFormat="1" applyFont="1" applyBorder="1" applyAlignment="1">
      <alignment horizontal="center" vertical="center" wrapText="1"/>
    </xf>
    <xf numFmtId="10" fontId="44" fillId="0" borderId="86" xfId="0" applyNumberFormat="1" applyFont="1" applyBorder="1" applyAlignment="1">
      <alignment horizontal="center" vertical="center" wrapText="1"/>
    </xf>
    <xf numFmtId="10" fontId="44" fillId="0" borderId="2" xfId="0" applyNumberFormat="1" applyFont="1" applyBorder="1" applyAlignment="1">
      <alignment horizontal="center" vertical="center" wrapText="1"/>
    </xf>
    <xf numFmtId="10" fontId="44" fillId="0" borderId="77" xfId="0" applyNumberFormat="1" applyFont="1" applyBorder="1" applyAlignment="1">
      <alignment horizontal="center" vertical="center" wrapText="1"/>
    </xf>
    <xf numFmtId="0" fontId="0" fillId="0" borderId="84" xfId="0" applyBorder="1" applyAlignment="1">
      <alignment horizontal="center" vertical="center" wrapText="1"/>
    </xf>
    <xf numFmtId="0" fontId="0" fillId="0" borderId="61" xfId="0" applyBorder="1" applyAlignment="1">
      <alignment horizontal="center" vertical="center" wrapText="1"/>
    </xf>
    <xf numFmtId="181" fontId="44" fillId="0" borderId="87" xfId="0" applyNumberFormat="1" applyFont="1" applyBorder="1" applyAlignment="1">
      <alignment horizontal="center" vertical="center" wrapText="1"/>
    </xf>
    <xf numFmtId="181" fontId="44" fillId="0" borderId="17" xfId="0" applyNumberFormat="1" applyFont="1" applyBorder="1" applyAlignment="1">
      <alignment horizontal="center" vertical="center" wrapText="1"/>
    </xf>
    <xf numFmtId="181" fontId="44" fillId="0" borderId="76" xfId="0" applyNumberFormat="1" applyFont="1" applyBorder="1" applyAlignment="1">
      <alignment horizontal="center" vertical="center" wrapText="1"/>
    </xf>
    <xf numFmtId="181" fontId="44" fillId="0" borderId="88" xfId="0" applyNumberFormat="1" applyFont="1" applyBorder="1" applyAlignment="1">
      <alignment horizontal="center" vertical="center" wrapText="1"/>
    </xf>
    <xf numFmtId="181" fontId="44" fillId="0" borderId="1" xfId="0" applyNumberFormat="1" applyFont="1" applyBorder="1" applyAlignment="1">
      <alignment horizontal="center" vertical="center" wrapText="1"/>
    </xf>
    <xf numFmtId="181" fontId="44" fillId="0" borderId="22" xfId="0" applyNumberFormat="1" applyFont="1" applyBorder="1" applyAlignment="1">
      <alignment horizontal="center" vertical="center" wrapText="1"/>
    </xf>
    <xf numFmtId="0" fontId="44" fillId="0" borderId="87" xfId="0" applyFont="1" applyBorder="1" applyAlignment="1">
      <alignment horizontal="center" vertical="center" wrapText="1"/>
    </xf>
    <xf numFmtId="0" fontId="44" fillId="0" borderId="17" xfId="0" applyFont="1" applyBorder="1" applyAlignment="1">
      <alignment horizontal="center" vertical="center" wrapText="1"/>
    </xf>
    <xf numFmtId="0" fontId="44" fillId="0" borderId="76" xfId="0" applyFont="1" applyBorder="1" applyAlignment="1">
      <alignment horizontal="center" vertical="center" wrapText="1"/>
    </xf>
    <xf numFmtId="0" fontId="44" fillId="0" borderId="86" xfId="0" applyFont="1" applyBorder="1" applyAlignment="1">
      <alignment horizontal="center" vertical="center" wrapText="1"/>
    </xf>
    <xf numFmtId="0" fontId="44" fillId="0" borderId="2" xfId="0" applyFont="1" applyBorder="1" applyAlignment="1">
      <alignment horizontal="center" vertical="center" wrapText="1"/>
    </xf>
    <xf numFmtId="0" fontId="44" fillId="0" borderId="77" xfId="0" applyFont="1" applyBorder="1" applyAlignment="1">
      <alignment horizontal="center" vertical="center" wrapText="1"/>
    </xf>
    <xf numFmtId="0" fontId="20" fillId="4" borderId="78" xfId="23" applyFont="1" applyFill="1" applyBorder="1" applyAlignment="1" applyProtection="1">
      <alignment horizontal="center" vertical="center" wrapText="1"/>
      <protection locked="0"/>
    </xf>
    <xf numFmtId="0" fontId="0" fillId="0" borderId="64" xfId="0" applyBorder="1" applyAlignment="1">
      <alignment horizontal="center" vertical="center" wrapText="1"/>
    </xf>
    <xf numFmtId="0" fontId="44" fillId="0" borderId="85" xfId="0" applyFont="1" applyBorder="1" applyAlignment="1">
      <alignment horizontal="center" vertical="center" wrapText="1"/>
    </xf>
    <xf numFmtId="0" fontId="44" fillId="0" borderId="4" xfId="0" applyFont="1" applyBorder="1" applyAlignment="1">
      <alignment horizontal="center" vertical="center" wrapText="1"/>
    </xf>
    <xf numFmtId="0" fontId="44" fillId="0" borderId="5" xfId="0" applyFont="1" applyBorder="1" applyAlignment="1">
      <alignment horizontal="center" vertical="center" wrapText="1"/>
    </xf>
    <xf numFmtId="0" fontId="0" fillId="0" borderId="17" xfId="0" applyFill="1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76" xfId="0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22" xfId="0" applyBorder="1" applyAlignment="1">
      <alignment vertical="center"/>
    </xf>
    <xf numFmtId="0" fontId="33" fillId="8" borderId="48" xfId="23" applyFont="1" applyFill="1" applyBorder="1" applyAlignment="1" applyProtection="1">
      <alignment horizontal="center"/>
      <protection locked="0"/>
    </xf>
    <xf numFmtId="0" fontId="0" fillId="3" borderId="87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3" borderId="86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37" fillId="6" borderId="75" xfId="23" applyFont="1" applyFill="1" applyBorder="1" applyAlignment="1">
      <alignment horizontal="center"/>
    </xf>
    <xf numFmtId="0" fontId="37" fillId="6" borderId="72" xfId="23" applyFont="1" applyFill="1" applyBorder="1" applyAlignment="1">
      <alignment horizontal="center"/>
    </xf>
    <xf numFmtId="0" fontId="37" fillId="6" borderId="73" xfId="23" applyFont="1" applyFill="1" applyBorder="1" applyAlignment="1">
      <alignment horizontal="center"/>
    </xf>
    <xf numFmtId="0" fontId="22" fillId="4" borderId="78" xfId="23" applyFont="1" applyFill="1" applyBorder="1" applyAlignment="1" applyProtection="1">
      <alignment horizontal="center" vertical="center" wrapText="1"/>
      <protection locked="0"/>
    </xf>
    <xf numFmtId="0" fontId="22" fillId="4" borderId="64" xfId="23" applyFont="1" applyFill="1" applyBorder="1" applyAlignment="1" applyProtection="1">
      <alignment horizontal="center" vertical="center" wrapText="1"/>
      <protection locked="0"/>
    </xf>
    <xf numFmtId="0" fontId="22" fillId="4" borderId="70" xfId="23" applyFont="1" applyFill="1" applyBorder="1" applyAlignment="1" applyProtection="1">
      <alignment horizontal="center" vertical="center" wrapText="1"/>
      <protection locked="0"/>
    </xf>
    <xf numFmtId="0" fontId="22" fillId="4" borderId="79" xfId="23" applyFont="1" applyFill="1" applyBorder="1" applyAlignment="1" applyProtection="1">
      <alignment horizontal="center" vertical="center" wrapText="1"/>
      <protection locked="0"/>
    </xf>
    <xf numFmtId="0" fontId="22" fillId="4" borderId="48" xfId="23" applyFont="1" applyFill="1" applyBorder="1" applyAlignment="1" applyProtection="1">
      <alignment horizontal="center" vertical="center" wrapText="1"/>
      <protection locked="0"/>
    </xf>
    <xf numFmtId="0" fontId="22" fillId="4" borderId="60" xfId="23" applyFont="1" applyFill="1" applyBorder="1" applyAlignment="1" applyProtection="1">
      <alignment horizontal="center" vertical="center" wrapText="1"/>
      <protection locked="0"/>
    </xf>
    <xf numFmtId="0" fontId="22" fillId="4" borderId="82" xfId="23" applyFont="1" applyFill="1" applyBorder="1" applyAlignment="1" applyProtection="1">
      <alignment horizontal="center" vertical="center" wrapText="1"/>
      <protection locked="0"/>
    </xf>
    <xf numFmtId="0" fontId="22" fillId="4" borderId="81" xfId="23" applyFont="1" applyFill="1" applyBorder="1" applyAlignment="1" applyProtection="1">
      <alignment horizontal="center" vertical="center" wrapText="1"/>
      <protection locked="0"/>
    </xf>
    <xf numFmtId="0" fontId="22" fillId="4" borderId="83" xfId="23" applyFont="1" applyFill="1" applyBorder="1" applyAlignment="1" applyProtection="1">
      <alignment horizontal="center" vertical="center" wrapText="1"/>
      <protection locked="0"/>
    </xf>
    <xf numFmtId="0" fontId="23" fillId="4" borderId="71" xfId="23" applyFont="1" applyFill="1" applyBorder="1" applyAlignment="1" applyProtection="1">
      <alignment horizontal="center" vertical="center" wrapText="1"/>
      <protection locked="0"/>
    </xf>
    <xf numFmtId="0" fontId="23" fillId="4" borderId="24" xfId="23" applyFont="1" applyFill="1" applyBorder="1" applyAlignment="1" applyProtection="1">
      <alignment horizontal="center" vertical="center"/>
      <protection locked="0"/>
    </xf>
    <xf numFmtId="0" fontId="23" fillId="4" borderId="17" xfId="23" applyFont="1" applyFill="1" applyBorder="1" applyAlignment="1" applyProtection="1">
      <alignment horizontal="center" vertical="center" wrapText="1"/>
      <protection locked="0"/>
    </xf>
    <xf numFmtId="0" fontId="23" fillId="4" borderId="17" xfId="23" applyFont="1" applyFill="1" applyBorder="1" applyAlignment="1" applyProtection="1">
      <alignment horizontal="center" vertical="center"/>
      <protection locked="0"/>
    </xf>
    <xf numFmtId="0" fontId="23" fillId="4" borderId="0" xfId="23" applyFont="1" applyFill="1" applyBorder="1" applyAlignment="1" applyProtection="1">
      <alignment horizontal="center" vertical="center"/>
      <protection locked="0"/>
    </xf>
    <xf numFmtId="0" fontId="0" fillId="0" borderId="17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7" fillId="3" borderId="75" xfId="0" applyFont="1" applyFill="1" applyBorder="1" applyAlignment="1">
      <alignment horizontal="center" vertical="center"/>
    </xf>
    <xf numFmtId="0" fontId="17" fillId="3" borderId="72" xfId="0" applyFont="1" applyFill="1" applyBorder="1" applyAlignment="1">
      <alignment horizontal="center" vertical="center"/>
    </xf>
    <xf numFmtId="0" fontId="17" fillId="3" borderId="73" xfId="0" applyFont="1" applyFill="1" applyBorder="1" applyAlignment="1">
      <alignment horizontal="center" vertical="center"/>
    </xf>
    <xf numFmtId="0" fontId="40" fillId="0" borderId="48" xfId="1" applyNumberFormat="1" applyFont="1" applyBorder="1" applyAlignment="1">
      <alignment horizontal="center" vertical="center"/>
    </xf>
    <xf numFmtId="0" fontId="40" fillId="3" borderId="48" xfId="1" applyNumberFormat="1" applyFont="1" applyFill="1" applyBorder="1" applyAlignment="1">
      <alignment horizontal="center" vertical="center"/>
    </xf>
    <xf numFmtId="49" fontId="36" fillId="3" borderId="0" xfId="1" applyNumberFormat="1" applyFont="1" applyFill="1" applyBorder="1" applyAlignment="1" applyProtection="1">
      <alignment horizontal="center" vertical="center"/>
    </xf>
    <xf numFmtId="49" fontId="36" fillId="3" borderId="2" xfId="1" applyNumberFormat="1" applyFont="1" applyFill="1" applyBorder="1" applyAlignment="1" applyProtection="1">
      <alignment horizontal="center" vertical="center"/>
    </xf>
    <xf numFmtId="0" fontId="0" fillId="3" borderId="0" xfId="0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37" fillId="7" borderId="75" xfId="23" applyNumberFormat="1" applyFont="1" applyFill="1" applyBorder="1" applyAlignment="1">
      <alignment horizontal="center"/>
    </xf>
    <xf numFmtId="0" fontId="37" fillId="7" borderId="72" xfId="23" applyNumberFormat="1" applyFont="1" applyFill="1" applyBorder="1" applyAlignment="1">
      <alignment horizontal="center"/>
    </xf>
    <xf numFmtId="0" fontId="37" fillId="7" borderId="73" xfId="23" applyNumberFormat="1" applyFont="1" applyFill="1" applyBorder="1" applyAlignment="1">
      <alignment horizontal="center"/>
    </xf>
    <xf numFmtId="0" fontId="36" fillId="3" borderId="0" xfId="1" applyFont="1" applyFill="1" applyBorder="1" applyAlignment="1" applyProtection="1">
      <alignment horizontal="center" vertical="center"/>
    </xf>
    <xf numFmtId="0" fontId="36" fillId="3" borderId="2" xfId="1" applyFont="1" applyFill="1" applyBorder="1" applyAlignment="1" applyProtection="1">
      <alignment horizontal="center" vertical="center"/>
    </xf>
    <xf numFmtId="49" fontId="36" fillId="0" borderId="0" xfId="1" applyNumberFormat="1" applyFont="1" applyBorder="1" applyAlignment="1" applyProtection="1">
      <alignment horizontal="center" vertical="center"/>
    </xf>
    <xf numFmtId="49" fontId="36" fillId="0" borderId="2" xfId="1" applyNumberFormat="1" applyFont="1" applyBorder="1" applyAlignment="1" applyProtection="1">
      <alignment horizontal="center" vertical="center"/>
    </xf>
    <xf numFmtId="14" fontId="36" fillId="0" borderId="0" xfId="1" applyNumberFormat="1" applyFont="1" applyBorder="1" applyAlignment="1" applyProtection="1">
      <alignment horizontal="center" vertical="center"/>
    </xf>
    <xf numFmtId="14" fontId="36" fillId="0" borderId="2" xfId="1" applyNumberFormat="1" applyFont="1" applyBorder="1" applyAlignment="1" applyProtection="1">
      <alignment horizontal="center" vertical="center"/>
    </xf>
    <xf numFmtId="0" fontId="17" fillId="3" borderId="48" xfId="0" applyFont="1" applyFill="1" applyBorder="1" applyAlignment="1">
      <alignment horizontal="center" vertical="center"/>
    </xf>
    <xf numFmtId="0" fontId="40" fillId="0" borderId="48" xfId="1" applyFont="1" applyBorder="1" applyAlignment="1">
      <alignment horizontal="center" vertical="center"/>
    </xf>
    <xf numFmtId="0" fontId="40" fillId="3" borderId="48" xfId="1" applyFont="1" applyFill="1" applyBorder="1" applyAlignment="1" applyProtection="1">
      <alignment horizontal="center" vertical="center"/>
    </xf>
    <xf numFmtId="49" fontId="27" fillId="0" borderId="39" xfId="23" applyNumberFormat="1" applyFont="1" applyBorder="1" applyAlignment="1" applyProtection="1">
      <alignment horizontal="center" vertical="center" wrapText="1"/>
      <protection locked="0"/>
    </xf>
    <xf numFmtId="49" fontId="27" fillId="0" borderId="13" xfId="23" applyNumberFormat="1" applyFont="1" applyBorder="1" applyAlignment="1" applyProtection="1">
      <alignment horizontal="center" vertical="center" wrapText="1"/>
      <protection locked="0"/>
    </xf>
    <xf numFmtId="49" fontId="33" fillId="0" borderId="3" xfId="23" applyNumberFormat="1" applyFont="1" applyBorder="1" applyAlignment="1" applyProtection="1">
      <alignment horizontal="center" vertical="center" wrapText="1"/>
      <protection locked="0"/>
    </xf>
    <xf numFmtId="49" fontId="33" fillId="0" borderId="10" xfId="23" applyNumberFormat="1" applyFont="1" applyBorder="1" applyAlignment="1" applyProtection="1">
      <alignment horizontal="center" vertical="center" wrapText="1"/>
      <protection locked="0"/>
    </xf>
    <xf numFmtId="49" fontId="33" fillId="0" borderId="6" xfId="23" applyNumberFormat="1" applyFont="1" applyBorder="1" applyAlignment="1" applyProtection="1">
      <alignment horizontal="center" vertical="center" wrapText="1"/>
      <protection locked="0"/>
    </xf>
    <xf numFmtId="49" fontId="33" fillId="0" borderId="12" xfId="23" applyNumberFormat="1" applyFont="1" applyBorder="1" applyAlignment="1" applyProtection="1">
      <alignment horizontal="center" vertical="center" wrapText="1"/>
      <protection locked="0"/>
    </xf>
    <xf numFmtId="1" fontId="28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6" xfId="23" applyNumberFormat="1" applyFont="1" applyFill="1" applyBorder="1" applyAlignment="1" applyProtection="1">
      <alignment horizontal="center" vertical="center" wrapText="1"/>
      <protection hidden="1"/>
    </xf>
    <xf numFmtId="1" fontId="21" fillId="0" borderId="32" xfId="23" applyNumberFormat="1" applyFont="1" applyFill="1" applyBorder="1" applyAlignment="1" applyProtection="1">
      <alignment horizontal="center" vertical="center"/>
      <protection hidden="1"/>
    </xf>
    <xf numFmtId="1" fontId="21" fillId="0" borderId="16" xfId="23" applyNumberFormat="1" applyFont="1" applyFill="1" applyBorder="1" applyAlignment="1" applyProtection="1">
      <alignment horizontal="center" vertical="center"/>
      <protection hidden="1"/>
    </xf>
    <xf numFmtId="1" fontId="21" fillId="0" borderId="41" xfId="23" applyNumberFormat="1" applyFont="1" applyFill="1" applyBorder="1" applyAlignment="1" applyProtection="1">
      <alignment horizontal="center" vertical="center"/>
      <protection hidden="1"/>
    </xf>
    <xf numFmtId="0" fontId="30" fillId="0" borderId="74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1" fontId="29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14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40" xfId="23" applyNumberFormat="1" applyFont="1" applyFill="1" applyBorder="1" applyAlignment="1" applyProtection="1">
      <alignment horizontal="center" vertical="center" wrapText="1"/>
      <protection hidden="1"/>
    </xf>
    <xf numFmtId="180" fontId="33" fillId="2" borderId="4" xfId="18" applyNumberFormat="1" applyFont="1" applyFill="1" applyBorder="1" applyAlignment="1" applyProtection="1">
      <alignment horizontal="center" vertical="center" wrapText="1"/>
      <protection locked="0"/>
    </xf>
    <xf numFmtId="180" fontId="33" fillId="2" borderId="7" xfId="18" applyNumberFormat="1" applyFont="1" applyFill="1" applyBorder="1" applyAlignment="1" applyProtection="1">
      <alignment horizontal="center" vertical="center" wrapText="1"/>
      <protection locked="0"/>
    </xf>
    <xf numFmtId="1" fontId="41" fillId="0" borderId="5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8" xfId="0" applyFont="1" applyBorder="1" applyAlignment="1">
      <alignment horizontal="center" vertical="center" wrapText="1"/>
    </xf>
    <xf numFmtId="1" fontId="41" fillId="0" borderId="9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1" xfId="0" applyFont="1" applyBorder="1" applyAlignment="1">
      <alignment horizontal="center" vertical="center" wrapText="1"/>
    </xf>
    <xf numFmtId="0" fontId="33" fillId="2" borderId="4" xfId="23" applyFont="1" applyFill="1" applyBorder="1" applyAlignment="1" applyProtection="1">
      <alignment horizontal="center" vertical="center" wrapText="1"/>
      <protection locked="0"/>
    </xf>
    <xf numFmtId="0" fontId="0" fillId="0" borderId="7" xfId="0" applyBorder="1" applyAlignment="1">
      <alignment horizontal="center" vertical="center" wrapText="1"/>
    </xf>
    <xf numFmtId="0" fontId="33" fillId="2" borderId="10" xfId="23" applyFont="1" applyFill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 wrapText="1"/>
    </xf>
    <xf numFmtId="1" fontId="41" fillId="0" borderId="39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3" xfId="0" applyFont="1" applyBorder="1" applyAlignment="1">
      <alignment horizontal="center" vertical="center" wrapText="1"/>
    </xf>
    <xf numFmtId="0" fontId="22" fillId="4" borderId="67" xfId="23" applyFont="1" applyFill="1" applyBorder="1" applyAlignment="1" applyProtection="1">
      <alignment horizontal="center" vertical="center" wrapText="1"/>
      <protection locked="0"/>
    </xf>
    <xf numFmtId="0" fontId="22" fillId="4" borderId="68" xfId="23" applyFont="1" applyFill="1" applyBorder="1" applyAlignment="1" applyProtection="1">
      <alignment horizontal="center" vertical="center" wrapText="1"/>
      <protection locked="0"/>
    </xf>
    <xf numFmtId="0" fontId="22" fillId="4" borderId="69" xfId="23" applyFont="1" applyFill="1" applyBorder="1" applyAlignment="1" applyProtection="1">
      <alignment horizontal="center" vertical="center" wrapText="1"/>
      <protection locked="0"/>
    </xf>
    <xf numFmtId="0" fontId="22" fillId="4" borderId="42" xfId="23" applyFont="1" applyFill="1" applyBorder="1" applyAlignment="1" applyProtection="1">
      <alignment horizontal="center" vertical="center" wrapText="1"/>
      <protection locked="0"/>
    </xf>
    <xf numFmtId="0" fontId="22" fillId="4" borderId="43" xfId="23" applyFont="1" applyFill="1" applyBorder="1" applyAlignment="1" applyProtection="1">
      <alignment horizontal="center" vertical="center" wrapText="1"/>
      <protection locked="0"/>
    </xf>
    <xf numFmtId="0" fontId="22" fillId="4" borderId="44" xfId="23" applyFont="1" applyFill="1" applyBorder="1" applyAlignment="1" applyProtection="1">
      <alignment horizontal="center" vertical="center" wrapText="1"/>
      <protection locked="0"/>
    </xf>
    <xf numFmtId="0" fontId="22" fillId="4" borderId="57" xfId="23" applyFont="1" applyFill="1" applyBorder="1" applyAlignment="1" applyProtection="1">
      <alignment horizontal="center" vertical="center" wrapText="1"/>
      <protection locked="0"/>
    </xf>
    <xf numFmtId="0" fontId="23" fillId="4" borderId="58" xfId="23" applyFont="1" applyFill="1" applyBorder="1" applyAlignment="1" applyProtection="1">
      <alignment horizontal="center" vertical="center" wrapText="1"/>
      <protection locked="0"/>
    </xf>
    <xf numFmtId="0" fontId="23" fillId="4" borderId="59" xfId="23" applyFont="1" applyFill="1" applyBorder="1" applyAlignment="1" applyProtection="1">
      <alignment horizontal="center" vertical="center" wrapText="1"/>
      <protection locked="0"/>
    </xf>
    <xf numFmtId="0" fontId="22" fillId="4" borderId="4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0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0" fontId="22" fillId="4" borderId="1" xfId="23" applyFont="1" applyFill="1" applyBorder="1" applyAlignment="1" applyProtection="1">
      <alignment horizontal="center" vertical="center" wrapText="1"/>
      <protection locked="0"/>
    </xf>
    <xf numFmtId="0" fontId="22" fillId="4" borderId="37" xfId="23" applyFont="1" applyFill="1" applyBorder="1" applyAlignment="1" applyProtection="1">
      <alignment horizontal="center" vertical="center" wrapText="1"/>
      <protection locked="0"/>
    </xf>
    <xf numFmtId="0" fontId="22" fillId="4" borderId="28" xfId="23" applyFont="1" applyFill="1" applyBorder="1" applyAlignment="1" applyProtection="1">
      <alignment horizontal="center" vertical="center" wrapText="1"/>
      <protection locked="0"/>
    </xf>
    <xf numFmtId="0" fontId="22" fillId="4" borderId="56" xfId="23" applyFont="1" applyFill="1" applyBorder="1" applyAlignment="1" applyProtection="1">
      <alignment horizontal="center" vertical="center" wrapText="1"/>
      <protection locked="0"/>
    </xf>
    <xf numFmtId="0" fontId="22" fillId="4" borderId="20" xfId="23" applyFont="1" applyFill="1" applyBorder="1" applyAlignment="1" applyProtection="1">
      <alignment horizontal="center" vertical="center" wrapText="1"/>
      <protection locked="0"/>
    </xf>
    <xf numFmtId="9" fontId="25" fillId="0" borderId="15" xfId="23" applyNumberFormat="1" applyFont="1" applyFill="1" applyBorder="1" applyAlignment="1" applyProtection="1">
      <alignment horizontal="center" vertical="center"/>
      <protection hidden="1"/>
    </xf>
    <xf numFmtId="9" fontId="25" fillId="0" borderId="80" xfId="23" applyNumberFormat="1" applyFont="1" applyFill="1" applyBorder="1" applyAlignment="1" applyProtection="1">
      <alignment horizontal="center" vertical="center"/>
      <protection hidden="1"/>
    </xf>
    <xf numFmtId="1" fontId="24" fillId="0" borderId="39" xfId="23" applyNumberFormat="1" applyFont="1" applyFill="1" applyBorder="1" applyAlignment="1" applyProtection="1">
      <alignment horizontal="center" vertical="center" wrapText="1"/>
      <protection hidden="1"/>
    </xf>
    <xf numFmtId="1" fontId="24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39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13" xfId="23" applyNumberFormat="1" applyFont="1" applyFill="1" applyBorder="1" applyAlignment="1" applyProtection="1">
      <alignment horizontal="center" vertical="center" wrapText="1"/>
      <protection hidden="1"/>
    </xf>
    <xf numFmtId="49" fontId="33" fillId="0" borderId="4" xfId="23" applyNumberFormat="1" applyFont="1" applyBorder="1" applyAlignment="1" applyProtection="1">
      <alignment horizontal="center" vertical="center" wrapText="1"/>
      <protection locked="0"/>
    </xf>
    <xf numFmtId="49" fontId="33" fillId="0" borderId="7" xfId="23" applyNumberFormat="1" applyFont="1" applyBorder="1" applyAlignment="1" applyProtection="1">
      <alignment horizontal="center" vertical="center" wrapText="1"/>
      <protection locked="0"/>
    </xf>
    <xf numFmtId="0" fontId="33" fillId="2" borderId="3" xfId="18" applyFont="1" applyFill="1" applyBorder="1" applyAlignment="1" applyProtection="1">
      <alignment horizontal="center" vertical="center" wrapText="1"/>
      <protection locked="0"/>
    </xf>
    <xf numFmtId="0" fontId="0" fillId="0" borderId="6" xfId="0" applyBorder="1" applyAlignment="1">
      <alignment horizontal="center" vertical="center" wrapText="1"/>
    </xf>
    <xf numFmtId="0" fontId="22" fillId="4" borderId="29" xfId="23" applyFont="1" applyFill="1" applyBorder="1" applyAlignment="1" applyProtection="1">
      <alignment horizontal="center" vertical="center" wrapText="1"/>
      <protection locked="0"/>
    </xf>
    <xf numFmtId="0" fontId="22" fillId="4" borderId="23" xfId="23" applyFont="1" applyFill="1" applyBorder="1" applyAlignment="1" applyProtection="1">
      <alignment horizontal="center" vertical="center" wrapText="1"/>
      <protection locked="0"/>
    </xf>
    <xf numFmtId="0" fontId="22" fillId="4" borderId="30" xfId="23" applyFont="1" applyFill="1" applyBorder="1" applyAlignment="1" applyProtection="1">
      <alignment horizontal="center" vertical="center" wrapText="1"/>
      <protection locked="0"/>
    </xf>
    <xf numFmtId="0" fontId="22" fillId="4" borderId="25" xfId="23" applyFont="1" applyFill="1" applyBorder="1" applyAlignment="1" applyProtection="1">
      <alignment horizontal="center" vertical="center" wrapText="1"/>
      <protection locked="0"/>
    </xf>
    <xf numFmtId="0" fontId="22" fillId="4" borderId="31" xfId="23" applyFont="1" applyFill="1" applyBorder="1" applyAlignment="1" applyProtection="1">
      <alignment horizontal="center" vertical="center" wrapText="1"/>
      <protection locked="0"/>
    </xf>
    <xf numFmtId="0" fontId="22" fillId="4" borderId="27" xfId="23" applyFont="1" applyFill="1" applyBorder="1" applyAlignment="1" applyProtection="1">
      <alignment horizontal="center" vertical="center" wrapText="1"/>
      <protection locked="0"/>
    </xf>
    <xf numFmtId="0" fontId="22" fillId="4" borderId="5" xfId="23" applyFont="1" applyFill="1" applyBorder="1" applyAlignment="1" applyProtection="1">
      <alignment horizontal="center" vertical="center" wrapText="1"/>
      <protection locked="0"/>
    </xf>
    <xf numFmtId="0" fontId="22" fillId="4" borderId="21" xfId="23" applyFont="1" applyFill="1" applyBorder="1" applyAlignment="1" applyProtection="1">
      <alignment horizontal="center" vertical="center" wrapText="1"/>
      <protection locked="0"/>
    </xf>
    <xf numFmtId="0" fontId="22" fillId="4" borderId="22" xfId="23" applyFont="1" applyFill="1" applyBorder="1" applyAlignment="1" applyProtection="1">
      <alignment horizontal="center" vertical="center" wrapText="1"/>
      <protection locked="0"/>
    </xf>
    <xf numFmtId="1" fontId="28" fillId="0" borderId="4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7" xfId="23" applyNumberFormat="1" applyFont="1" applyFill="1" applyBorder="1" applyAlignment="1" applyProtection="1">
      <alignment horizontal="center" vertical="center" wrapText="1"/>
      <protection hidden="1"/>
    </xf>
    <xf numFmtId="9" fontId="25" fillId="0" borderId="5" xfId="23" applyNumberFormat="1" applyFont="1" applyFill="1" applyBorder="1" applyAlignment="1" applyProtection="1">
      <alignment horizontal="center" vertical="center"/>
      <protection hidden="1"/>
    </xf>
    <xf numFmtId="9" fontId="25" fillId="0" borderId="8" xfId="23" applyNumberFormat="1" applyFont="1" applyFill="1" applyBorder="1" applyAlignment="1" applyProtection="1">
      <alignment horizontal="center" vertical="center"/>
      <protection hidden="1"/>
    </xf>
    <xf numFmtId="0" fontId="20" fillId="4" borderId="9" xfId="23" applyFont="1" applyFill="1" applyBorder="1" applyAlignment="1" applyProtection="1">
      <alignment horizontal="center" vertical="center" wrapText="1"/>
      <protection locked="0"/>
    </xf>
    <xf numFmtId="0" fontId="20" fillId="4" borderId="4" xfId="23" applyFont="1" applyFill="1" applyBorder="1" applyAlignment="1" applyProtection="1">
      <alignment horizontal="center" vertical="center" wrapText="1"/>
      <protection locked="0"/>
    </xf>
    <xf numFmtId="0" fontId="20" fillId="4" borderId="65" xfId="23" applyFont="1" applyFill="1" applyBorder="1" applyAlignment="1" applyProtection="1">
      <alignment horizontal="center" vertical="center" wrapText="1"/>
      <protection locked="0"/>
    </xf>
    <xf numFmtId="0" fontId="20" fillId="4" borderId="63" xfId="23" applyFont="1" applyFill="1" applyBorder="1" applyAlignment="1" applyProtection="1">
      <alignment horizontal="center" vertical="center" wrapText="1"/>
      <protection locked="0"/>
    </xf>
    <xf numFmtId="0" fontId="20" fillId="4" borderId="2" xfId="23" applyFont="1" applyFill="1" applyBorder="1" applyAlignment="1" applyProtection="1">
      <alignment horizontal="center" vertical="center" wrapText="1"/>
      <protection locked="0"/>
    </xf>
    <xf numFmtId="0" fontId="20" fillId="4" borderId="19" xfId="23" applyFont="1" applyFill="1" applyBorder="1" applyAlignment="1" applyProtection="1">
      <alignment horizontal="center" vertical="center" wrapText="1"/>
      <protection locked="0"/>
    </xf>
    <xf numFmtId="49" fontId="32" fillId="0" borderId="64" xfId="29" applyNumberFormat="1" applyFont="1" applyBorder="1" applyAlignment="1" applyProtection="1">
      <alignment horizontal="center" vertical="center" wrapText="1"/>
      <protection locked="0"/>
    </xf>
    <xf numFmtId="49" fontId="32" fillId="0" borderId="70" xfId="29" applyNumberFormat="1" applyFont="1" applyBorder="1" applyAlignment="1" applyProtection="1">
      <alignment horizontal="center" vertical="center" wrapText="1"/>
      <protection locked="0"/>
    </xf>
    <xf numFmtId="49" fontId="32" fillId="0" borderId="48" xfId="29" applyNumberFormat="1" applyFont="1" applyBorder="1" applyAlignment="1" applyProtection="1">
      <alignment horizontal="center" vertical="center" wrapText="1"/>
      <protection locked="0"/>
    </xf>
    <xf numFmtId="49" fontId="32" fillId="0" borderId="60" xfId="29" applyNumberFormat="1" applyFont="1" applyBorder="1" applyAlignment="1" applyProtection="1">
      <alignment horizontal="center" vertical="center" wrapText="1"/>
      <protection locked="0"/>
    </xf>
    <xf numFmtId="0" fontId="20" fillId="4" borderId="71" xfId="23" applyFont="1" applyFill="1" applyBorder="1" applyAlignment="1" applyProtection="1">
      <alignment horizontal="center" vertical="center" wrapText="1"/>
      <protection locked="0"/>
    </xf>
    <xf numFmtId="0" fontId="20" fillId="4" borderId="17" xfId="23" applyFont="1" applyFill="1" applyBorder="1" applyAlignment="1" applyProtection="1">
      <alignment horizontal="center" vertical="center" wrapText="1"/>
      <protection locked="0"/>
    </xf>
    <xf numFmtId="0" fontId="20" fillId="4" borderId="18" xfId="23" applyFont="1" applyFill="1" applyBorder="1" applyAlignment="1" applyProtection="1">
      <alignment horizontal="center" vertical="center" wrapText="1"/>
      <protection locked="0"/>
    </xf>
    <xf numFmtId="15" fontId="32" fillId="0" borderId="48" xfId="29" applyNumberFormat="1" applyFont="1" applyBorder="1" applyAlignment="1" applyProtection="1">
      <alignment horizontal="center" vertical="center" wrapText="1"/>
      <protection locked="0"/>
    </xf>
    <xf numFmtId="15" fontId="32" fillId="0" borderId="60" xfId="29" applyNumberFormat="1" applyFont="1" applyBorder="1" applyAlignment="1" applyProtection="1">
      <alignment horizontal="center" vertical="center" wrapText="1"/>
      <protection locked="0"/>
    </xf>
    <xf numFmtId="0" fontId="31" fillId="4" borderId="71" xfId="23" applyFont="1" applyFill="1" applyBorder="1" applyAlignment="1" applyProtection="1">
      <alignment horizontal="center" vertical="center" wrapText="1"/>
      <protection locked="0"/>
    </xf>
    <xf numFmtId="0" fontId="20" fillId="4" borderId="26" xfId="23" applyFont="1" applyFill="1" applyBorder="1" applyAlignment="1" applyProtection="1">
      <alignment horizontal="center" vertical="center" wrapText="1"/>
      <protection locked="0"/>
    </xf>
    <xf numFmtId="0" fontId="20" fillId="4" borderId="1" xfId="23" applyFont="1" applyFill="1" applyBorder="1" applyAlignment="1" applyProtection="1">
      <alignment horizontal="center" vertical="center" wrapText="1"/>
      <protection locked="0"/>
    </xf>
    <xf numFmtId="0" fontId="20" fillId="4" borderId="66" xfId="23" applyFont="1" applyFill="1" applyBorder="1" applyAlignment="1" applyProtection="1">
      <alignment horizontal="center" vertical="center" wrapText="1"/>
      <protection locked="0"/>
    </xf>
    <xf numFmtId="179" fontId="32" fillId="0" borderId="48" xfId="29" applyNumberFormat="1" applyFont="1" applyBorder="1" applyAlignment="1" applyProtection="1">
      <alignment horizontal="center" vertical="center" wrapText="1"/>
      <protection locked="0"/>
    </xf>
    <xf numFmtId="179" fontId="32" fillId="0" borderId="60" xfId="29" applyNumberFormat="1" applyFont="1" applyBorder="1" applyAlignment="1" applyProtection="1">
      <alignment horizontal="center" vertical="center" wrapText="1"/>
      <protection locked="0"/>
    </xf>
    <xf numFmtId="179" fontId="32" fillId="0" borderId="61" xfId="29" applyNumberFormat="1" applyFont="1" applyBorder="1" applyAlignment="1" applyProtection="1">
      <alignment horizontal="center" vertical="center" wrapText="1"/>
      <protection locked="0"/>
    </xf>
    <xf numFmtId="179" fontId="32" fillId="0" borderId="62" xfId="29" applyNumberFormat="1" applyFont="1" applyBorder="1" applyAlignment="1" applyProtection="1">
      <alignment horizontal="center" vertical="center" wrapText="1"/>
      <protection locked="0"/>
    </xf>
  </cellXfs>
  <cellStyles count="30">
    <cellStyle name="_Theo doi nang suat " xfId="3"/>
    <cellStyle name="_測試報告" xfId="4"/>
    <cellStyle name="Comma 2" xfId="5"/>
    <cellStyle name="Comma 2 2" xfId="6"/>
    <cellStyle name="Normal 2" xfId="7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2" xfId="1"/>
    <cellStyle name="一般 2 2" xfId="19"/>
    <cellStyle name="一般 3" xfId="20"/>
    <cellStyle name="一般 4" xfId="21"/>
    <cellStyle name="一般 5" xfId="22"/>
    <cellStyle name="一般 6" xfId="23"/>
    <cellStyle name="一般 7" xfId="2"/>
    <cellStyle name="千分位 2" xfId="25"/>
    <cellStyle name="千分位 3" xfId="24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128169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128169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"/>
  <sheetViews>
    <sheetView tabSelected="1" topLeftCell="B1" zoomScale="85" zoomScaleNormal="85" workbookViewId="0">
      <pane ySplit="5" topLeftCell="A6" activePane="bottomLeft" state="frozen"/>
      <selection pane="bottomLeft" activeCell="B6" sqref="B6"/>
    </sheetView>
  </sheetViews>
  <sheetFormatPr defaultRowHeight="18"/>
  <cols>
    <col min="1" max="1" width="7.875" style="13" bestFit="1" customWidth="1"/>
    <col min="2" max="2" width="75.5" style="14" customWidth="1"/>
    <col min="3" max="4" width="15.75" style="6" bestFit="1" customWidth="1"/>
    <col min="5" max="5" width="15.75" style="6" customWidth="1"/>
    <col min="6" max="6" width="17.375" style="3" bestFit="1" customWidth="1"/>
    <col min="7" max="7" width="9.75" style="4" bestFit="1" customWidth="1"/>
    <col min="8" max="8" width="12.25" style="7" customWidth="1"/>
    <col min="9" max="9" width="18.625" style="7" customWidth="1"/>
    <col min="10" max="10" width="16.625" style="7" customWidth="1"/>
    <col min="11" max="11" width="0" style="7" hidden="1" customWidth="1"/>
    <col min="12" max="16384" width="9" style="7"/>
  </cols>
  <sheetData>
    <row r="1" spans="1:10" ht="20.25">
      <c r="A1" s="62" t="s">
        <v>45</v>
      </c>
      <c r="B1" s="62"/>
    </row>
    <row r="2" spans="1:10" ht="20.25">
      <c r="A2" s="1" t="s">
        <v>5</v>
      </c>
      <c r="B2" s="2" t="s">
        <v>6</v>
      </c>
    </row>
    <row r="3" spans="1:10" ht="20.25">
      <c r="A3" s="1" t="s">
        <v>7</v>
      </c>
      <c r="B3" s="2"/>
    </row>
    <row r="4" spans="1:10" ht="20.25">
      <c r="A4" s="1"/>
      <c r="B4" s="5"/>
    </row>
    <row r="5" spans="1:10" ht="36">
      <c r="A5" s="8" t="s">
        <v>8</v>
      </c>
      <c r="B5" s="9" t="s">
        <v>9</v>
      </c>
      <c r="C5" s="10" t="s">
        <v>58</v>
      </c>
      <c r="D5" s="10" t="s">
        <v>59</v>
      </c>
      <c r="E5" s="10" t="s">
        <v>46</v>
      </c>
      <c r="F5" s="11" t="s">
        <v>47</v>
      </c>
      <c r="G5" s="12" t="s">
        <v>10</v>
      </c>
      <c r="H5" s="12" t="s">
        <v>44</v>
      </c>
      <c r="I5" s="33" t="s">
        <v>56</v>
      </c>
      <c r="J5" s="33" t="s">
        <v>51</v>
      </c>
    </row>
  </sheetData>
  <autoFilter ref="A5:G5"/>
  <mergeCells count="1">
    <mergeCell ref="A1:B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83"/>
  <sheetViews>
    <sheetView topLeftCell="A34" zoomScale="65" zoomScaleNormal="65" workbookViewId="0">
      <selection activeCell="Z1" sqref="Z1:AC1048576"/>
    </sheetView>
  </sheetViews>
  <sheetFormatPr defaultRowHeight="16.5"/>
  <cols>
    <col min="1" max="1" width="9" style="15"/>
    <col min="2" max="2" width="7" style="15" customWidth="1"/>
    <col min="3" max="4" width="5.375" style="15" customWidth="1"/>
    <col min="5" max="5" width="15.25" style="15" customWidth="1"/>
    <col min="6" max="6" width="13.25" style="15" customWidth="1"/>
    <col min="7" max="7" width="12.25" style="15" customWidth="1"/>
    <col min="8" max="8" width="9.75" style="15" customWidth="1"/>
    <col min="9" max="9" width="10.5" style="15" customWidth="1"/>
    <col min="10" max="10" width="20.5" style="15" customWidth="1"/>
    <col min="11" max="11" width="0.125" style="15" customWidth="1"/>
    <col min="12" max="12" width="17.375" style="15" bestFit="1" customWidth="1"/>
    <col min="13" max="13" width="2.625" style="15" customWidth="1"/>
    <col min="14" max="14" width="7.625" style="15" customWidth="1"/>
    <col min="15" max="15" width="2.625" style="15" customWidth="1"/>
    <col min="16" max="16" width="17.375" style="15" bestFit="1" customWidth="1"/>
    <col min="17" max="17" width="18.25" style="15" customWidth="1"/>
    <col min="18" max="18" width="0.125" style="15" customWidth="1"/>
    <col min="19" max="19" width="5.375" style="15" customWidth="1"/>
    <col min="20" max="20" width="65.5" style="15" customWidth="1"/>
    <col min="21" max="21" width="37.5" style="15" hidden="1" customWidth="1"/>
    <col min="22" max="22" width="0.25" style="15" customWidth="1"/>
    <col min="23" max="23" width="5.5" style="15" customWidth="1"/>
    <col min="24" max="24" width="7" style="15" customWidth="1"/>
    <col min="25" max="25" width="7.625" style="15" customWidth="1"/>
    <col min="26" max="26" width="8.625" style="15" hidden="1" customWidth="1"/>
    <col min="27" max="27" width="6.75" style="15" hidden="1" customWidth="1"/>
    <col min="28" max="28" width="0.25" style="15" hidden="1" customWidth="1"/>
    <col min="29" max="29" width="8" style="15" hidden="1" customWidth="1"/>
    <col min="30" max="31" width="9" style="15" hidden="1" customWidth="1"/>
    <col min="32" max="16384" width="9" style="15"/>
  </cols>
  <sheetData>
    <row r="1" spans="1:25" ht="13.5" customHeight="1">
      <c r="A1" s="218" t="s">
        <v>11</v>
      </c>
      <c r="B1" s="219"/>
      <c r="C1" s="219"/>
      <c r="D1" s="219"/>
      <c r="E1" s="220"/>
      <c r="F1" s="224"/>
      <c r="G1" s="225"/>
    </row>
    <row r="2" spans="1:25" ht="13.5" customHeight="1">
      <c r="A2" s="221"/>
      <c r="B2" s="222"/>
      <c r="C2" s="222"/>
      <c r="D2" s="222"/>
      <c r="E2" s="223"/>
      <c r="F2" s="226"/>
      <c r="G2" s="227"/>
    </row>
    <row r="3" spans="1:25" ht="13.5" customHeight="1">
      <c r="A3" s="228" t="s">
        <v>1</v>
      </c>
      <c r="B3" s="229"/>
      <c r="C3" s="229"/>
      <c r="D3" s="229"/>
      <c r="E3" s="230"/>
      <c r="F3" s="231"/>
      <c r="G3" s="232"/>
    </row>
    <row r="4" spans="1:25" ht="13.5" customHeight="1">
      <c r="A4" s="221"/>
      <c r="B4" s="222"/>
      <c r="C4" s="222"/>
      <c r="D4" s="222"/>
      <c r="E4" s="223"/>
      <c r="F4" s="231"/>
      <c r="G4" s="232"/>
    </row>
    <row r="5" spans="1:25" ht="13.5" customHeight="1">
      <c r="A5" s="228" t="s">
        <v>12</v>
      </c>
      <c r="B5" s="229"/>
      <c r="C5" s="229"/>
      <c r="D5" s="229"/>
      <c r="E5" s="230"/>
      <c r="F5" s="226"/>
      <c r="G5" s="227"/>
    </row>
    <row r="6" spans="1:25" ht="13.5" customHeight="1">
      <c r="A6" s="221"/>
      <c r="B6" s="222"/>
      <c r="C6" s="222"/>
      <c r="D6" s="222"/>
      <c r="E6" s="223"/>
      <c r="F6" s="226"/>
      <c r="G6" s="227"/>
    </row>
    <row r="7" spans="1:25" ht="13.5" customHeight="1">
      <c r="A7" s="228" t="s">
        <v>2</v>
      </c>
      <c r="B7" s="229"/>
      <c r="C7" s="229"/>
      <c r="D7" s="229"/>
      <c r="E7" s="230"/>
      <c r="F7" s="226"/>
      <c r="G7" s="227"/>
    </row>
    <row r="8" spans="1:25" ht="26.25" customHeight="1">
      <c r="A8" s="221"/>
      <c r="B8" s="222"/>
      <c r="C8" s="222"/>
      <c r="D8" s="222"/>
      <c r="E8" s="223"/>
      <c r="F8" s="226"/>
      <c r="G8" s="227"/>
    </row>
    <row r="9" spans="1:25" ht="13.5" customHeight="1">
      <c r="A9" s="233" t="s">
        <v>13</v>
      </c>
      <c r="B9" s="229"/>
      <c r="C9" s="229"/>
      <c r="D9" s="229"/>
      <c r="E9" s="230"/>
      <c r="F9" s="237"/>
      <c r="G9" s="238"/>
    </row>
    <row r="10" spans="1:25" ht="13.5" customHeight="1" thickBot="1">
      <c r="A10" s="234"/>
      <c r="B10" s="235"/>
      <c r="C10" s="235"/>
      <c r="D10" s="235"/>
      <c r="E10" s="236"/>
      <c r="F10" s="239"/>
      <c r="G10" s="240"/>
    </row>
    <row r="11" spans="1:25" ht="17.25" thickBot="1"/>
    <row r="12" spans="1:25" ht="12.75" customHeight="1">
      <c r="A12" s="177" t="s">
        <v>14</v>
      </c>
      <c r="B12" s="180" t="s">
        <v>15</v>
      </c>
      <c r="C12" s="183" t="s">
        <v>3</v>
      </c>
      <c r="D12" s="183" t="s">
        <v>48</v>
      </c>
      <c r="E12" s="186" t="s">
        <v>17</v>
      </c>
      <c r="F12" s="186"/>
      <c r="G12" s="186"/>
      <c r="H12" s="186"/>
      <c r="I12" s="187"/>
      <c r="J12" s="205" t="s">
        <v>60</v>
      </c>
      <c r="K12" s="206"/>
      <c r="L12" s="211" t="s">
        <v>61</v>
      </c>
      <c r="N12" s="44"/>
      <c r="P12" s="177" t="s">
        <v>61</v>
      </c>
      <c r="Q12" s="186" t="s">
        <v>60</v>
      </c>
      <c r="R12" s="206"/>
      <c r="S12" s="183" t="s">
        <v>48</v>
      </c>
      <c r="T12" s="186" t="s">
        <v>17</v>
      </c>
      <c r="U12" s="186"/>
      <c r="V12" s="187"/>
      <c r="W12" s="183" t="s">
        <v>3</v>
      </c>
      <c r="X12" s="180" t="s">
        <v>15</v>
      </c>
      <c r="Y12" s="192" t="s">
        <v>14</v>
      </c>
    </row>
    <row r="13" spans="1:25" ht="12.75" customHeight="1">
      <c r="A13" s="178"/>
      <c r="B13" s="181"/>
      <c r="C13" s="184"/>
      <c r="D13" s="184"/>
      <c r="E13" s="188"/>
      <c r="F13" s="188"/>
      <c r="G13" s="188"/>
      <c r="H13" s="188"/>
      <c r="I13" s="189"/>
      <c r="J13" s="207"/>
      <c r="K13" s="208"/>
      <c r="L13" s="212"/>
      <c r="N13" s="44"/>
      <c r="P13" s="178"/>
      <c r="Q13" s="188"/>
      <c r="R13" s="208"/>
      <c r="S13" s="184"/>
      <c r="T13" s="188"/>
      <c r="U13" s="188"/>
      <c r="V13" s="189"/>
      <c r="W13" s="184"/>
      <c r="X13" s="181"/>
      <c r="Y13" s="193"/>
    </row>
    <row r="14" spans="1:25" ht="12.75" customHeight="1">
      <c r="A14" s="178"/>
      <c r="B14" s="181"/>
      <c r="C14" s="184"/>
      <c r="D14" s="184"/>
      <c r="E14" s="188"/>
      <c r="F14" s="188"/>
      <c r="G14" s="188"/>
      <c r="H14" s="188"/>
      <c r="I14" s="189"/>
      <c r="J14" s="207"/>
      <c r="K14" s="208"/>
      <c r="L14" s="212"/>
      <c r="N14" s="44"/>
      <c r="P14" s="178"/>
      <c r="Q14" s="188"/>
      <c r="R14" s="208"/>
      <c r="S14" s="184"/>
      <c r="T14" s="188"/>
      <c r="U14" s="188"/>
      <c r="V14" s="189"/>
      <c r="W14" s="184"/>
      <c r="X14" s="181"/>
      <c r="Y14" s="193"/>
    </row>
    <row r="15" spans="1:25" ht="12.75" customHeight="1" thickBot="1">
      <c r="A15" s="179"/>
      <c r="B15" s="182"/>
      <c r="C15" s="185"/>
      <c r="D15" s="185"/>
      <c r="E15" s="190"/>
      <c r="F15" s="190"/>
      <c r="G15" s="190"/>
      <c r="H15" s="190"/>
      <c r="I15" s="191"/>
      <c r="J15" s="209"/>
      <c r="K15" s="210"/>
      <c r="L15" s="213"/>
      <c r="N15" s="44"/>
      <c r="P15" s="179"/>
      <c r="Q15" s="190"/>
      <c r="R15" s="210"/>
      <c r="S15" s="185"/>
      <c r="T15" s="190"/>
      <c r="U15" s="190"/>
      <c r="V15" s="191"/>
      <c r="W15" s="185"/>
      <c r="X15" s="182"/>
      <c r="Y15" s="194"/>
    </row>
    <row r="16" spans="1:25" ht="15" customHeight="1" thickBot="1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N16" s="45"/>
      <c r="Q16" s="16"/>
      <c r="R16" s="16"/>
      <c r="S16" s="16"/>
      <c r="T16" s="16"/>
      <c r="U16" s="16"/>
      <c r="V16" s="16"/>
      <c r="W16" s="16"/>
      <c r="X16" s="16"/>
      <c r="Y16" s="16"/>
    </row>
    <row r="17" spans="1:25" s="17" customFormat="1" ht="13.5" customHeight="1">
      <c r="A17" s="195" t="str">
        <f>IF(ISERROR((C17-B17)/C17),"",(C17-B17)/C17)</f>
        <v/>
      </c>
      <c r="B17" s="197">
        <f>SUM(B19:B21)</f>
        <v>0</v>
      </c>
      <c r="C17" s="199">
        <f>SUM(C19:C21)</f>
        <v>0</v>
      </c>
      <c r="D17" s="175"/>
      <c r="E17" s="148" t="s">
        <v>16</v>
      </c>
      <c r="F17" s="150"/>
      <c r="G17" s="201"/>
      <c r="H17" s="201"/>
      <c r="I17" s="151"/>
      <c r="J17" s="203"/>
      <c r="K17" s="165"/>
      <c r="L17" s="167"/>
      <c r="N17" s="44"/>
      <c r="P17" s="169"/>
      <c r="Q17" s="171"/>
      <c r="R17" s="173"/>
      <c r="S17" s="175"/>
      <c r="T17" s="148" t="s">
        <v>16</v>
      </c>
      <c r="U17" s="150"/>
      <c r="V17" s="151"/>
      <c r="W17" s="154">
        <f>SUM(W19:W21)</f>
        <v>0</v>
      </c>
      <c r="X17" s="214">
        <f>SUM(X19:X21)</f>
        <v>0</v>
      </c>
      <c r="Y17" s="216" t="str">
        <f>IF(ISERROR((W17-X17)/W17),"",(W17-X17)/W17)</f>
        <v/>
      </c>
    </row>
    <row r="18" spans="1:25" s="17" customFormat="1" ht="13.5" customHeight="1">
      <c r="A18" s="196"/>
      <c r="B18" s="198"/>
      <c r="C18" s="200"/>
      <c r="D18" s="176"/>
      <c r="E18" s="149"/>
      <c r="F18" s="152"/>
      <c r="G18" s="202"/>
      <c r="H18" s="202"/>
      <c r="I18" s="153"/>
      <c r="J18" s="204"/>
      <c r="K18" s="166"/>
      <c r="L18" s="168"/>
      <c r="N18" s="44"/>
      <c r="P18" s="170"/>
      <c r="Q18" s="172"/>
      <c r="R18" s="174"/>
      <c r="S18" s="176"/>
      <c r="T18" s="149"/>
      <c r="U18" s="152"/>
      <c r="V18" s="153"/>
      <c r="W18" s="155"/>
      <c r="X18" s="215"/>
      <c r="Y18" s="217"/>
    </row>
    <row r="19" spans="1:25" s="17" customFormat="1" ht="26.25" customHeight="1">
      <c r="A19" s="156" t="str">
        <f>IF(ISERROR(IF(B17="",3600/C17,3600/B17)),"",IF(B17="",3600/C17,3600/B17))</f>
        <v/>
      </c>
      <c r="B19" s="22"/>
      <c r="C19" s="23"/>
      <c r="D19" s="34"/>
      <c r="E19" s="159"/>
      <c r="F19" s="160"/>
      <c r="G19" s="160"/>
      <c r="H19" s="160"/>
      <c r="I19" s="161"/>
      <c r="J19" s="38"/>
      <c r="K19" s="42"/>
      <c r="L19" s="46"/>
      <c r="N19" s="44"/>
      <c r="P19" s="48"/>
      <c r="Q19" s="42"/>
      <c r="R19" s="36"/>
      <c r="S19" s="34"/>
      <c r="T19" s="52"/>
      <c r="U19" s="53"/>
      <c r="V19" s="53"/>
      <c r="W19" s="23"/>
      <c r="X19" s="22"/>
      <c r="Y19" s="162" t="str">
        <f>IF(ISERROR(IF(X17="",3600/W17,3600/X17)),"",IF(X17="",3600/W17,3600/X17))</f>
        <v/>
      </c>
    </row>
    <row r="20" spans="1:25" s="17" customFormat="1" ht="22.5">
      <c r="A20" s="157"/>
      <c r="B20" s="22"/>
      <c r="C20" s="23"/>
      <c r="D20" s="34"/>
      <c r="E20" s="159"/>
      <c r="F20" s="160"/>
      <c r="G20" s="160"/>
      <c r="H20" s="160"/>
      <c r="I20" s="161"/>
      <c r="J20" s="38"/>
      <c r="K20" s="42"/>
      <c r="L20" s="46"/>
      <c r="N20" s="44"/>
      <c r="P20" s="48"/>
      <c r="Q20" s="42"/>
      <c r="R20" s="36"/>
      <c r="S20" s="34"/>
      <c r="T20" s="52"/>
      <c r="U20" s="53"/>
      <c r="V20" s="53"/>
      <c r="W20" s="23"/>
      <c r="X20" s="22"/>
      <c r="Y20" s="163"/>
    </row>
    <row r="21" spans="1:25" s="17" customFormat="1" ht="26.25" customHeight="1" thickBot="1">
      <c r="A21" s="158"/>
      <c r="B21" s="24"/>
      <c r="C21" s="25"/>
      <c r="D21" s="35"/>
      <c r="E21" s="159"/>
      <c r="F21" s="160"/>
      <c r="G21" s="160"/>
      <c r="H21" s="160"/>
      <c r="I21" s="161"/>
      <c r="J21" s="37"/>
      <c r="K21" s="43"/>
      <c r="L21" s="47"/>
      <c r="N21" s="44"/>
      <c r="P21" s="49"/>
      <c r="Q21" s="43"/>
      <c r="R21" s="39"/>
      <c r="S21" s="35"/>
      <c r="T21" s="52"/>
      <c r="U21" s="53"/>
      <c r="V21" s="53"/>
      <c r="W21" s="23" t="s">
        <v>4</v>
      </c>
      <c r="X21" s="24"/>
      <c r="Y21" s="164"/>
    </row>
    <row r="24" spans="1:25" ht="18" customHeight="1">
      <c r="A24" s="145" t="s">
        <v>17</v>
      </c>
      <c r="B24" s="145"/>
      <c r="C24" s="145"/>
      <c r="D24" s="51"/>
      <c r="E24" s="146" t="s">
        <v>18</v>
      </c>
      <c r="F24" s="146"/>
      <c r="G24" s="146"/>
      <c r="H24" s="146"/>
      <c r="I24" s="146"/>
      <c r="J24" s="147" t="s">
        <v>19</v>
      </c>
      <c r="K24" s="147"/>
      <c r="N24" s="19"/>
    </row>
    <row r="25" spans="1:25" ht="18" customHeight="1">
      <c r="A25" s="127"/>
      <c r="B25" s="128"/>
      <c r="C25" s="129"/>
      <c r="D25" s="50"/>
      <c r="E25" s="130"/>
      <c r="F25" s="130"/>
      <c r="G25" s="130"/>
      <c r="H25" s="130"/>
      <c r="I25" s="130"/>
      <c r="J25" s="131"/>
      <c r="K25" s="131"/>
      <c r="N25" s="18"/>
    </row>
    <row r="26" spans="1:25" ht="18" customHeight="1">
      <c r="A26" s="127"/>
      <c r="B26" s="128"/>
      <c r="C26" s="129"/>
      <c r="D26" s="50"/>
      <c r="E26" s="130"/>
      <c r="F26" s="130"/>
      <c r="G26" s="130"/>
      <c r="H26" s="130"/>
      <c r="I26" s="130"/>
      <c r="J26" s="131"/>
      <c r="K26" s="131"/>
      <c r="N26" s="20"/>
    </row>
    <row r="27" spans="1:25" ht="18" customHeight="1">
      <c r="A27" s="127"/>
      <c r="B27" s="128"/>
      <c r="C27" s="129"/>
      <c r="D27" s="50"/>
      <c r="E27" s="130"/>
      <c r="F27" s="130"/>
      <c r="G27" s="130"/>
      <c r="H27" s="130"/>
      <c r="I27" s="130"/>
      <c r="J27" s="131"/>
      <c r="K27" s="131"/>
      <c r="N27" s="20"/>
    </row>
    <row r="28" spans="1:25" ht="18" customHeight="1">
      <c r="A28" s="127"/>
      <c r="B28" s="128"/>
      <c r="C28" s="129"/>
      <c r="D28" s="50"/>
      <c r="E28" s="130"/>
      <c r="F28" s="130"/>
      <c r="G28" s="130"/>
      <c r="H28" s="130"/>
      <c r="I28" s="130"/>
      <c r="J28" s="131"/>
      <c r="K28" s="131"/>
      <c r="N28" s="20"/>
      <c r="U28" s="143"/>
      <c r="V28" s="143"/>
    </row>
    <row r="29" spans="1:25" ht="18" customHeight="1">
      <c r="A29" s="127"/>
      <c r="B29" s="128"/>
      <c r="C29" s="129"/>
      <c r="D29" s="50"/>
      <c r="E29" s="130"/>
      <c r="F29" s="130"/>
      <c r="G29" s="130"/>
      <c r="H29" s="130"/>
      <c r="I29" s="130"/>
      <c r="J29" s="131"/>
      <c r="K29" s="131"/>
      <c r="N29" s="20"/>
      <c r="Q29" s="134" t="s">
        <v>52</v>
      </c>
      <c r="R29" s="135"/>
      <c r="S29" s="135"/>
      <c r="T29" s="41"/>
      <c r="U29" s="144"/>
      <c r="V29" s="144"/>
    </row>
    <row r="30" spans="1:25" ht="18" customHeight="1">
      <c r="A30" s="127"/>
      <c r="B30" s="128"/>
      <c r="C30" s="129"/>
      <c r="D30" s="50"/>
      <c r="E30" s="130"/>
      <c r="F30" s="130"/>
      <c r="G30" s="130"/>
      <c r="H30" s="130"/>
      <c r="I30" s="130"/>
      <c r="J30" s="131"/>
      <c r="K30" s="131"/>
      <c r="N30" s="20"/>
      <c r="T30" s="40"/>
    </row>
    <row r="31" spans="1:25" ht="18" customHeight="1">
      <c r="A31" s="127"/>
      <c r="B31" s="128"/>
      <c r="C31" s="129"/>
      <c r="D31" s="50"/>
      <c r="E31" s="130"/>
      <c r="F31" s="130"/>
      <c r="G31" s="130"/>
      <c r="H31" s="130"/>
      <c r="I31" s="130"/>
      <c r="J31" s="131"/>
      <c r="K31" s="131"/>
      <c r="N31" s="20"/>
      <c r="U31" s="141"/>
      <c r="V31" s="141"/>
    </row>
    <row r="32" spans="1:25" ht="18" customHeight="1">
      <c r="A32" s="127"/>
      <c r="B32" s="128"/>
      <c r="C32" s="129"/>
      <c r="D32" s="50"/>
      <c r="E32" s="130"/>
      <c r="F32" s="130"/>
      <c r="G32" s="130"/>
      <c r="H32" s="130"/>
      <c r="I32" s="130"/>
      <c r="J32" s="131"/>
      <c r="K32" s="131"/>
      <c r="N32" s="20"/>
      <c r="Q32" s="134" t="s">
        <v>53</v>
      </c>
      <c r="R32" s="135"/>
      <c r="S32" s="135"/>
      <c r="T32" s="41"/>
      <c r="U32" s="142"/>
      <c r="V32" s="142"/>
    </row>
    <row r="33" spans="1:22" ht="18" customHeight="1">
      <c r="A33" s="127"/>
      <c r="B33" s="128"/>
      <c r="C33" s="129"/>
      <c r="D33" s="50"/>
      <c r="E33" s="130"/>
      <c r="F33" s="130"/>
      <c r="G33" s="130"/>
      <c r="H33" s="130"/>
      <c r="I33" s="130"/>
      <c r="J33" s="131"/>
      <c r="K33" s="131"/>
      <c r="N33" s="20"/>
      <c r="T33" s="40"/>
      <c r="U33" s="21"/>
      <c r="V33" s="21"/>
    </row>
    <row r="34" spans="1:22" ht="20.25">
      <c r="A34" s="127"/>
      <c r="B34" s="128"/>
      <c r="C34" s="129"/>
      <c r="D34" s="50"/>
      <c r="E34" s="130"/>
      <c r="F34" s="130"/>
      <c r="G34" s="130"/>
      <c r="H34" s="130"/>
      <c r="I34" s="130"/>
      <c r="J34" s="131"/>
      <c r="K34" s="131"/>
      <c r="U34" s="132"/>
      <c r="V34" s="132"/>
    </row>
    <row r="35" spans="1:22" ht="18" customHeight="1">
      <c r="Q35" s="134" t="s">
        <v>54</v>
      </c>
      <c r="R35" s="135"/>
      <c r="S35" s="135"/>
      <c r="T35" s="41"/>
      <c r="U35" s="133"/>
      <c r="V35" s="133"/>
    </row>
    <row r="36" spans="1:22" ht="18" customHeight="1">
      <c r="T36" s="40"/>
      <c r="U36" s="21"/>
      <c r="V36" s="21"/>
    </row>
    <row r="37" spans="1:22" ht="18" customHeight="1">
      <c r="E37" s="136" t="s">
        <v>21</v>
      </c>
      <c r="F37" s="137"/>
      <c r="G37" s="137"/>
      <c r="H37" s="137"/>
      <c r="I37" s="137"/>
      <c r="J37" s="138"/>
      <c r="U37" s="139"/>
      <c r="V37" s="139"/>
    </row>
    <row r="38" spans="1:22" ht="13.5" customHeight="1">
      <c r="A38" s="100" t="s">
        <v>50</v>
      </c>
      <c r="B38" s="100"/>
      <c r="C38" s="101" t="e">
        <f>COUNTIF(MachineAttachmentTemplateL,"*"&amp;A38&amp;"*")+COUNTIF(MachineAttachmentTemplateR,"*"&amp;A38&amp;"*")</f>
        <v>#NAME?</v>
      </c>
      <c r="D38" s="102"/>
      <c r="E38" s="54"/>
      <c r="F38" s="26" t="str">
        <f>IF(E38="","",COUNTIF(MachineINV1,E38) + COUNTIF(MachineINV2,E38))</f>
        <v/>
      </c>
      <c r="G38" s="54"/>
      <c r="H38" s="26" t="str">
        <f>IF(G38="","",COUNTIF(MachineINV1,G38) + COUNTIF(MachineINV2,G38))</f>
        <v/>
      </c>
      <c r="I38" s="27"/>
      <c r="J38" s="26" t="str">
        <f>IF(I38="","",COUNTIF(MachineINV1,I38) + COUNTIF(MachineINV2,I38))</f>
        <v/>
      </c>
      <c r="Q38" s="134" t="s">
        <v>55</v>
      </c>
      <c r="R38" s="135"/>
      <c r="S38" s="135"/>
      <c r="T38" s="41"/>
      <c r="U38" s="140"/>
      <c r="V38" s="140"/>
    </row>
    <row r="39" spans="1:22" ht="13.5" customHeight="1">
      <c r="A39" s="100"/>
      <c r="B39" s="100"/>
      <c r="C39" s="103"/>
      <c r="D39" s="104"/>
      <c r="E39" s="54"/>
      <c r="F39" s="26" t="str">
        <f>IF(E39="","",COUNTIF(MachineINV1,E39) + COUNTIF(MachineINV2,E39))</f>
        <v/>
      </c>
      <c r="G39" s="54"/>
      <c r="H39" s="26" t="str">
        <f>IF(G39="","",COUNTIF(MachineINV1,G39) + COUNTIF(MachineINV2,G39))</f>
        <v/>
      </c>
      <c r="I39" s="27"/>
      <c r="J39" s="26" t="str">
        <f>IF(I39="","",COUNTIF(MachineINV1,I39) + COUNTIF(MachineINV2,I39))</f>
        <v/>
      </c>
      <c r="T39" s="40"/>
    </row>
    <row r="40" spans="1:22" ht="13.5" customHeight="1">
      <c r="A40" s="100" t="s">
        <v>22</v>
      </c>
      <c r="B40" s="100"/>
      <c r="C40" s="101" t="e">
        <f>COUNTIF(MachineAttachmentTemplateL,"*"&amp;A40&amp;"*")+COUNTIF(MachineAttachmentTemplateR,"*"&amp;A40&amp;"*")</f>
        <v>#NAME?</v>
      </c>
      <c r="D40" s="102"/>
      <c r="E40" s="54"/>
      <c r="F40" s="26" t="str">
        <f>IF(E40="","",COUNTIF(MachineINV1,E40) + COUNTIF(MachineINV2,E40))</f>
        <v/>
      </c>
      <c r="G40" s="54"/>
      <c r="H40" s="26" t="str">
        <f>IF(G40="","",COUNTIF(MachineINV1,G40) + COUNTIF(MachineINV2,G40))</f>
        <v/>
      </c>
      <c r="I40" s="27"/>
      <c r="J40" s="26" t="str">
        <f>IF(I40="","",COUNTIF(MachineINV1,I40) + COUNTIF(MachineINV2,I40))</f>
        <v/>
      </c>
    </row>
    <row r="41" spans="1:22" ht="13.5" customHeight="1">
      <c r="A41" s="100"/>
      <c r="B41" s="100"/>
      <c r="C41" s="103"/>
      <c r="D41" s="104"/>
      <c r="E41" s="54"/>
      <c r="F41" s="26" t="str">
        <f>IF(E41="","",COUNTIF(MachineINV1,E41) + COUNTIF(MachineINV2,E41))</f>
        <v/>
      </c>
      <c r="G41" s="27"/>
      <c r="H41" s="26" t="str">
        <f>IF(G41="","",COUNTIF(MachineINV1,G41) + COUNTIF(MachineINV2,G41))</f>
        <v/>
      </c>
      <c r="I41" s="27"/>
      <c r="J41" s="26" t="str">
        <f>IF(I41="","",COUNTIF(MachineINV1,I41) + COUNTIF(MachineINV2,I41))</f>
        <v/>
      </c>
    </row>
    <row r="42" spans="1:22" ht="13.5" customHeight="1">
      <c r="E42" s="54"/>
      <c r="F42" s="26" t="str">
        <f>IF(E42="","",COUNTIF(MachineINV1,E42) + COUNTIF(MachineINV2,E42))</f>
        <v/>
      </c>
      <c r="G42" s="27"/>
      <c r="H42" s="26" t="str">
        <f>IF(G42="","",COUNTIF(MachineINV1,G42) + COUNTIF(MachineINV2,G42))</f>
        <v/>
      </c>
      <c r="I42" s="27"/>
      <c r="J42" s="26" t="str">
        <f>IF(I42="","",COUNTIF(MachineINV1,I42) + COUNTIF(MachineINV2,I42))</f>
        <v/>
      </c>
    </row>
    <row r="43" spans="1:22" ht="13.5" customHeight="1">
      <c r="E43" s="55" t="s">
        <v>20</v>
      </c>
      <c r="F43" s="105">
        <f>SUM(F38:F42)+SUM(H38:H42)+SUM(J38:J42)</f>
        <v>0</v>
      </c>
      <c r="G43" s="106"/>
      <c r="H43" s="106"/>
      <c r="I43" s="106"/>
      <c r="J43" s="107"/>
    </row>
    <row r="44" spans="1:22" ht="17.25" thickBot="1"/>
    <row r="45" spans="1:22" ht="13.5" customHeight="1">
      <c r="A45" s="108" t="s">
        <v>49</v>
      </c>
      <c r="B45" s="109"/>
      <c r="C45" s="109"/>
      <c r="D45" s="109"/>
      <c r="E45" s="109"/>
      <c r="F45" s="110"/>
    </row>
    <row r="46" spans="1:22" ht="13.5" customHeight="1">
      <c r="A46" s="111"/>
      <c r="B46" s="112"/>
      <c r="C46" s="112"/>
      <c r="D46" s="112"/>
      <c r="E46" s="112"/>
      <c r="F46" s="113"/>
    </row>
    <row r="47" spans="1:22" ht="13.5" customHeight="1">
      <c r="A47" s="114"/>
      <c r="B47" s="115"/>
      <c r="C47" s="115"/>
      <c r="D47" s="115"/>
      <c r="E47" s="115"/>
      <c r="F47" s="116"/>
    </row>
    <row r="48" spans="1:22" ht="13.5" customHeight="1">
      <c r="A48" s="117" t="s">
        <v>0</v>
      </c>
      <c r="B48" s="119" t="s">
        <v>23</v>
      </c>
      <c r="C48" s="120"/>
      <c r="D48" s="119" t="s">
        <v>24</v>
      </c>
      <c r="E48" s="122"/>
      <c r="F48" s="123"/>
    </row>
    <row r="49" spans="1:6" ht="13.5" customHeight="1">
      <c r="A49" s="118"/>
      <c r="B49" s="121"/>
      <c r="C49" s="121"/>
      <c r="D49" s="124"/>
      <c r="E49" s="124"/>
      <c r="F49" s="125"/>
    </row>
    <row r="50" spans="1:6" ht="13.5" customHeight="1">
      <c r="A50" s="118"/>
      <c r="B50" s="121"/>
      <c r="C50" s="121"/>
      <c r="D50" s="126"/>
      <c r="E50" s="126"/>
      <c r="F50" s="125"/>
    </row>
    <row r="51" spans="1:6" ht="13.5" customHeight="1">
      <c r="A51" s="29"/>
      <c r="B51" s="91" t="str">
        <f>IF(A51="","",COUNTIF(MachineINV1,A51) + COUNTIF(MachineINV2,A51))</f>
        <v/>
      </c>
      <c r="C51" s="92"/>
      <c r="D51" s="91"/>
      <c r="E51" s="92"/>
      <c r="F51" s="93"/>
    </row>
    <row r="52" spans="1:6" ht="13.5" customHeight="1">
      <c r="A52" s="30"/>
      <c r="B52" s="94" t="str">
        <f>IF(A52="","",COUNTIF(MachineINV1,A52) + COUNTIF(MachineINV2,A52))</f>
        <v/>
      </c>
      <c r="C52" s="95"/>
      <c r="D52" s="94"/>
      <c r="E52" s="95"/>
      <c r="F52" s="96"/>
    </row>
    <row r="53" spans="1:6" ht="13.5" customHeight="1" thickBot="1">
      <c r="A53" s="28"/>
      <c r="B53" s="97" t="str">
        <f>IF(A53="","",COUNTIF(MachineINV1,A53) + COUNTIF(MachineINV2,A53))</f>
        <v/>
      </c>
      <c r="C53" s="98"/>
      <c r="D53" s="97"/>
      <c r="E53" s="98"/>
      <c r="F53" s="99"/>
    </row>
    <row r="55" spans="1:6" ht="17.25" thickBot="1"/>
    <row r="56" spans="1:6">
      <c r="A56" s="86" t="s">
        <v>38</v>
      </c>
      <c r="B56" s="87"/>
      <c r="C56" s="87"/>
      <c r="D56" s="88"/>
      <c r="E56" s="89"/>
      <c r="F56" s="90"/>
    </row>
    <row r="57" spans="1:6">
      <c r="A57" s="65"/>
      <c r="B57" s="64"/>
      <c r="C57" s="64"/>
      <c r="D57" s="83"/>
      <c r="E57" s="84"/>
      <c r="F57" s="85"/>
    </row>
    <row r="58" spans="1:6" ht="16.5" customHeight="1">
      <c r="A58" s="63" t="s">
        <v>39</v>
      </c>
      <c r="B58" s="64"/>
      <c r="C58" s="64"/>
      <c r="D58" s="80"/>
      <c r="E58" s="81"/>
      <c r="F58" s="82"/>
    </row>
    <row r="59" spans="1:6" ht="16.5" customHeight="1">
      <c r="A59" s="65"/>
      <c r="B59" s="64"/>
      <c r="C59" s="64"/>
      <c r="D59" s="83"/>
      <c r="E59" s="84"/>
      <c r="F59" s="85"/>
    </row>
    <row r="60" spans="1:6" ht="16.5" customHeight="1">
      <c r="A60" s="63" t="s">
        <v>40</v>
      </c>
      <c r="B60" s="64"/>
      <c r="C60" s="64"/>
      <c r="D60" s="80"/>
      <c r="E60" s="81"/>
      <c r="F60" s="82"/>
    </row>
    <row r="61" spans="1:6" ht="16.5" customHeight="1">
      <c r="A61" s="65"/>
      <c r="B61" s="64"/>
      <c r="C61" s="64"/>
      <c r="D61" s="83"/>
      <c r="E61" s="84"/>
      <c r="F61" s="85"/>
    </row>
    <row r="62" spans="1:6" ht="16.5" customHeight="1">
      <c r="A62" s="63" t="s">
        <v>41</v>
      </c>
      <c r="B62" s="64"/>
      <c r="C62" s="64"/>
      <c r="D62" s="80" t="e">
        <f>IF(TtlGSD=0,0,ROUND(3600*D60/TtlGSD,0))</f>
        <v>#NAME?</v>
      </c>
      <c r="E62" s="81"/>
      <c r="F62" s="82"/>
    </row>
    <row r="63" spans="1:6" ht="16.5" customHeight="1">
      <c r="A63" s="65"/>
      <c r="B63" s="64"/>
      <c r="C63" s="64"/>
      <c r="D63" s="83"/>
      <c r="E63" s="84"/>
      <c r="F63" s="85"/>
    </row>
    <row r="64" spans="1:6" ht="16.5" customHeight="1">
      <c r="A64" s="63" t="s">
        <v>42</v>
      </c>
      <c r="B64" s="64"/>
      <c r="C64" s="64"/>
      <c r="D64" s="80" t="e">
        <f>ROUND(D62*D58,0)</f>
        <v>#NAME?</v>
      </c>
      <c r="E64" s="81"/>
      <c r="F64" s="82"/>
    </row>
    <row r="65" spans="1:6" ht="16.5" customHeight="1">
      <c r="A65" s="65"/>
      <c r="B65" s="64"/>
      <c r="C65" s="64"/>
      <c r="D65" s="83"/>
      <c r="E65" s="84"/>
      <c r="F65" s="85"/>
    </row>
    <row r="66" spans="1:6" ht="16.5" customHeight="1">
      <c r="A66" s="63" t="s">
        <v>43</v>
      </c>
      <c r="B66" s="64"/>
      <c r="C66" s="64"/>
      <c r="D66" s="80" t="e">
        <f>IF(D64=0,0,ROUND(D58*3600/D64,0))</f>
        <v>#NAME?</v>
      </c>
      <c r="E66" s="81"/>
      <c r="F66" s="82"/>
    </row>
    <row r="67" spans="1:6" ht="16.5" customHeight="1">
      <c r="A67" s="65"/>
      <c r="B67" s="64"/>
      <c r="C67" s="64"/>
      <c r="D67" s="83"/>
      <c r="E67" s="84"/>
      <c r="F67" s="85"/>
    </row>
    <row r="68" spans="1:6" ht="16.5" customHeight="1">
      <c r="A68" s="63" t="s">
        <v>30</v>
      </c>
      <c r="B68" s="64"/>
      <c r="C68" s="64"/>
      <c r="D68" s="80" t="e">
        <f>ROUND(3600/MaxTMS,2)</f>
        <v>#NAME?</v>
      </c>
      <c r="E68" s="81"/>
      <c r="F68" s="82"/>
    </row>
    <row r="69" spans="1:6" ht="16.5" customHeight="1">
      <c r="A69" s="65"/>
      <c r="B69" s="64"/>
      <c r="C69" s="64"/>
      <c r="D69" s="83"/>
      <c r="E69" s="84"/>
      <c r="F69" s="85"/>
    </row>
    <row r="70" spans="1:6" ht="16.5" customHeight="1">
      <c r="A70" s="63" t="s">
        <v>31</v>
      </c>
      <c r="B70" s="64"/>
      <c r="C70" s="64"/>
      <c r="D70" s="80" t="e">
        <f>TtlTMS</f>
        <v>#NAME?</v>
      </c>
      <c r="E70" s="81"/>
      <c r="F70" s="82"/>
    </row>
    <row r="71" spans="1:6" ht="16.5" customHeight="1">
      <c r="A71" s="65"/>
      <c r="B71" s="64"/>
      <c r="C71" s="64"/>
      <c r="D71" s="83"/>
      <c r="E71" s="84"/>
      <c r="F71" s="85"/>
    </row>
    <row r="72" spans="1:6" ht="16.5" customHeight="1">
      <c r="A72" s="63" t="s">
        <v>32</v>
      </c>
      <c r="B72" s="64"/>
      <c r="C72" s="64"/>
      <c r="D72" s="80" t="e">
        <f>TtlGSD</f>
        <v>#NAME?</v>
      </c>
      <c r="E72" s="81"/>
      <c r="F72" s="82"/>
    </row>
    <row r="73" spans="1:6" ht="16.5" customHeight="1">
      <c r="A73" s="65"/>
      <c r="B73" s="64"/>
      <c r="C73" s="64"/>
      <c r="D73" s="83"/>
      <c r="E73" s="84"/>
      <c r="F73" s="85"/>
    </row>
    <row r="74" spans="1:6" ht="16.5" customHeight="1">
      <c r="A74" s="63" t="s">
        <v>33</v>
      </c>
      <c r="B74" s="64"/>
      <c r="C74" s="64"/>
      <c r="D74" s="66" t="e">
        <f>IF(D72=0,0,(D72-D70)/D72)</f>
        <v>#NAME?</v>
      </c>
      <c r="E74" s="67"/>
      <c r="F74" s="68"/>
    </row>
    <row r="75" spans="1:6" ht="16.5" customHeight="1">
      <c r="A75" s="65"/>
      <c r="B75" s="64"/>
      <c r="C75" s="64"/>
      <c r="D75" s="69"/>
      <c r="E75" s="70"/>
      <c r="F75" s="71"/>
    </row>
    <row r="76" spans="1:6" ht="16.5" customHeight="1">
      <c r="A76" s="63" t="s">
        <v>34</v>
      </c>
      <c r="B76" s="64"/>
      <c r="C76" s="64"/>
      <c r="D76" s="66" t="e">
        <f>IF(OR(D60=0,MaxTMS=0),0,D70/MaxTMS/D60)</f>
        <v>#NAME?</v>
      </c>
      <c r="E76" s="67"/>
      <c r="F76" s="68"/>
    </row>
    <row r="77" spans="1:6" ht="16.5" customHeight="1">
      <c r="A77" s="65"/>
      <c r="B77" s="64"/>
      <c r="C77" s="64"/>
      <c r="D77" s="69"/>
      <c r="E77" s="70"/>
      <c r="F77" s="71"/>
    </row>
    <row r="78" spans="1:6" ht="16.5" customHeight="1">
      <c r="A78" s="63" t="s">
        <v>35</v>
      </c>
      <c r="B78" s="64"/>
      <c r="C78" s="64"/>
      <c r="D78" s="66" t="e">
        <f>IF(OR(D66=0,D60=0),0,D70/D66/D60)</f>
        <v>#NAME?</v>
      </c>
      <c r="E78" s="67"/>
      <c r="F78" s="68"/>
    </row>
    <row r="79" spans="1:6" ht="16.5" customHeight="1">
      <c r="A79" s="65"/>
      <c r="B79" s="64"/>
      <c r="C79" s="64"/>
      <c r="D79" s="69"/>
      <c r="E79" s="70"/>
      <c r="F79" s="71"/>
    </row>
    <row r="80" spans="1:6" ht="16.5" customHeight="1">
      <c r="A80" s="63" t="s">
        <v>36</v>
      </c>
      <c r="B80" s="64"/>
      <c r="C80" s="64"/>
      <c r="D80" s="66" t="e">
        <f>IF(OR(MaxTMS=0,D60=0),0,D72/MaxTMS/D60)</f>
        <v>#NAME?</v>
      </c>
      <c r="E80" s="67"/>
      <c r="F80" s="68"/>
    </row>
    <row r="81" spans="1:6" ht="16.5" customHeight="1">
      <c r="A81" s="65"/>
      <c r="B81" s="64"/>
      <c r="C81" s="64"/>
      <c r="D81" s="69"/>
      <c r="E81" s="70"/>
      <c r="F81" s="71"/>
    </row>
    <row r="82" spans="1:6" ht="16.5" customHeight="1">
      <c r="A82" s="63" t="s">
        <v>37</v>
      </c>
      <c r="B82" s="64"/>
      <c r="C82" s="64"/>
      <c r="D82" s="74" t="e">
        <f>IF(OR(MaxTMS=0,D60=0),0,ROUND(3600/MaxTMS,2)*F9/D60)</f>
        <v>#NAME?</v>
      </c>
      <c r="E82" s="75"/>
      <c r="F82" s="76"/>
    </row>
    <row r="83" spans="1:6" ht="17.25" customHeight="1" thickBot="1">
      <c r="A83" s="72"/>
      <c r="B83" s="73"/>
      <c r="C83" s="73"/>
      <c r="D83" s="77"/>
      <c r="E83" s="78"/>
      <c r="F83" s="79"/>
    </row>
  </sheetData>
  <mergeCells count="132"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A12:A15"/>
    <mergeCell ref="B12:B15"/>
    <mergeCell ref="C12:C15"/>
    <mergeCell ref="D12:D15"/>
    <mergeCell ref="E12:I15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X17:X18"/>
    <mergeCell ref="Y17:Y18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A24:C24"/>
    <mergeCell ref="E24:I24"/>
    <mergeCell ref="J24:K24"/>
    <mergeCell ref="A25:C25"/>
    <mergeCell ref="E25:I25"/>
    <mergeCell ref="J25:K25"/>
    <mergeCell ref="T17:T18"/>
    <mergeCell ref="U17:V18"/>
    <mergeCell ref="W17:W18"/>
    <mergeCell ref="A19:A21"/>
    <mergeCell ref="E19:I19"/>
    <mergeCell ref="U28:V29"/>
    <mergeCell ref="A29:C29"/>
    <mergeCell ref="E29:I29"/>
    <mergeCell ref="J29:K29"/>
    <mergeCell ref="Q29:S29"/>
    <mergeCell ref="A26:C26"/>
    <mergeCell ref="E26:I26"/>
    <mergeCell ref="J26:K26"/>
    <mergeCell ref="A27:C27"/>
    <mergeCell ref="E27:I27"/>
    <mergeCell ref="J27:K27"/>
    <mergeCell ref="A30:C30"/>
    <mergeCell ref="E30:I30"/>
    <mergeCell ref="J30:K30"/>
    <mergeCell ref="A31:C31"/>
    <mergeCell ref="E31:I31"/>
    <mergeCell ref="J31:K31"/>
    <mergeCell ref="A28:C28"/>
    <mergeCell ref="E28:I28"/>
    <mergeCell ref="J28:K28"/>
    <mergeCell ref="U34:V35"/>
    <mergeCell ref="Q35:S35"/>
    <mergeCell ref="E37:J37"/>
    <mergeCell ref="U37:V38"/>
    <mergeCell ref="A38:B39"/>
    <mergeCell ref="C38:D39"/>
    <mergeCell ref="Q38:S38"/>
    <mergeCell ref="U31:V32"/>
    <mergeCell ref="A32:C32"/>
    <mergeCell ref="E32:I32"/>
    <mergeCell ref="J32:K32"/>
    <mergeCell ref="Q32:S32"/>
    <mergeCell ref="A33:C33"/>
    <mergeCell ref="E33:I33"/>
    <mergeCell ref="J33:K33"/>
    <mergeCell ref="A40:B41"/>
    <mergeCell ref="C40:D41"/>
    <mergeCell ref="F43:J43"/>
    <mergeCell ref="A45:F47"/>
    <mergeCell ref="A48:A50"/>
    <mergeCell ref="B48:C50"/>
    <mergeCell ref="D48:F50"/>
    <mergeCell ref="A34:C34"/>
    <mergeCell ref="E34:I34"/>
    <mergeCell ref="J34:K34"/>
    <mergeCell ref="A56:C57"/>
    <mergeCell ref="D56:F57"/>
    <mergeCell ref="A58:C59"/>
    <mergeCell ref="D58:F59"/>
    <mergeCell ref="A60:C61"/>
    <mergeCell ref="D60:F61"/>
    <mergeCell ref="B51:C51"/>
    <mergeCell ref="D51:F51"/>
    <mergeCell ref="B52:C52"/>
    <mergeCell ref="D52:F52"/>
    <mergeCell ref="B53:C53"/>
    <mergeCell ref="D53:F53"/>
    <mergeCell ref="A68:C69"/>
    <mergeCell ref="D68:F69"/>
    <mergeCell ref="A70:C71"/>
    <mergeCell ref="D70:F71"/>
    <mergeCell ref="A72:C73"/>
    <mergeCell ref="D72:F73"/>
    <mergeCell ref="A62:C63"/>
    <mergeCell ref="D62:F63"/>
    <mergeCell ref="A64:C65"/>
    <mergeCell ref="D64:F65"/>
    <mergeCell ref="A66:C67"/>
    <mergeCell ref="D66:F67"/>
    <mergeCell ref="A80:C81"/>
    <mergeCell ref="D80:F81"/>
    <mergeCell ref="A82:C83"/>
    <mergeCell ref="D82:F83"/>
    <mergeCell ref="A74:C75"/>
    <mergeCell ref="D74:F75"/>
    <mergeCell ref="A76:C77"/>
    <mergeCell ref="D76:F77"/>
    <mergeCell ref="A78:C79"/>
    <mergeCell ref="D78:F79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E1" sqref="E1"/>
    </sheetView>
  </sheetViews>
  <sheetFormatPr defaultRowHeight="16.5"/>
  <cols>
    <col min="2" max="2" width="14.125" bestFit="1" customWidth="1"/>
    <col min="3" max="3" width="9" style="32"/>
    <col min="4" max="4" width="22.375" bestFit="1" customWidth="1"/>
  </cols>
  <sheetData>
    <row r="1" spans="1:5">
      <c r="A1" s="32" t="s">
        <v>27</v>
      </c>
      <c r="B1" t="s">
        <v>25</v>
      </c>
      <c r="C1" s="32" t="s">
        <v>26</v>
      </c>
      <c r="D1" s="31" t="s">
        <v>57</v>
      </c>
      <c r="E1" t="e">
        <f>'Line Mapping'!D66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E31" sqref="E31"/>
    </sheetView>
  </sheetViews>
  <sheetFormatPr defaultRowHeight="16.5"/>
  <cols>
    <col min="1" max="1" width="11.375" bestFit="1" customWidth="1"/>
    <col min="2" max="2" width="9.25" bestFit="1" customWidth="1"/>
    <col min="3" max="3" width="10" bestFit="1" customWidth="1"/>
  </cols>
  <sheetData>
    <row r="1" spans="1:3">
      <c r="A1" s="32" t="s">
        <v>27</v>
      </c>
      <c r="B1" t="s">
        <v>28</v>
      </c>
      <c r="C1" t="s">
        <v>29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83"/>
  <sheetViews>
    <sheetView topLeftCell="A40" zoomScale="65" zoomScaleNormal="65" workbookViewId="0">
      <selection activeCell="AF19" sqref="AF19"/>
    </sheetView>
  </sheetViews>
  <sheetFormatPr defaultRowHeight="16.5"/>
  <cols>
    <col min="1" max="1" width="9" style="15"/>
    <col min="2" max="2" width="7" style="15" customWidth="1"/>
    <col min="3" max="4" width="5.375" style="15" customWidth="1"/>
    <col min="5" max="5" width="15.25" style="15" customWidth="1"/>
    <col min="6" max="6" width="13.25" style="15" customWidth="1"/>
    <col min="7" max="7" width="12.25" style="15" customWidth="1"/>
    <col min="8" max="8" width="9.75" style="15" customWidth="1"/>
    <col min="9" max="9" width="10.5" style="15" customWidth="1"/>
    <col min="10" max="10" width="20.5" style="15" customWidth="1"/>
    <col min="11" max="11" width="0.125" style="15" customWidth="1"/>
    <col min="12" max="12" width="17.375" style="15" bestFit="1" customWidth="1"/>
    <col min="13" max="13" width="2.625" style="15" customWidth="1"/>
    <col min="14" max="14" width="7.625" style="15" customWidth="1"/>
    <col min="15" max="15" width="2.625" style="15" customWidth="1"/>
    <col min="16" max="16" width="17.375" style="15" bestFit="1" customWidth="1"/>
    <col min="17" max="17" width="18.25" style="15" customWidth="1"/>
    <col min="18" max="18" width="0.125" style="15" customWidth="1"/>
    <col min="19" max="19" width="5.375" style="15" customWidth="1"/>
    <col min="20" max="20" width="65.5" style="15" customWidth="1"/>
    <col min="21" max="21" width="37.5" style="15" hidden="1" customWidth="1"/>
    <col min="22" max="22" width="0.25" style="15" customWidth="1"/>
    <col min="23" max="23" width="5.5" style="15" customWidth="1"/>
    <col min="24" max="24" width="7" style="15" customWidth="1"/>
    <col min="25" max="25" width="7.625" style="15" customWidth="1"/>
    <col min="26" max="26" width="8.625" style="15" customWidth="1"/>
    <col min="27" max="27" width="6.75" style="15" hidden="1" customWidth="1"/>
    <col min="28" max="28" width="0.25" style="15" customWidth="1"/>
    <col min="29" max="29" width="8" style="15" customWidth="1"/>
    <col min="30" max="31" width="9" style="15" hidden="1" customWidth="1"/>
    <col min="32" max="16384" width="9" style="15"/>
  </cols>
  <sheetData>
    <row r="1" spans="1:25" ht="13.5" customHeight="1">
      <c r="A1" s="218" t="s">
        <v>11</v>
      </c>
      <c r="B1" s="219"/>
      <c r="C1" s="219"/>
      <c r="D1" s="219"/>
      <c r="E1" s="220"/>
      <c r="F1" s="224"/>
      <c r="G1" s="225"/>
    </row>
    <row r="2" spans="1:25" ht="13.5" customHeight="1">
      <c r="A2" s="221"/>
      <c r="B2" s="222"/>
      <c r="C2" s="222"/>
      <c r="D2" s="222"/>
      <c r="E2" s="223"/>
      <c r="F2" s="226"/>
      <c r="G2" s="227"/>
    </row>
    <row r="3" spans="1:25" ht="13.5" customHeight="1">
      <c r="A3" s="228" t="s">
        <v>1</v>
      </c>
      <c r="B3" s="229"/>
      <c r="C3" s="229"/>
      <c r="D3" s="229"/>
      <c r="E3" s="230"/>
      <c r="F3" s="231"/>
      <c r="G3" s="232"/>
    </row>
    <row r="4" spans="1:25" ht="13.5" customHeight="1">
      <c r="A4" s="221"/>
      <c r="B4" s="222"/>
      <c r="C4" s="222"/>
      <c r="D4" s="222"/>
      <c r="E4" s="223"/>
      <c r="F4" s="231"/>
      <c r="G4" s="232"/>
    </row>
    <row r="5" spans="1:25" ht="13.5" customHeight="1">
      <c r="A5" s="228" t="s">
        <v>12</v>
      </c>
      <c r="B5" s="229"/>
      <c r="C5" s="229"/>
      <c r="D5" s="229"/>
      <c r="E5" s="230"/>
      <c r="F5" s="226"/>
      <c r="G5" s="227"/>
    </row>
    <row r="6" spans="1:25" ht="13.5" customHeight="1">
      <c r="A6" s="221"/>
      <c r="B6" s="222"/>
      <c r="C6" s="222"/>
      <c r="D6" s="222"/>
      <c r="E6" s="223"/>
      <c r="F6" s="226"/>
      <c r="G6" s="227"/>
    </row>
    <row r="7" spans="1:25" ht="13.5" customHeight="1">
      <c r="A7" s="228" t="s">
        <v>2</v>
      </c>
      <c r="B7" s="229"/>
      <c r="C7" s="229"/>
      <c r="D7" s="229"/>
      <c r="E7" s="230"/>
      <c r="F7" s="226"/>
      <c r="G7" s="227"/>
    </row>
    <row r="8" spans="1:25" ht="26.25" customHeight="1">
      <c r="A8" s="221"/>
      <c r="B8" s="222"/>
      <c r="C8" s="222"/>
      <c r="D8" s="222"/>
      <c r="E8" s="223"/>
      <c r="F8" s="226"/>
      <c r="G8" s="227"/>
    </row>
    <row r="9" spans="1:25" ht="13.5" customHeight="1">
      <c r="A9" s="233" t="s">
        <v>13</v>
      </c>
      <c r="B9" s="229"/>
      <c r="C9" s="229"/>
      <c r="D9" s="229"/>
      <c r="E9" s="230"/>
      <c r="F9" s="237"/>
      <c r="G9" s="238"/>
    </row>
    <row r="10" spans="1:25" ht="13.5" customHeight="1" thickBot="1">
      <c r="A10" s="234"/>
      <c r="B10" s="235"/>
      <c r="C10" s="235"/>
      <c r="D10" s="235"/>
      <c r="E10" s="236"/>
      <c r="F10" s="239"/>
      <c r="G10" s="240"/>
    </row>
    <row r="11" spans="1:25" ht="17.25" thickBot="1"/>
    <row r="12" spans="1:25" ht="12.75" customHeight="1">
      <c r="A12" s="177" t="s">
        <v>14</v>
      </c>
      <c r="B12" s="180" t="s">
        <v>15</v>
      </c>
      <c r="C12" s="183" t="s">
        <v>3</v>
      </c>
      <c r="D12" s="183" t="s">
        <v>48</v>
      </c>
      <c r="E12" s="186" t="s">
        <v>17</v>
      </c>
      <c r="F12" s="186"/>
      <c r="G12" s="186"/>
      <c r="H12" s="186"/>
      <c r="I12" s="187"/>
      <c r="J12" s="205" t="s">
        <v>60</v>
      </c>
      <c r="K12" s="206"/>
      <c r="L12" s="211" t="s">
        <v>61</v>
      </c>
      <c r="N12" s="44"/>
      <c r="P12" s="177" t="s">
        <v>61</v>
      </c>
      <c r="Q12" s="186" t="s">
        <v>60</v>
      </c>
      <c r="R12" s="206"/>
      <c r="S12" s="183" t="s">
        <v>48</v>
      </c>
      <c r="T12" s="186" t="s">
        <v>17</v>
      </c>
      <c r="U12" s="186"/>
      <c r="V12" s="187"/>
      <c r="W12" s="183" t="s">
        <v>3</v>
      </c>
      <c r="X12" s="180" t="s">
        <v>15</v>
      </c>
      <c r="Y12" s="192" t="s">
        <v>14</v>
      </c>
    </row>
    <row r="13" spans="1:25" ht="12.75" customHeight="1">
      <c r="A13" s="178"/>
      <c r="B13" s="181"/>
      <c r="C13" s="184"/>
      <c r="D13" s="184"/>
      <c r="E13" s="188"/>
      <c r="F13" s="188"/>
      <c r="G13" s="188"/>
      <c r="H13" s="188"/>
      <c r="I13" s="189"/>
      <c r="J13" s="207"/>
      <c r="K13" s="208"/>
      <c r="L13" s="212"/>
      <c r="N13" s="44"/>
      <c r="P13" s="178"/>
      <c r="Q13" s="188"/>
      <c r="R13" s="208"/>
      <c r="S13" s="184"/>
      <c r="T13" s="188"/>
      <c r="U13" s="188"/>
      <c r="V13" s="189"/>
      <c r="W13" s="184"/>
      <c r="X13" s="181"/>
      <c r="Y13" s="193"/>
    </row>
    <row r="14" spans="1:25" ht="12.75" customHeight="1">
      <c r="A14" s="178"/>
      <c r="B14" s="181"/>
      <c r="C14" s="184"/>
      <c r="D14" s="184"/>
      <c r="E14" s="188"/>
      <c r="F14" s="188"/>
      <c r="G14" s="188"/>
      <c r="H14" s="188"/>
      <c r="I14" s="189"/>
      <c r="J14" s="207"/>
      <c r="K14" s="208"/>
      <c r="L14" s="212"/>
      <c r="N14" s="44"/>
      <c r="P14" s="178"/>
      <c r="Q14" s="188"/>
      <c r="R14" s="208"/>
      <c r="S14" s="184"/>
      <c r="T14" s="188"/>
      <c r="U14" s="188"/>
      <c r="V14" s="189"/>
      <c r="W14" s="184"/>
      <c r="X14" s="181"/>
      <c r="Y14" s="193"/>
    </row>
    <row r="15" spans="1:25" ht="12.75" customHeight="1" thickBot="1">
      <c r="A15" s="179"/>
      <c r="B15" s="182"/>
      <c r="C15" s="185"/>
      <c r="D15" s="185"/>
      <c r="E15" s="190"/>
      <c r="F15" s="190"/>
      <c r="G15" s="190"/>
      <c r="H15" s="190"/>
      <c r="I15" s="191"/>
      <c r="J15" s="209"/>
      <c r="K15" s="210"/>
      <c r="L15" s="213"/>
      <c r="N15" s="44"/>
      <c r="P15" s="179"/>
      <c r="Q15" s="190"/>
      <c r="R15" s="210"/>
      <c r="S15" s="185"/>
      <c r="T15" s="190"/>
      <c r="U15" s="190"/>
      <c r="V15" s="191"/>
      <c r="W15" s="185"/>
      <c r="X15" s="182"/>
      <c r="Y15" s="194"/>
    </row>
    <row r="16" spans="1:25" ht="15" customHeight="1" thickBot="1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N16" s="45"/>
      <c r="Q16" s="16"/>
      <c r="R16" s="16"/>
      <c r="S16" s="16"/>
      <c r="T16" s="16"/>
      <c r="U16" s="16"/>
      <c r="V16" s="16"/>
      <c r="W16" s="16"/>
      <c r="X16" s="16"/>
      <c r="Y16" s="16"/>
    </row>
    <row r="17" spans="1:25" s="17" customFormat="1" ht="13.5" customHeight="1">
      <c r="A17" s="195" t="str">
        <f>IF(ISERROR((C17-B17)/C17),"",(C17-B17)/C17)</f>
        <v/>
      </c>
      <c r="B17" s="197">
        <f>SUM(B19:B21)</f>
        <v>0</v>
      </c>
      <c r="C17" s="199">
        <f>SUM(C19:C21)</f>
        <v>0</v>
      </c>
      <c r="D17" s="175"/>
      <c r="E17" s="148" t="s">
        <v>16</v>
      </c>
      <c r="F17" s="150"/>
      <c r="G17" s="201"/>
      <c r="H17" s="201"/>
      <c r="I17" s="151"/>
      <c r="J17" s="203"/>
      <c r="K17" s="165"/>
      <c r="L17" s="167"/>
      <c r="N17" s="44"/>
      <c r="P17" s="169"/>
      <c r="Q17" s="171"/>
      <c r="R17" s="173"/>
      <c r="S17" s="175"/>
      <c r="T17" s="148" t="s">
        <v>16</v>
      </c>
      <c r="U17" s="150"/>
      <c r="V17" s="151"/>
      <c r="W17" s="154">
        <f>SUM(W19:W21)</f>
        <v>0</v>
      </c>
      <c r="X17" s="214">
        <f>SUM(X19:X21)</f>
        <v>0</v>
      </c>
      <c r="Y17" s="216" t="str">
        <f>IF(ISERROR((W17-X17)/W17),"",(W17-X17)/W17)</f>
        <v/>
      </c>
    </row>
    <row r="18" spans="1:25" s="17" customFormat="1" ht="13.5" customHeight="1">
      <c r="A18" s="196"/>
      <c r="B18" s="198"/>
      <c r="C18" s="200"/>
      <c r="D18" s="176"/>
      <c r="E18" s="149"/>
      <c r="F18" s="152"/>
      <c r="G18" s="202"/>
      <c r="H18" s="202"/>
      <c r="I18" s="153"/>
      <c r="J18" s="204"/>
      <c r="K18" s="166"/>
      <c r="L18" s="168"/>
      <c r="N18" s="44"/>
      <c r="P18" s="170"/>
      <c r="Q18" s="172"/>
      <c r="R18" s="174"/>
      <c r="S18" s="176"/>
      <c r="T18" s="149"/>
      <c r="U18" s="152"/>
      <c r="V18" s="153"/>
      <c r="W18" s="155"/>
      <c r="X18" s="215"/>
      <c r="Y18" s="217"/>
    </row>
    <row r="19" spans="1:25" s="17" customFormat="1" ht="26.25" customHeight="1">
      <c r="A19" s="156" t="str">
        <f>IF(ISERROR(IF(B17="",3600/C17,3600/B17)),"",IF(B17="",3600/C17,3600/B17))</f>
        <v/>
      </c>
      <c r="B19" s="22"/>
      <c r="C19" s="23"/>
      <c r="D19" s="34"/>
      <c r="E19" s="159"/>
      <c r="F19" s="160"/>
      <c r="G19" s="160"/>
      <c r="H19" s="160"/>
      <c r="I19" s="161"/>
      <c r="J19" s="38"/>
      <c r="K19" s="42"/>
      <c r="L19" s="46"/>
      <c r="N19" s="44"/>
      <c r="P19" s="48"/>
      <c r="Q19" s="42"/>
      <c r="R19" s="36"/>
      <c r="S19" s="34"/>
      <c r="T19" s="56"/>
      <c r="U19" s="57"/>
      <c r="V19" s="57"/>
      <c r="W19" s="23"/>
      <c r="X19" s="22"/>
      <c r="Y19" s="162" t="str">
        <f>IF(ISERROR(IF(X17="",3600/W17,3600/X17)),"",IF(X17="",3600/W17,3600/X17))</f>
        <v/>
      </c>
    </row>
    <row r="20" spans="1:25" s="17" customFormat="1" ht="22.5">
      <c r="A20" s="157"/>
      <c r="B20" s="22"/>
      <c r="C20" s="23"/>
      <c r="D20" s="34"/>
      <c r="E20" s="159"/>
      <c r="F20" s="160"/>
      <c r="G20" s="160"/>
      <c r="H20" s="160"/>
      <c r="I20" s="161"/>
      <c r="J20" s="38"/>
      <c r="K20" s="42"/>
      <c r="L20" s="46"/>
      <c r="N20" s="44"/>
      <c r="P20" s="48"/>
      <c r="Q20" s="42"/>
      <c r="R20" s="36"/>
      <c r="S20" s="34"/>
      <c r="T20" s="56"/>
      <c r="U20" s="57"/>
      <c r="V20" s="57"/>
      <c r="W20" s="23"/>
      <c r="X20" s="22"/>
      <c r="Y20" s="163"/>
    </row>
    <row r="21" spans="1:25" s="17" customFormat="1" ht="26.25" customHeight="1" thickBot="1">
      <c r="A21" s="158"/>
      <c r="B21" s="24"/>
      <c r="C21" s="25"/>
      <c r="D21" s="35"/>
      <c r="E21" s="159"/>
      <c r="F21" s="160"/>
      <c r="G21" s="160"/>
      <c r="H21" s="160"/>
      <c r="I21" s="161"/>
      <c r="J21" s="37"/>
      <c r="K21" s="43"/>
      <c r="L21" s="47"/>
      <c r="N21" s="44"/>
      <c r="P21" s="49"/>
      <c r="Q21" s="43"/>
      <c r="R21" s="39"/>
      <c r="S21" s="35"/>
      <c r="T21" s="56"/>
      <c r="U21" s="57"/>
      <c r="V21" s="57"/>
      <c r="W21" s="23" t="s">
        <v>4</v>
      </c>
      <c r="X21" s="24"/>
      <c r="Y21" s="164"/>
    </row>
    <row r="24" spans="1:25" ht="18" customHeight="1">
      <c r="A24" s="145" t="s">
        <v>17</v>
      </c>
      <c r="B24" s="145"/>
      <c r="C24" s="145"/>
      <c r="D24" s="58"/>
      <c r="E24" s="146" t="s">
        <v>18</v>
      </c>
      <c r="F24" s="146"/>
      <c r="G24" s="146"/>
      <c r="H24" s="146"/>
      <c r="I24" s="146"/>
      <c r="J24" s="147" t="s">
        <v>19</v>
      </c>
      <c r="K24" s="147"/>
      <c r="N24" s="19"/>
    </row>
    <row r="25" spans="1:25" ht="18" customHeight="1">
      <c r="A25" s="127"/>
      <c r="B25" s="128"/>
      <c r="C25" s="129"/>
      <c r="D25" s="59"/>
      <c r="E25" s="130"/>
      <c r="F25" s="130"/>
      <c r="G25" s="130"/>
      <c r="H25" s="130"/>
      <c r="I25" s="130"/>
      <c r="J25" s="131"/>
      <c r="K25" s="131"/>
      <c r="N25" s="18"/>
    </row>
    <row r="26" spans="1:25" ht="18" customHeight="1">
      <c r="A26" s="127"/>
      <c r="B26" s="128"/>
      <c r="C26" s="129"/>
      <c r="D26" s="59"/>
      <c r="E26" s="130"/>
      <c r="F26" s="130"/>
      <c r="G26" s="130"/>
      <c r="H26" s="130"/>
      <c r="I26" s="130"/>
      <c r="J26" s="131"/>
      <c r="K26" s="131"/>
      <c r="N26" s="20"/>
    </row>
    <row r="27" spans="1:25" ht="18" customHeight="1">
      <c r="A27" s="127"/>
      <c r="B27" s="128"/>
      <c r="C27" s="129"/>
      <c r="D27" s="59"/>
      <c r="E27" s="130"/>
      <c r="F27" s="130"/>
      <c r="G27" s="130"/>
      <c r="H27" s="130"/>
      <c r="I27" s="130"/>
      <c r="J27" s="131"/>
      <c r="K27" s="131"/>
      <c r="N27" s="20"/>
    </row>
    <row r="28" spans="1:25" ht="18" customHeight="1">
      <c r="A28" s="127"/>
      <c r="B28" s="128"/>
      <c r="C28" s="129"/>
      <c r="D28" s="59"/>
      <c r="E28" s="130"/>
      <c r="F28" s="130"/>
      <c r="G28" s="130"/>
      <c r="H28" s="130"/>
      <c r="I28" s="130"/>
      <c r="J28" s="131"/>
      <c r="K28" s="131"/>
      <c r="N28" s="20"/>
      <c r="U28" s="143"/>
      <c r="V28" s="143"/>
    </row>
    <row r="29" spans="1:25" ht="18" customHeight="1">
      <c r="A29" s="127"/>
      <c r="B29" s="128"/>
      <c r="C29" s="129"/>
      <c r="D29" s="59"/>
      <c r="E29" s="130"/>
      <c r="F29" s="130"/>
      <c r="G29" s="130"/>
      <c r="H29" s="130"/>
      <c r="I29" s="130"/>
      <c r="J29" s="131"/>
      <c r="K29" s="131"/>
      <c r="N29" s="20"/>
      <c r="Q29" s="134" t="s">
        <v>52</v>
      </c>
      <c r="R29" s="135"/>
      <c r="S29" s="135"/>
      <c r="T29" s="41"/>
      <c r="U29" s="144"/>
      <c r="V29" s="144"/>
    </row>
    <row r="30" spans="1:25" ht="18" customHeight="1">
      <c r="A30" s="127"/>
      <c r="B30" s="128"/>
      <c r="C30" s="129"/>
      <c r="D30" s="59"/>
      <c r="E30" s="130"/>
      <c r="F30" s="130"/>
      <c r="G30" s="130"/>
      <c r="H30" s="130"/>
      <c r="I30" s="130"/>
      <c r="J30" s="131"/>
      <c r="K30" s="131"/>
      <c r="N30" s="20"/>
      <c r="T30" s="40"/>
    </row>
    <row r="31" spans="1:25" ht="18" customHeight="1">
      <c r="A31" s="127"/>
      <c r="B31" s="128"/>
      <c r="C31" s="129"/>
      <c r="D31" s="59"/>
      <c r="E31" s="130"/>
      <c r="F31" s="130"/>
      <c r="G31" s="130"/>
      <c r="H31" s="130"/>
      <c r="I31" s="130"/>
      <c r="J31" s="131"/>
      <c r="K31" s="131"/>
      <c r="N31" s="20"/>
      <c r="U31" s="141"/>
      <c r="V31" s="141"/>
    </row>
    <row r="32" spans="1:25" ht="18" customHeight="1">
      <c r="A32" s="127"/>
      <c r="B32" s="128"/>
      <c r="C32" s="129"/>
      <c r="D32" s="59"/>
      <c r="E32" s="130"/>
      <c r="F32" s="130"/>
      <c r="G32" s="130"/>
      <c r="H32" s="130"/>
      <c r="I32" s="130"/>
      <c r="J32" s="131"/>
      <c r="K32" s="131"/>
      <c r="N32" s="20"/>
      <c r="Q32" s="134" t="s">
        <v>53</v>
      </c>
      <c r="R32" s="135"/>
      <c r="S32" s="135"/>
      <c r="T32" s="41"/>
      <c r="U32" s="142"/>
      <c r="V32" s="142"/>
    </row>
    <row r="33" spans="1:22" ht="18" customHeight="1">
      <c r="A33" s="127"/>
      <c r="B33" s="128"/>
      <c r="C33" s="129"/>
      <c r="D33" s="59"/>
      <c r="E33" s="130"/>
      <c r="F33" s="130"/>
      <c r="G33" s="130"/>
      <c r="H33" s="130"/>
      <c r="I33" s="130"/>
      <c r="J33" s="131"/>
      <c r="K33" s="131"/>
      <c r="N33" s="20"/>
      <c r="T33" s="40"/>
      <c r="U33" s="21"/>
      <c r="V33" s="21"/>
    </row>
    <row r="34" spans="1:22" ht="20.25">
      <c r="A34" s="127"/>
      <c r="B34" s="128"/>
      <c r="C34" s="129"/>
      <c r="D34" s="59"/>
      <c r="E34" s="130"/>
      <c r="F34" s="130"/>
      <c r="G34" s="130"/>
      <c r="H34" s="130"/>
      <c r="I34" s="130"/>
      <c r="J34" s="131"/>
      <c r="K34" s="131"/>
      <c r="U34" s="132"/>
      <c r="V34" s="132"/>
    </row>
    <row r="35" spans="1:22" ht="18" customHeight="1">
      <c r="Q35" s="134" t="s">
        <v>54</v>
      </c>
      <c r="R35" s="135"/>
      <c r="S35" s="135"/>
      <c r="T35" s="41"/>
      <c r="U35" s="133"/>
      <c r="V35" s="133"/>
    </row>
    <row r="36" spans="1:22" ht="18" customHeight="1">
      <c r="T36" s="40"/>
      <c r="U36" s="21"/>
      <c r="V36" s="21"/>
    </row>
    <row r="37" spans="1:22" ht="18" customHeight="1">
      <c r="E37" s="136" t="s">
        <v>21</v>
      </c>
      <c r="F37" s="137"/>
      <c r="G37" s="137"/>
      <c r="H37" s="137"/>
      <c r="I37" s="137"/>
      <c r="J37" s="138"/>
      <c r="U37" s="139"/>
      <c r="V37" s="139"/>
    </row>
    <row r="38" spans="1:22" ht="13.5" customHeight="1">
      <c r="A38" s="100" t="s">
        <v>50</v>
      </c>
      <c r="B38" s="100"/>
      <c r="C38" s="101" t="e">
        <f>COUNTIF(MachineAttachmentTemplateL,"*"&amp;A38&amp;"*")+COUNTIF(MachineAttachmentTemplateR,"*"&amp;A38&amp;"*")</f>
        <v>#NAME?</v>
      </c>
      <c r="D38" s="102"/>
      <c r="E38" s="61"/>
      <c r="F38" s="26" t="str">
        <f>IF(E38="","",COUNTIF(MachineINV1,E38) + COUNTIF(MachineINV2,E38))</f>
        <v/>
      </c>
      <c r="G38" s="61"/>
      <c r="H38" s="26" t="str">
        <f>IF(G38="","",COUNTIF(MachineINV1,G38) + COUNTIF(MachineINV2,G38))</f>
        <v/>
      </c>
      <c r="I38" s="27"/>
      <c r="J38" s="26" t="str">
        <f>IF(I38="","",COUNTIF(MachineINV1,I38) + COUNTIF(MachineINV2,I38))</f>
        <v/>
      </c>
      <c r="Q38" s="134" t="s">
        <v>55</v>
      </c>
      <c r="R38" s="135"/>
      <c r="S38" s="135"/>
      <c r="T38" s="41"/>
      <c r="U38" s="140"/>
      <c r="V38" s="140"/>
    </row>
    <row r="39" spans="1:22" ht="13.5" customHeight="1">
      <c r="A39" s="100"/>
      <c r="B39" s="100"/>
      <c r="C39" s="103"/>
      <c r="D39" s="104"/>
      <c r="E39" s="61"/>
      <c r="F39" s="26" t="str">
        <f>IF(E39="","",COUNTIF(MachineINV1,E39) + COUNTIF(MachineINV2,E39))</f>
        <v/>
      </c>
      <c r="G39" s="61"/>
      <c r="H39" s="26" t="str">
        <f>IF(G39="","",COUNTIF(MachineINV1,G39) + COUNTIF(MachineINV2,G39))</f>
        <v/>
      </c>
      <c r="I39" s="27"/>
      <c r="J39" s="26" t="str">
        <f>IF(I39="","",COUNTIF(MachineINV1,I39) + COUNTIF(MachineINV2,I39))</f>
        <v/>
      </c>
      <c r="T39" s="40"/>
    </row>
    <row r="40" spans="1:22" ht="13.5" customHeight="1">
      <c r="A40" s="100" t="s">
        <v>22</v>
      </c>
      <c r="B40" s="100"/>
      <c r="C40" s="101" t="e">
        <f>COUNTIF(MachineAttachmentTemplateL,"*"&amp;A40&amp;"*")+COUNTIF(MachineAttachmentTemplateR,"*"&amp;A40&amp;"*")</f>
        <v>#NAME?</v>
      </c>
      <c r="D40" s="102"/>
      <c r="E40" s="61"/>
      <c r="F40" s="26" t="str">
        <f>IF(E40="","",COUNTIF(MachineINV1,E40) + COUNTIF(MachineINV2,E40))</f>
        <v/>
      </c>
      <c r="G40" s="61"/>
      <c r="H40" s="26" t="str">
        <f>IF(G40="","",COUNTIF(MachineINV1,G40) + COUNTIF(MachineINV2,G40))</f>
        <v/>
      </c>
      <c r="I40" s="27"/>
      <c r="J40" s="26" t="str">
        <f>IF(I40="","",COUNTIF(MachineINV1,I40) + COUNTIF(MachineINV2,I40))</f>
        <v/>
      </c>
    </row>
    <row r="41" spans="1:22" ht="13.5" customHeight="1">
      <c r="A41" s="100"/>
      <c r="B41" s="100"/>
      <c r="C41" s="103"/>
      <c r="D41" s="104"/>
      <c r="E41" s="61"/>
      <c r="F41" s="26" t="str">
        <f>IF(E41="","",COUNTIF(MachineINV1,E41) + COUNTIF(MachineINV2,E41))</f>
        <v/>
      </c>
      <c r="G41" s="27"/>
      <c r="H41" s="26" t="str">
        <f>IF(G41="","",COUNTIF(MachineINV1,G41) + COUNTIF(MachineINV2,G41))</f>
        <v/>
      </c>
      <c r="I41" s="27"/>
      <c r="J41" s="26" t="str">
        <f>IF(I41="","",COUNTIF(MachineINV1,I41) + COUNTIF(MachineINV2,I41))</f>
        <v/>
      </c>
    </row>
    <row r="42" spans="1:22" ht="13.5" customHeight="1">
      <c r="E42" s="61"/>
      <c r="F42" s="26" t="str">
        <f>IF(E42="","",COUNTIF(MachineINV1,E42) + COUNTIF(MachineINV2,E42))</f>
        <v/>
      </c>
      <c r="G42" s="27"/>
      <c r="H42" s="26" t="str">
        <f>IF(G42="","",COUNTIF(MachineINV1,G42) + COUNTIF(MachineINV2,G42))</f>
        <v/>
      </c>
      <c r="I42" s="27"/>
      <c r="J42" s="26" t="str">
        <f>IF(I42="","",COUNTIF(MachineINV1,I42) + COUNTIF(MachineINV2,I42))</f>
        <v/>
      </c>
    </row>
    <row r="43" spans="1:22" ht="13.5" customHeight="1">
      <c r="E43" s="60" t="s">
        <v>20</v>
      </c>
      <c r="F43" s="105">
        <f>SUM(F38:F42)+SUM(H38:H42)+SUM(J38:J42)</f>
        <v>0</v>
      </c>
      <c r="G43" s="106"/>
      <c r="H43" s="106"/>
      <c r="I43" s="106"/>
      <c r="J43" s="107"/>
    </row>
    <row r="44" spans="1:22" ht="17.25" thickBot="1"/>
    <row r="45" spans="1:22" ht="13.5" customHeight="1">
      <c r="A45" s="108" t="s">
        <v>49</v>
      </c>
      <c r="B45" s="109"/>
      <c r="C45" s="109"/>
      <c r="D45" s="109"/>
      <c r="E45" s="109"/>
      <c r="F45" s="110"/>
    </row>
    <row r="46" spans="1:22" ht="13.5" customHeight="1">
      <c r="A46" s="111"/>
      <c r="B46" s="112"/>
      <c r="C46" s="112"/>
      <c r="D46" s="112"/>
      <c r="E46" s="112"/>
      <c r="F46" s="113"/>
    </row>
    <row r="47" spans="1:22" ht="13.5" customHeight="1">
      <c r="A47" s="114"/>
      <c r="B47" s="115"/>
      <c r="C47" s="115"/>
      <c r="D47" s="115"/>
      <c r="E47" s="115"/>
      <c r="F47" s="116"/>
    </row>
    <row r="48" spans="1:22" ht="13.5" customHeight="1">
      <c r="A48" s="117" t="s">
        <v>0</v>
      </c>
      <c r="B48" s="119" t="s">
        <v>23</v>
      </c>
      <c r="C48" s="120"/>
      <c r="D48" s="119" t="s">
        <v>24</v>
      </c>
      <c r="E48" s="122"/>
      <c r="F48" s="123"/>
    </row>
    <row r="49" spans="1:6" ht="13.5" customHeight="1">
      <c r="A49" s="118"/>
      <c r="B49" s="121"/>
      <c r="C49" s="121"/>
      <c r="D49" s="124"/>
      <c r="E49" s="124"/>
      <c r="F49" s="125"/>
    </row>
    <row r="50" spans="1:6" ht="13.5" customHeight="1">
      <c r="A50" s="118"/>
      <c r="B50" s="121"/>
      <c r="C50" s="121"/>
      <c r="D50" s="126"/>
      <c r="E50" s="126"/>
      <c r="F50" s="125"/>
    </row>
    <row r="51" spans="1:6" ht="13.5" customHeight="1">
      <c r="A51" s="29"/>
      <c r="B51" s="91" t="str">
        <f>IF(A51="","",COUNTIF(MachineINV1,A51) + COUNTIF(MachineINV2,A51))</f>
        <v/>
      </c>
      <c r="C51" s="92"/>
      <c r="D51" s="91"/>
      <c r="E51" s="92"/>
      <c r="F51" s="93"/>
    </row>
    <row r="52" spans="1:6" ht="13.5" customHeight="1">
      <c r="A52" s="30"/>
      <c r="B52" s="94" t="str">
        <f>IF(A52="","",COUNTIF(MachineINV1,A52) + COUNTIF(MachineINV2,A52))</f>
        <v/>
      </c>
      <c r="C52" s="95"/>
      <c r="D52" s="94"/>
      <c r="E52" s="95"/>
      <c r="F52" s="96"/>
    </row>
    <row r="53" spans="1:6" ht="13.5" customHeight="1" thickBot="1">
      <c r="A53" s="28"/>
      <c r="B53" s="97" t="str">
        <f>IF(A53="","",COUNTIF(MachineINV1,A53) + COUNTIF(MachineINV2,A53))</f>
        <v/>
      </c>
      <c r="C53" s="98"/>
      <c r="D53" s="97"/>
      <c r="E53" s="98"/>
      <c r="F53" s="99"/>
    </row>
    <row r="55" spans="1:6" ht="17.25" thickBot="1"/>
    <row r="56" spans="1:6">
      <c r="A56" s="86" t="s">
        <v>38</v>
      </c>
      <c r="B56" s="87"/>
      <c r="C56" s="87"/>
      <c r="D56" s="88"/>
      <c r="E56" s="89"/>
      <c r="F56" s="90"/>
    </row>
    <row r="57" spans="1:6">
      <c r="A57" s="65"/>
      <c r="B57" s="64"/>
      <c r="C57" s="64"/>
      <c r="D57" s="83"/>
      <c r="E57" s="84"/>
      <c r="F57" s="85"/>
    </row>
    <row r="58" spans="1:6" ht="16.5" customHeight="1">
      <c r="A58" s="63" t="s">
        <v>39</v>
      </c>
      <c r="B58" s="64"/>
      <c r="C58" s="64"/>
      <c r="D58" s="80"/>
      <c r="E58" s="81"/>
      <c r="F58" s="82"/>
    </row>
    <row r="59" spans="1:6" ht="16.5" customHeight="1">
      <c r="A59" s="65"/>
      <c r="B59" s="64"/>
      <c r="C59" s="64"/>
      <c r="D59" s="83"/>
      <c r="E59" s="84"/>
      <c r="F59" s="85"/>
    </row>
    <row r="60" spans="1:6" ht="16.5" customHeight="1">
      <c r="A60" s="63" t="s">
        <v>40</v>
      </c>
      <c r="B60" s="64"/>
      <c r="C60" s="64"/>
      <c r="D60" s="80"/>
      <c r="E60" s="81"/>
      <c r="F60" s="82"/>
    </row>
    <row r="61" spans="1:6" ht="16.5" customHeight="1">
      <c r="A61" s="65"/>
      <c r="B61" s="64"/>
      <c r="C61" s="64"/>
      <c r="D61" s="83"/>
      <c r="E61" s="84"/>
      <c r="F61" s="85"/>
    </row>
    <row r="62" spans="1:6" ht="16.5" customHeight="1">
      <c r="A62" s="63" t="s">
        <v>41</v>
      </c>
      <c r="B62" s="64"/>
      <c r="C62" s="64"/>
      <c r="D62" s="80" t="e">
        <f>IF(TtlGSD=0,0,ROUND(3600*D60/TtlGSD,0))</f>
        <v>#NAME?</v>
      </c>
      <c r="E62" s="81"/>
      <c r="F62" s="82"/>
    </row>
    <row r="63" spans="1:6" ht="16.5" customHeight="1">
      <c r="A63" s="65"/>
      <c r="B63" s="64"/>
      <c r="C63" s="64"/>
      <c r="D63" s="83"/>
      <c r="E63" s="84"/>
      <c r="F63" s="85"/>
    </row>
    <row r="64" spans="1:6" ht="16.5" customHeight="1">
      <c r="A64" s="63" t="s">
        <v>42</v>
      </c>
      <c r="B64" s="64"/>
      <c r="C64" s="64"/>
      <c r="D64" s="80" t="e">
        <f>ROUND(D62*D58,0)</f>
        <v>#NAME?</v>
      </c>
      <c r="E64" s="81"/>
      <c r="F64" s="82"/>
    </row>
    <row r="65" spans="1:6" ht="16.5" customHeight="1">
      <c r="A65" s="65"/>
      <c r="B65" s="64"/>
      <c r="C65" s="64"/>
      <c r="D65" s="83"/>
      <c r="E65" s="84"/>
      <c r="F65" s="85"/>
    </row>
    <row r="66" spans="1:6" ht="16.5" customHeight="1">
      <c r="A66" s="63" t="s">
        <v>43</v>
      </c>
      <c r="B66" s="64"/>
      <c r="C66" s="64"/>
      <c r="D66" s="80" t="e">
        <f>IF(D64=0,0,ROUND(D58*3600/D64,0))</f>
        <v>#NAME?</v>
      </c>
      <c r="E66" s="81"/>
      <c r="F66" s="82"/>
    </row>
    <row r="67" spans="1:6" ht="16.5" customHeight="1">
      <c r="A67" s="65"/>
      <c r="B67" s="64"/>
      <c r="C67" s="64"/>
      <c r="D67" s="83"/>
      <c r="E67" s="84"/>
      <c r="F67" s="85"/>
    </row>
    <row r="68" spans="1:6" ht="16.5" customHeight="1">
      <c r="A68" s="63" t="s">
        <v>30</v>
      </c>
      <c r="B68" s="64"/>
      <c r="C68" s="64"/>
      <c r="D68" s="80" t="e">
        <f>ROUND(3600/MaxTMS,2)</f>
        <v>#NAME?</v>
      </c>
      <c r="E68" s="81"/>
      <c r="F68" s="82"/>
    </row>
    <row r="69" spans="1:6" ht="16.5" customHeight="1">
      <c r="A69" s="65"/>
      <c r="B69" s="64"/>
      <c r="C69" s="64"/>
      <c r="D69" s="83"/>
      <c r="E69" s="84"/>
      <c r="F69" s="85"/>
    </row>
    <row r="70" spans="1:6" ht="16.5" customHeight="1">
      <c r="A70" s="63" t="s">
        <v>31</v>
      </c>
      <c r="B70" s="64"/>
      <c r="C70" s="64"/>
      <c r="D70" s="80" t="e">
        <f>TtlTMS</f>
        <v>#NAME?</v>
      </c>
      <c r="E70" s="81"/>
      <c r="F70" s="82"/>
    </row>
    <row r="71" spans="1:6" ht="16.5" customHeight="1">
      <c r="A71" s="65"/>
      <c r="B71" s="64"/>
      <c r="C71" s="64"/>
      <c r="D71" s="83"/>
      <c r="E71" s="84"/>
      <c r="F71" s="85"/>
    </row>
    <row r="72" spans="1:6" ht="16.5" customHeight="1">
      <c r="A72" s="63" t="s">
        <v>32</v>
      </c>
      <c r="B72" s="64"/>
      <c r="C72" s="64"/>
      <c r="D72" s="80" t="e">
        <f>TtlGSD</f>
        <v>#NAME?</v>
      </c>
      <c r="E72" s="81"/>
      <c r="F72" s="82"/>
    </row>
    <row r="73" spans="1:6" ht="16.5" customHeight="1">
      <c r="A73" s="65"/>
      <c r="B73" s="64"/>
      <c r="C73" s="64"/>
      <c r="D73" s="83"/>
      <c r="E73" s="84"/>
      <c r="F73" s="85"/>
    </row>
    <row r="74" spans="1:6" ht="16.5" customHeight="1">
      <c r="A74" s="63" t="s">
        <v>33</v>
      </c>
      <c r="B74" s="64"/>
      <c r="C74" s="64"/>
      <c r="D74" s="66" t="e">
        <f>IF(D72=0,0,(D72-D70)/D72)</f>
        <v>#NAME?</v>
      </c>
      <c r="E74" s="67"/>
      <c r="F74" s="68"/>
    </row>
    <row r="75" spans="1:6" ht="16.5" customHeight="1">
      <c r="A75" s="65"/>
      <c r="B75" s="64"/>
      <c r="C75" s="64"/>
      <c r="D75" s="69"/>
      <c r="E75" s="70"/>
      <c r="F75" s="71"/>
    </row>
    <row r="76" spans="1:6" ht="16.5" customHeight="1">
      <c r="A76" s="63" t="s">
        <v>34</v>
      </c>
      <c r="B76" s="64"/>
      <c r="C76" s="64"/>
      <c r="D76" s="66" t="e">
        <f>IF(OR(D60=0,MaxTMS=0),0,D70/MaxTMS/D60)</f>
        <v>#NAME?</v>
      </c>
      <c r="E76" s="67"/>
      <c r="F76" s="68"/>
    </row>
    <row r="77" spans="1:6" ht="16.5" customHeight="1">
      <c r="A77" s="65"/>
      <c r="B77" s="64"/>
      <c r="C77" s="64"/>
      <c r="D77" s="69"/>
      <c r="E77" s="70"/>
      <c r="F77" s="71"/>
    </row>
    <row r="78" spans="1:6" ht="16.5" customHeight="1">
      <c r="A78" s="63" t="s">
        <v>35</v>
      </c>
      <c r="B78" s="64"/>
      <c r="C78" s="64"/>
      <c r="D78" s="66" t="e">
        <f>IF(OR(D66=0,D60=0),0,D70/D66/D60)</f>
        <v>#NAME?</v>
      </c>
      <c r="E78" s="67"/>
      <c r="F78" s="68"/>
    </row>
    <row r="79" spans="1:6" ht="16.5" customHeight="1">
      <c r="A79" s="65"/>
      <c r="B79" s="64"/>
      <c r="C79" s="64"/>
      <c r="D79" s="69"/>
      <c r="E79" s="70"/>
      <c r="F79" s="71"/>
    </row>
    <row r="80" spans="1:6" ht="16.5" customHeight="1">
      <c r="A80" s="63" t="s">
        <v>36</v>
      </c>
      <c r="B80" s="64"/>
      <c r="C80" s="64"/>
      <c r="D80" s="66" t="e">
        <f>IF(OR(MaxTMS=0,D60=0),0,D72/MaxTMS/D60)</f>
        <v>#NAME?</v>
      </c>
      <c r="E80" s="67"/>
      <c r="F80" s="68"/>
    </row>
    <row r="81" spans="1:6" ht="16.5" customHeight="1">
      <c r="A81" s="65"/>
      <c r="B81" s="64"/>
      <c r="C81" s="64"/>
      <c r="D81" s="69"/>
      <c r="E81" s="70"/>
      <c r="F81" s="71"/>
    </row>
    <row r="82" spans="1:6" ht="16.5" customHeight="1">
      <c r="A82" s="63" t="s">
        <v>37</v>
      </c>
      <c r="B82" s="64"/>
      <c r="C82" s="64"/>
      <c r="D82" s="74" t="e">
        <f>IF(OR(MaxTMS=0,D60=0),0,ROUND(3600/MaxTMS,2)*F9/D60)</f>
        <v>#NAME?</v>
      </c>
      <c r="E82" s="75"/>
      <c r="F82" s="76"/>
    </row>
    <row r="83" spans="1:6" ht="17.25" customHeight="1" thickBot="1">
      <c r="A83" s="72"/>
      <c r="B83" s="73"/>
      <c r="C83" s="73"/>
      <c r="D83" s="77"/>
      <c r="E83" s="78"/>
      <c r="F83" s="79"/>
    </row>
  </sheetData>
  <mergeCells count="132">
    <mergeCell ref="A80:C81"/>
    <mergeCell ref="D80:F81"/>
    <mergeCell ref="A82:C83"/>
    <mergeCell ref="D82:F83"/>
    <mergeCell ref="A74:C75"/>
    <mergeCell ref="D74:F75"/>
    <mergeCell ref="A76:C77"/>
    <mergeCell ref="D76:F77"/>
    <mergeCell ref="A78:C79"/>
    <mergeCell ref="D78:F79"/>
    <mergeCell ref="A68:C69"/>
    <mergeCell ref="D68:F69"/>
    <mergeCell ref="A70:C71"/>
    <mergeCell ref="D70:F71"/>
    <mergeCell ref="A72:C73"/>
    <mergeCell ref="D72:F73"/>
    <mergeCell ref="A62:C63"/>
    <mergeCell ref="D62:F63"/>
    <mergeCell ref="A64:C65"/>
    <mergeCell ref="D64:F65"/>
    <mergeCell ref="A66:C67"/>
    <mergeCell ref="D66:F67"/>
    <mergeCell ref="A56:C57"/>
    <mergeCell ref="D56:F57"/>
    <mergeCell ref="A58:C59"/>
    <mergeCell ref="D58:F59"/>
    <mergeCell ref="A60:C61"/>
    <mergeCell ref="D60:F61"/>
    <mergeCell ref="B51:C51"/>
    <mergeCell ref="D51:F51"/>
    <mergeCell ref="B52:C52"/>
    <mergeCell ref="D52:F52"/>
    <mergeCell ref="B53:C53"/>
    <mergeCell ref="D53:F53"/>
    <mergeCell ref="A40:B41"/>
    <mergeCell ref="C40:D41"/>
    <mergeCell ref="F43:J43"/>
    <mergeCell ref="A45:F47"/>
    <mergeCell ref="A48:A50"/>
    <mergeCell ref="B48:C50"/>
    <mergeCell ref="D48:F50"/>
    <mergeCell ref="A34:C34"/>
    <mergeCell ref="E34:I34"/>
    <mergeCell ref="J34:K34"/>
    <mergeCell ref="U34:V35"/>
    <mergeCell ref="Q35:S35"/>
    <mergeCell ref="E37:J37"/>
    <mergeCell ref="U37:V38"/>
    <mergeCell ref="A38:B39"/>
    <mergeCell ref="C38:D39"/>
    <mergeCell ref="Q38:S38"/>
    <mergeCell ref="U31:V32"/>
    <mergeCell ref="A32:C32"/>
    <mergeCell ref="E32:I32"/>
    <mergeCell ref="J32:K32"/>
    <mergeCell ref="Q32:S32"/>
    <mergeCell ref="A33:C33"/>
    <mergeCell ref="E33:I33"/>
    <mergeCell ref="J33:K33"/>
    <mergeCell ref="A30:C30"/>
    <mergeCell ref="E30:I30"/>
    <mergeCell ref="J30:K30"/>
    <mergeCell ref="A31:C31"/>
    <mergeCell ref="E31:I31"/>
    <mergeCell ref="J31:K31"/>
    <mergeCell ref="A28:C28"/>
    <mergeCell ref="E28:I28"/>
    <mergeCell ref="J28:K28"/>
    <mergeCell ref="U28:V29"/>
    <mergeCell ref="A29:C29"/>
    <mergeCell ref="E29:I29"/>
    <mergeCell ref="J29:K29"/>
    <mergeCell ref="Q29:S29"/>
    <mergeCell ref="A26:C26"/>
    <mergeCell ref="E26:I26"/>
    <mergeCell ref="J26:K26"/>
    <mergeCell ref="A27:C27"/>
    <mergeCell ref="E27:I27"/>
    <mergeCell ref="J27:K27"/>
    <mergeCell ref="A24:C24"/>
    <mergeCell ref="E24:I24"/>
    <mergeCell ref="J24:K24"/>
    <mergeCell ref="A25:C25"/>
    <mergeCell ref="E25:I25"/>
    <mergeCell ref="J25:K25"/>
    <mergeCell ref="T17:T18"/>
    <mergeCell ref="U17:V18"/>
    <mergeCell ref="W17:W18"/>
    <mergeCell ref="A19:A21"/>
    <mergeCell ref="E19:I19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A12:A15"/>
    <mergeCell ref="B12:B15"/>
    <mergeCell ref="C12:C15"/>
    <mergeCell ref="D12:D15"/>
    <mergeCell ref="E12:I15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X17:X18"/>
    <mergeCell ref="Y17:Y18"/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E2" sqref="E2"/>
    </sheetView>
  </sheetViews>
  <sheetFormatPr defaultRowHeight="16.5"/>
  <cols>
    <col min="2" max="2" width="14.125" bestFit="1" customWidth="1"/>
    <col min="3" max="3" width="8.875" bestFit="1" customWidth="1"/>
    <col min="4" max="4" width="22.375" style="32" bestFit="1" customWidth="1"/>
  </cols>
  <sheetData>
    <row r="1" spans="1:5">
      <c r="A1" s="32" t="s">
        <v>27</v>
      </c>
      <c r="B1" s="32" t="s">
        <v>25</v>
      </c>
      <c r="C1" s="32" t="s">
        <v>26</v>
      </c>
      <c r="D1" s="32" t="s">
        <v>57</v>
      </c>
      <c r="E1" t="e">
        <f>'Line Mapping2'!D66</f>
        <v>#NAME?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sheetData>
    <row r="1" spans="1:3">
      <c r="A1" s="32" t="s">
        <v>27</v>
      </c>
      <c r="B1" s="32" t="s">
        <v>28</v>
      </c>
      <c r="C1" s="32" t="s">
        <v>29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Operation</vt:lpstr>
      <vt:lpstr>Line Mapping</vt:lpstr>
      <vt:lpstr>Cycle Time</vt:lpstr>
      <vt:lpstr>GCtime</vt:lpstr>
      <vt:lpstr>Line Mapping2</vt:lpstr>
      <vt:lpstr>Cycle Time_2</vt:lpstr>
      <vt:lpstr>GCtime_2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J1-1638</dc:creator>
  <cp:lastModifiedBy>J1-7221</cp:lastModifiedBy>
  <cp:lastPrinted>2017-03-10T02:00:17Z</cp:lastPrinted>
  <dcterms:created xsi:type="dcterms:W3CDTF">2016-01-18T12:26:28Z</dcterms:created>
  <dcterms:modified xsi:type="dcterms:W3CDTF">2019-12-29T09:13:59Z</dcterms:modified>
</cp:coreProperties>
</file>