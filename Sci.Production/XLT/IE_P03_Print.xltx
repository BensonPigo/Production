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B53" i="8" l="1"/>
  <c r="B52" i="8"/>
  <c r="B51" i="8"/>
  <c r="J42" i="8"/>
  <c r="H42" i="8"/>
  <c r="F42" i="8"/>
  <c r="J41" i="8"/>
  <c r="H41" i="8"/>
  <c r="F41" i="8"/>
  <c r="J40" i="8"/>
  <c r="H40" i="8"/>
  <c r="F40" i="8"/>
  <c r="J39" i="8"/>
  <c r="H39" i="8"/>
  <c r="F39" i="8"/>
  <c r="J38" i="8"/>
  <c r="H38" i="8"/>
  <c r="F38" i="8"/>
  <c r="J42" i="2" l="1"/>
  <c r="H42" i="2"/>
  <c r="F42" i="2"/>
  <c r="J41" i="2"/>
  <c r="H41" i="2"/>
  <c r="F41" i="2"/>
  <c r="J40" i="2"/>
  <c r="H40" i="2"/>
  <c r="F40" i="2"/>
  <c r="J39" i="2"/>
  <c r="H39" i="2"/>
  <c r="F39" i="2"/>
  <c r="J38" i="2"/>
  <c r="H38" i="2"/>
  <c r="F38" i="2"/>
  <c r="B53" i="2"/>
  <c r="B52" i="2"/>
  <c r="B51" i="2"/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C40" i="8"/>
  <c r="F43" i="8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D78" i="2" l="1"/>
  <c r="E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<sst xmlns="http://schemas.openxmlformats.org/spreadsheetml/2006/main" count="124" uniqueCount="59">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</sst>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21" xfId="0" applyBorder="1" applyAlignment="1">
      <alignment vertical="center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40" fillId="0" borderId="48" xfId="1" applyNumberFormat="1" applyFont="1" applyBorder="1" applyAlignment="1">
      <alignment horizontal="center" vertical="center"/>
    </xf>
    <xf numFmtId="0" fontId="40" fillId="3" borderId="48" xfId="1" applyNumberFormat="1" applyFont="1" applyFill="1" applyBorder="1" applyAlignment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37" fillId="6" borderId="48" xfId="23" applyFont="1" applyFill="1" applyBorder="1" applyAlignment="1">
      <alignment horizontal="center"/>
    </xf>
    <xf numFmtId="0" fontId="0" fillId="0" borderId="0" xfId="0" applyAlignment="1">
      <alignment vertical="center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8.625" style="7" customWidth="1"/>
    <col min="9" max="9" width="16.625" style="7" customWidth="1"/>
    <col min="10" max="10" width="0" style="7" hidden="1" customWidth="1"/>
    <col min="11" max="16384" width="9" style="7"/>
  </cols>
  <sheetData>
    <row r="1" spans="1:9" ht="20.25">
      <c r="A1" s="58" t="s">
        <v>46</v>
      </c>
      <c r="B1" s="58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47</v>
      </c>
      <c r="E5" s="11" t="s">
        <v>48</v>
      </c>
      <c r="F5" s="12" t="s">
        <v>11</v>
      </c>
      <c r="G5" s="12" t="s">
        <v>45</v>
      </c>
      <c r="H5" s="38" t="s">
        <v>57</v>
      </c>
      <c r="I5" s="38" t="s">
        <v>52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AC10" sqref="AC1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214" t="s">
        <v>12</v>
      </c>
      <c r="B1" s="215"/>
      <c r="C1" s="215"/>
      <c r="D1" s="215"/>
      <c r="E1" s="216"/>
      <c r="F1" s="200"/>
      <c r="G1" s="201"/>
    </row>
    <row r="2" spans="1:21" ht="13.5" customHeight="1">
      <c r="A2" s="207"/>
      <c r="B2" s="208"/>
      <c r="C2" s="208"/>
      <c r="D2" s="208"/>
      <c r="E2" s="209"/>
      <c r="F2" s="194"/>
      <c r="G2" s="195"/>
    </row>
    <row r="3" spans="1:21" ht="13.5" customHeight="1">
      <c r="A3" s="204" t="s">
        <v>1</v>
      </c>
      <c r="B3" s="205"/>
      <c r="C3" s="205"/>
      <c r="D3" s="205"/>
      <c r="E3" s="206"/>
      <c r="F3" s="202"/>
      <c r="G3" s="203"/>
    </row>
    <row r="4" spans="1:21" ht="13.5" customHeight="1">
      <c r="A4" s="207"/>
      <c r="B4" s="208"/>
      <c r="C4" s="208"/>
      <c r="D4" s="208"/>
      <c r="E4" s="209"/>
      <c r="F4" s="202"/>
      <c r="G4" s="203"/>
    </row>
    <row r="5" spans="1:21" ht="13.5" customHeight="1">
      <c r="A5" s="204" t="s">
        <v>13</v>
      </c>
      <c r="B5" s="205"/>
      <c r="C5" s="205"/>
      <c r="D5" s="205"/>
      <c r="E5" s="206"/>
      <c r="F5" s="194"/>
      <c r="G5" s="195"/>
    </row>
    <row r="6" spans="1:21" ht="13.5" customHeight="1">
      <c r="A6" s="207"/>
      <c r="B6" s="208"/>
      <c r="C6" s="208"/>
      <c r="D6" s="208"/>
      <c r="E6" s="209"/>
      <c r="F6" s="194"/>
      <c r="G6" s="195"/>
    </row>
    <row r="7" spans="1:21" ht="13.5" customHeight="1">
      <c r="A7" s="204" t="s">
        <v>2</v>
      </c>
      <c r="B7" s="205"/>
      <c r="C7" s="205"/>
      <c r="D7" s="205"/>
      <c r="E7" s="206"/>
      <c r="F7" s="194"/>
      <c r="G7" s="195"/>
    </row>
    <row r="8" spans="1:21" ht="26.25" customHeight="1">
      <c r="A8" s="207"/>
      <c r="B8" s="208"/>
      <c r="C8" s="208"/>
      <c r="D8" s="208"/>
      <c r="E8" s="209"/>
      <c r="F8" s="194"/>
      <c r="G8" s="195"/>
    </row>
    <row r="9" spans="1:21" ht="13.5" customHeight="1">
      <c r="A9" s="210" t="s">
        <v>14</v>
      </c>
      <c r="B9" s="205"/>
      <c r="C9" s="205"/>
      <c r="D9" s="205"/>
      <c r="E9" s="206"/>
      <c r="F9" s="196"/>
      <c r="G9" s="197"/>
    </row>
    <row r="10" spans="1:21" ht="13.5" customHeight="1" thickBot="1">
      <c r="A10" s="211"/>
      <c r="B10" s="212"/>
      <c r="C10" s="212"/>
      <c r="D10" s="212"/>
      <c r="E10" s="213"/>
      <c r="F10" s="198"/>
      <c r="G10" s="199"/>
    </row>
    <row r="11" spans="1:21" ht="17.25" thickBot="1"/>
    <row r="12" spans="1:21" ht="12.75" customHeight="1">
      <c r="A12" s="217" t="s">
        <v>15</v>
      </c>
      <c r="B12" s="129" t="s">
        <v>16</v>
      </c>
      <c r="C12" s="146" t="s">
        <v>3</v>
      </c>
      <c r="D12" s="146" t="s">
        <v>49</v>
      </c>
      <c r="E12" s="140" t="s">
        <v>18</v>
      </c>
      <c r="F12" s="140"/>
      <c r="G12" s="140"/>
      <c r="H12" s="140"/>
      <c r="I12" s="141"/>
      <c r="J12" s="164" t="s">
        <v>0</v>
      </c>
      <c r="K12" s="165"/>
      <c r="L12" s="17"/>
      <c r="M12" s="149" t="s">
        <v>0</v>
      </c>
      <c r="N12" s="150"/>
      <c r="O12" s="146" t="s">
        <v>49</v>
      </c>
      <c r="P12" s="140" t="s">
        <v>18</v>
      </c>
      <c r="Q12" s="140"/>
      <c r="R12" s="141"/>
      <c r="S12" s="146" t="s">
        <v>3</v>
      </c>
      <c r="T12" s="129" t="s">
        <v>16</v>
      </c>
      <c r="U12" s="137" t="s">
        <v>15</v>
      </c>
    </row>
    <row r="13" spans="1:21" ht="12.75" customHeight="1">
      <c r="A13" s="218"/>
      <c r="B13" s="130"/>
      <c r="C13" s="147"/>
      <c r="D13" s="147"/>
      <c r="E13" s="142"/>
      <c r="F13" s="142"/>
      <c r="G13" s="142"/>
      <c r="H13" s="142"/>
      <c r="I13" s="143"/>
      <c r="J13" s="166"/>
      <c r="K13" s="167"/>
      <c r="L13" s="17"/>
      <c r="M13" s="151"/>
      <c r="N13" s="152"/>
      <c r="O13" s="147"/>
      <c r="P13" s="142"/>
      <c r="Q13" s="142"/>
      <c r="R13" s="143"/>
      <c r="S13" s="147"/>
      <c r="T13" s="130"/>
      <c r="U13" s="138"/>
    </row>
    <row r="14" spans="1:21" ht="12.75" customHeight="1">
      <c r="A14" s="218"/>
      <c r="B14" s="130"/>
      <c r="C14" s="147"/>
      <c r="D14" s="147"/>
      <c r="E14" s="142"/>
      <c r="F14" s="142"/>
      <c r="G14" s="142"/>
      <c r="H14" s="142"/>
      <c r="I14" s="143"/>
      <c r="J14" s="166"/>
      <c r="K14" s="167"/>
      <c r="L14" s="17"/>
      <c r="M14" s="151"/>
      <c r="N14" s="152"/>
      <c r="O14" s="147"/>
      <c r="P14" s="142"/>
      <c r="Q14" s="142"/>
      <c r="R14" s="143"/>
      <c r="S14" s="147"/>
      <c r="T14" s="130"/>
      <c r="U14" s="138"/>
    </row>
    <row r="15" spans="1:21" ht="12.75" customHeight="1" thickBot="1">
      <c r="A15" s="219"/>
      <c r="B15" s="131"/>
      <c r="C15" s="148"/>
      <c r="D15" s="148"/>
      <c r="E15" s="144"/>
      <c r="F15" s="144"/>
      <c r="G15" s="144"/>
      <c r="H15" s="144"/>
      <c r="I15" s="145"/>
      <c r="J15" s="168"/>
      <c r="K15" s="169"/>
      <c r="L15" s="17"/>
      <c r="M15" s="153"/>
      <c r="N15" s="154"/>
      <c r="O15" s="148"/>
      <c r="P15" s="144"/>
      <c r="Q15" s="144"/>
      <c r="R15" s="145"/>
      <c r="S15" s="148"/>
      <c r="T15" s="131"/>
      <c r="U15" s="139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220" t="str">
        <f>IF(ISERROR((C17-B17)/C17),"",(C17-B17)/C17)</f>
        <v/>
      </c>
      <c r="B17" s="222">
        <f>SUM(B19:B21)</f>
        <v>0</v>
      </c>
      <c r="C17" s="224">
        <f>SUM(C19:C21)</f>
        <v>0</v>
      </c>
      <c r="D17" s="124"/>
      <c r="E17" s="120" t="s">
        <v>17</v>
      </c>
      <c r="F17" s="160"/>
      <c r="G17" s="226"/>
      <c r="H17" s="226"/>
      <c r="I17" s="161"/>
      <c r="J17" s="170"/>
      <c r="K17" s="172"/>
      <c r="L17" s="17"/>
      <c r="M17" s="174"/>
      <c r="N17" s="176"/>
      <c r="O17" s="124"/>
      <c r="P17" s="120" t="s">
        <v>17</v>
      </c>
      <c r="Q17" s="160"/>
      <c r="R17" s="161"/>
      <c r="S17" s="158">
        <f>SUM(S19:S21)</f>
        <v>0</v>
      </c>
      <c r="T17" s="132">
        <f>SUM(T19:T21)</f>
        <v>0</v>
      </c>
      <c r="U17" s="155" t="str">
        <f>IF(ISERROR((S17-T17)/S17),"",(S17-T17)/S17)</f>
        <v/>
      </c>
    </row>
    <row r="18" spans="1:21" s="18" customFormat="1" ht="13.5" customHeight="1">
      <c r="A18" s="221"/>
      <c r="B18" s="223"/>
      <c r="C18" s="225"/>
      <c r="D18" s="125"/>
      <c r="E18" s="121"/>
      <c r="F18" s="162"/>
      <c r="G18" s="227"/>
      <c r="H18" s="227"/>
      <c r="I18" s="163"/>
      <c r="J18" s="171"/>
      <c r="K18" s="173"/>
      <c r="L18" s="17"/>
      <c r="M18" s="175"/>
      <c r="N18" s="177"/>
      <c r="O18" s="125"/>
      <c r="P18" s="121"/>
      <c r="Q18" s="162"/>
      <c r="R18" s="163"/>
      <c r="S18" s="159"/>
      <c r="T18" s="133"/>
      <c r="U18" s="156"/>
    </row>
    <row r="19" spans="1:21" s="18" customFormat="1" ht="26.25" customHeight="1">
      <c r="A19" s="117" t="str">
        <f>IF(ISERROR(IF(B17="",3600/C17,3600/B17)),"",IF(B17="",3600/C17,3600/B17))</f>
        <v/>
      </c>
      <c r="B19" s="23"/>
      <c r="C19" s="24"/>
      <c r="D19" s="40"/>
      <c r="E19" s="126"/>
      <c r="F19" s="127"/>
      <c r="G19" s="127"/>
      <c r="H19" s="127"/>
      <c r="I19" s="128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34" t="str">
        <f>IF(ISERROR(IF(T17="",3600/S17,3600/T17)),"",IF(T17="",3600/S17,3600/T17))</f>
        <v/>
      </c>
    </row>
    <row r="20" spans="1:21" s="18" customFormat="1" ht="22.5">
      <c r="A20" s="118"/>
      <c r="B20" s="23"/>
      <c r="C20" s="24"/>
      <c r="D20" s="40"/>
      <c r="E20" s="126"/>
      <c r="F20" s="127"/>
      <c r="G20" s="127"/>
      <c r="H20" s="127"/>
      <c r="I20" s="128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35"/>
    </row>
    <row r="21" spans="1:21" s="18" customFormat="1" ht="26.25" customHeight="1" thickBot="1">
      <c r="A21" s="119"/>
      <c r="B21" s="25"/>
      <c r="C21" s="26"/>
      <c r="D21" s="41"/>
      <c r="E21" s="126"/>
      <c r="F21" s="127"/>
      <c r="G21" s="127"/>
      <c r="H21" s="127"/>
      <c r="I21" s="128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36"/>
    </row>
    <row r="24" spans="1:21" ht="18" customHeight="1">
      <c r="A24" s="122" t="s">
        <v>18</v>
      </c>
      <c r="B24" s="122"/>
      <c r="C24" s="122"/>
      <c r="D24" s="37"/>
      <c r="E24" s="123" t="s">
        <v>19</v>
      </c>
      <c r="F24" s="123"/>
      <c r="G24" s="123"/>
      <c r="H24" s="123"/>
      <c r="I24" s="123"/>
      <c r="J24" s="157" t="s">
        <v>20</v>
      </c>
      <c r="K24" s="157"/>
      <c r="L24" s="20"/>
    </row>
    <row r="25" spans="1:21" ht="18" customHeight="1">
      <c r="A25" s="109"/>
      <c r="B25" s="110"/>
      <c r="C25" s="111"/>
      <c r="D25" s="36"/>
      <c r="E25" s="102"/>
      <c r="F25" s="102"/>
      <c r="G25" s="102"/>
      <c r="H25" s="102"/>
      <c r="I25" s="102"/>
      <c r="J25" s="103"/>
      <c r="K25" s="103"/>
      <c r="L25" s="19"/>
    </row>
    <row r="26" spans="1:21" ht="18" customHeight="1">
      <c r="A26" s="109"/>
      <c r="B26" s="110"/>
      <c r="C26" s="111"/>
      <c r="D26" s="36"/>
      <c r="E26" s="102"/>
      <c r="F26" s="102"/>
      <c r="G26" s="102"/>
      <c r="H26" s="102"/>
      <c r="I26" s="102"/>
      <c r="J26" s="103"/>
      <c r="K26" s="103"/>
      <c r="L26" s="21"/>
    </row>
    <row r="27" spans="1:21" ht="18" customHeight="1">
      <c r="A27" s="109"/>
      <c r="B27" s="110"/>
      <c r="C27" s="111"/>
      <c r="D27" s="36"/>
      <c r="E27" s="102"/>
      <c r="F27" s="102"/>
      <c r="G27" s="102"/>
      <c r="H27" s="102"/>
      <c r="I27" s="102"/>
      <c r="J27" s="103"/>
      <c r="K27" s="103"/>
      <c r="L27" s="21"/>
    </row>
    <row r="28" spans="1:21" ht="18" customHeight="1">
      <c r="A28" s="109"/>
      <c r="B28" s="110"/>
      <c r="C28" s="111"/>
      <c r="D28" s="36"/>
      <c r="E28" s="102"/>
      <c r="F28" s="102"/>
      <c r="G28" s="102"/>
      <c r="H28" s="102"/>
      <c r="I28" s="102"/>
      <c r="J28" s="103"/>
      <c r="K28" s="103"/>
      <c r="L28" s="21"/>
      <c r="Q28" s="104"/>
      <c r="R28" s="104"/>
    </row>
    <row r="29" spans="1:21" ht="18" customHeight="1">
      <c r="A29" s="109"/>
      <c r="B29" s="110"/>
      <c r="C29" s="111"/>
      <c r="D29" s="36"/>
      <c r="E29" s="102"/>
      <c r="F29" s="102"/>
      <c r="G29" s="102"/>
      <c r="H29" s="102"/>
      <c r="I29" s="102"/>
      <c r="J29" s="103"/>
      <c r="K29" s="103"/>
      <c r="L29" s="21"/>
      <c r="M29" s="229" t="s">
        <v>53</v>
      </c>
      <c r="N29" s="230"/>
      <c r="O29" s="230"/>
      <c r="P29" s="57"/>
      <c r="Q29" s="105"/>
      <c r="R29" s="105"/>
    </row>
    <row r="30" spans="1:21" ht="18" customHeight="1">
      <c r="A30" s="109"/>
      <c r="B30" s="110"/>
      <c r="C30" s="111"/>
      <c r="D30" s="36"/>
      <c r="E30" s="102"/>
      <c r="F30" s="102"/>
      <c r="G30" s="102"/>
      <c r="H30" s="102"/>
      <c r="I30" s="102"/>
      <c r="J30" s="103"/>
      <c r="K30" s="103"/>
      <c r="L30" s="21"/>
      <c r="P30" s="56"/>
    </row>
    <row r="31" spans="1:21" ht="18" customHeight="1">
      <c r="A31" s="109"/>
      <c r="B31" s="110"/>
      <c r="C31" s="111"/>
      <c r="D31" s="36"/>
      <c r="E31" s="102"/>
      <c r="F31" s="102"/>
      <c r="G31" s="102"/>
      <c r="H31" s="102"/>
      <c r="I31" s="102"/>
      <c r="J31" s="103"/>
      <c r="K31" s="103"/>
      <c r="L31" s="21"/>
      <c r="Q31" s="106"/>
      <c r="R31" s="106"/>
    </row>
    <row r="32" spans="1:21" ht="18" customHeight="1">
      <c r="A32" s="109"/>
      <c r="B32" s="110"/>
      <c r="C32" s="111"/>
      <c r="D32" s="36"/>
      <c r="E32" s="102"/>
      <c r="F32" s="102"/>
      <c r="G32" s="102"/>
      <c r="H32" s="102"/>
      <c r="I32" s="102"/>
      <c r="J32" s="103"/>
      <c r="K32" s="103"/>
      <c r="L32" s="21"/>
      <c r="M32" s="229" t="s">
        <v>54</v>
      </c>
      <c r="N32" s="230"/>
      <c r="O32" s="230"/>
      <c r="P32" s="57"/>
      <c r="Q32" s="107"/>
      <c r="R32" s="107"/>
    </row>
    <row r="33" spans="1:18" ht="18" customHeight="1">
      <c r="A33" s="109"/>
      <c r="B33" s="110"/>
      <c r="C33" s="111"/>
      <c r="D33" s="36"/>
      <c r="E33" s="102"/>
      <c r="F33" s="102"/>
      <c r="G33" s="102"/>
      <c r="H33" s="102"/>
      <c r="I33" s="102"/>
      <c r="J33" s="103"/>
      <c r="K33" s="103"/>
      <c r="L33" s="21"/>
      <c r="P33" s="56"/>
      <c r="Q33" s="22"/>
      <c r="R33" s="22"/>
    </row>
    <row r="34" spans="1:18" ht="20.25">
      <c r="A34" s="109"/>
      <c r="B34" s="110"/>
      <c r="C34" s="111"/>
      <c r="D34" s="36"/>
      <c r="E34" s="102"/>
      <c r="F34" s="102"/>
      <c r="G34" s="102"/>
      <c r="H34" s="102"/>
      <c r="I34" s="102"/>
      <c r="J34" s="103"/>
      <c r="K34" s="103"/>
      <c r="Q34" s="100"/>
      <c r="R34" s="100"/>
    </row>
    <row r="35" spans="1:18" ht="18" customHeight="1">
      <c r="M35" s="229" t="s">
        <v>55</v>
      </c>
      <c r="N35" s="230"/>
      <c r="O35" s="230"/>
      <c r="P35" s="57"/>
      <c r="Q35" s="101"/>
      <c r="R35" s="101"/>
    </row>
    <row r="36" spans="1:18" ht="18" customHeight="1">
      <c r="P36" s="56"/>
      <c r="Q36" s="22"/>
      <c r="R36" s="22"/>
    </row>
    <row r="37" spans="1:18" ht="18" customHeight="1">
      <c r="E37" s="108" t="s">
        <v>22</v>
      </c>
      <c r="F37" s="108"/>
      <c r="G37" s="108"/>
      <c r="H37" s="108"/>
      <c r="I37" s="108"/>
      <c r="J37" s="108"/>
      <c r="Q37" s="98"/>
      <c r="R37" s="98"/>
    </row>
    <row r="38" spans="1:18" ht="13.5" customHeight="1">
      <c r="A38" s="83" t="s">
        <v>51</v>
      </c>
      <c r="B38" s="83"/>
      <c r="C38" s="190" t="e">
        <f>COUNTIF(MachineAttachmentTemplateL,"*"&amp;A38&amp;"*")+COUNTIF(MachineAttachmentTemplateR,"*"&amp;A38&amp;"*")</f>
        <v>#NAME?</v>
      </c>
      <c r="D38" s="191"/>
      <c r="E38" s="29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229" t="s">
        <v>56</v>
      </c>
      <c r="N38" s="230"/>
      <c r="O38" s="230"/>
      <c r="P38" s="57"/>
      <c r="Q38" s="99"/>
      <c r="R38" s="99"/>
    </row>
    <row r="39" spans="1:18" ht="13.5" customHeight="1">
      <c r="A39" s="83"/>
      <c r="B39" s="83"/>
      <c r="C39" s="192"/>
      <c r="D39" s="193"/>
      <c r="E39" s="29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83" t="s">
        <v>23</v>
      </c>
      <c r="B40" s="83"/>
      <c r="C40" s="190" t="e">
        <f>COUNTIF(MachineAttachmentTemplateL,"*"&amp;A40&amp;"*")+COUNTIF(MachineAttachmentTemplateR,"*"&amp;A40&amp;"*")</f>
        <v>#NAME?</v>
      </c>
      <c r="D40" s="191"/>
      <c r="E40" s="29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83"/>
      <c r="B41" s="83"/>
      <c r="C41" s="192"/>
      <c r="D41" s="193"/>
      <c r="E41" s="29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29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27" t="s">
        <v>21</v>
      </c>
      <c r="F43" s="231">
        <f>SUM(F38:F42)+SUM(H38:H42)+SUM(J38:J42)</f>
        <v>0</v>
      </c>
      <c r="G43" s="231"/>
      <c r="H43" s="231"/>
      <c r="I43" s="231"/>
      <c r="J43" s="231"/>
    </row>
    <row r="44" spans="1:18" ht="17.25" thickBot="1"/>
    <row r="45" spans="1:18" ht="13.5" customHeight="1">
      <c r="A45" s="89" t="s">
        <v>50</v>
      </c>
      <c r="B45" s="90"/>
      <c r="C45" s="90"/>
      <c r="D45" s="90"/>
      <c r="E45" s="90"/>
      <c r="F45" s="91"/>
    </row>
    <row r="46" spans="1:18" ht="13.5" customHeight="1">
      <c r="A46" s="92"/>
      <c r="B46" s="93"/>
      <c r="C46" s="93"/>
      <c r="D46" s="93"/>
      <c r="E46" s="93"/>
      <c r="F46" s="94"/>
    </row>
    <row r="47" spans="1:18" ht="13.5" customHeight="1">
      <c r="A47" s="95"/>
      <c r="B47" s="96"/>
      <c r="C47" s="96"/>
      <c r="D47" s="96"/>
      <c r="E47" s="96"/>
      <c r="F47" s="97"/>
    </row>
    <row r="48" spans="1:18" ht="13.5" customHeight="1">
      <c r="A48" s="84" t="s">
        <v>0</v>
      </c>
      <c r="B48" s="86" t="s">
        <v>24</v>
      </c>
      <c r="C48" s="87"/>
      <c r="D48" s="86" t="s">
        <v>25</v>
      </c>
      <c r="E48" s="112"/>
      <c r="F48" s="113"/>
    </row>
    <row r="49" spans="1:6" ht="13.5" customHeight="1">
      <c r="A49" s="85"/>
      <c r="B49" s="88"/>
      <c r="C49" s="88"/>
      <c r="D49" s="114"/>
      <c r="E49" s="114"/>
      <c r="F49" s="115"/>
    </row>
    <row r="50" spans="1:6" ht="13.5" customHeight="1">
      <c r="A50" s="85"/>
      <c r="B50" s="88"/>
      <c r="C50" s="88"/>
      <c r="D50" s="116"/>
      <c r="E50" s="116"/>
      <c r="F50" s="115"/>
    </row>
    <row r="51" spans="1:6" ht="13.5" customHeight="1">
      <c r="A51" s="32"/>
      <c r="B51" s="73" t="str">
        <f>IF(A51="","",COUNTIF(MachineINV1,A51) + COUNTIF(MachineINV2,A51))</f>
        <v/>
      </c>
      <c r="C51" s="74"/>
      <c r="D51" s="73"/>
      <c r="E51" s="74"/>
      <c r="F51" s="79"/>
    </row>
    <row r="52" spans="1:6" ht="13.5" customHeight="1">
      <c r="A52" s="33"/>
      <c r="B52" s="75" t="str">
        <f>IF(A52="","",COUNTIF(MachineINV1,A52) + COUNTIF(MachineINV2,A52))</f>
        <v/>
      </c>
      <c r="C52" s="76"/>
      <c r="D52" s="75"/>
      <c r="E52" s="76"/>
      <c r="F52" s="80"/>
    </row>
    <row r="53" spans="1:6" ht="13.5" customHeight="1" thickBot="1">
      <c r="A53" s="31"/>
      <c r="B53" s="77" t="str">
        <f>IF(A53="","",COUNTIF(MachineINV1,A53) + COUNTIF(MachineINV2,A53))</f>
        <v/>
      </c>
      <c r="C53" s="78"/>
      <c r="D53" s="77"/>
      <c r="E53" s="78"/>
      <c r="F53" s="228"/>
    </row>
    <row r="55" spans="1:6" ht="17.25" thickBot="1"/>
    <row r="56" spans="1:6">
      <c r="A56" s="81" t="s">
        <v>39</v>
      </c>
      <c r="B56" s="82"/>
      <c r="C56" s="82"/>
      <c r="D56" s="64"/>
      <c r="E56" s="65"/>
      <c r="F56" s="66"/>
    </row>
    <row r="57" spans="1:6">
      <c r="A57" s="61"/>
      <c r="B57" s="60"/>
      <c r="C57" s="60"/>
      <c r="D57" s="67"/>
      <c r="E57" s="68"/>
      <c r="F57" s="69"/>
    </row>
    <row r="58" spans="1:6" ht="16.5" customHeight="1">
      <c r="A58" s="59" t="s">
        <v>40</v>
      </c>
      <c r="B58" s="60"/>
      <c r="C58" s="60"/>
      <c r="D58" s="70"/>
      <c r="E58" s="71"/>
      <c r="F58" s="72"/>
    </row>
    <row r="59" spans="1:6" ht="16.5" customHeight="1">
      <c r="A59" s="61"/>
      <c r="B59" s="60"/>
      <c r="C59" s="60"/>
      <c r="D59" s="67"/>
      <c r="E59" s="68"/>
      <c r="F59" s="69"/>
    </row>
    <row r="60" spans="1:6" ht="16.5" customHeight="1">
      <c r="A60" s="59" t="s">
        <v>41</v>
      </c>
      <c r="B60" s="60"/>
      <c r="C60" s="60"/>
      <c r="D60" s="70"/>
      <c r="E60" s="71"/>
      <c r="F60" s="72"/>
    </row>
    <row r="61" spans="1:6" ht="16.5" customHeight="1">
      <c r="A61" s="61"/>
      <c r="B61" s="60"/>
      <c r="C61" s="60"/>
      <c r="D61" s="67"/>
      <c r="E61" s="68"/>
      <c r="F61" s="69"/>
    </row>
    <row r="62" spans="1:6" ht="16.5" customHeight="1">
      <c r="A62" s="59" t="s">
        <v>42</v>
      </c>
      <c r="B62" s="60"/>
      <c r="C62" s="60"/>
      <c r="D62" s="70" t="e">
        <f>IF(TtlGSD=0,0,ROUND(3600*D60/TtlGSD,0))</f>
        <v>#NAME?</v>
      </c>
      <c r="E62" s="71"/>
      <c r="F62" s="72"/>
    </row>
    <row r="63" spans="1:6" ht="16.5" customHeight="1">
      <c r="A63" s="61"/>
      <c r="B63" s="60"/>
      <c r="C63" s="60"/>
      <c r="D63" s="67"/>
      <c r="E63" s="68"/>
      <c r="F63" s="69"/>
    </row>
    <row r="64" spans="1:6" ht="16.5" customHeight="1">
      <c r="A64" s="59" t="s">
        <v>43</v>
      </c>
      <c r="B64" s="60"/>
      <c r="C64" s="60"/>
      <c r="D64" s="70" t="e">
        <f>ROUND(D62*D58,0)</f>
        <v>#NAME?</v>
      </c>
      <c r="E64" s="71"/>
      <c r="F64" s="72"/>
    </row>
    <row r="65" spans="1:6" ht="16.5" customHeight="1">
      <c r="A65" s="61"/>
      <c r="B65" s="60"/>
      <c r="C65" s="60"/>
      <c r="D65" s="67"/>
      <c r="E65" s="68"/>
      <c r="F65" s="69"/>
    </row>
    <row r="66" spans="1:6" ht="16.5" customHeight="1">
      <c r="A66" s="59" t="s">
        <v>44</v>
      </c>
      <c r="B66" s="60"/>
      <c r="C66" s="60"/>
      <c r="D66" s="70" t="e">
        <f>IF(D64=0,0,ROUND(D58*3600/D64,0))</f>
        <v>#NAME?</v>
      </c>
      <c r="E66" s="71"/>
      <c r="F66" s="72"/>
    </row>
    <row r="67" spans="1:6" ht="16.5" customHeight="1">
      <c r="A67" s="61"/>
      <c r="B67" s="60"/>
      <c r="C67" s="60"/>
      <c r="D67" s="67"/>
      <c r="E67" s="68"/>
      <c r="F67" s="69"/>
    </row>
    <row r="68" spans="1:6" ht="16.5" customHeight="1">
      <c r="A68" s="59" t="s">
        <v>31</v>
      </c>
      <c r="B68" s="60"/>
      <c r="C68" s="60"/>
      <c r="D68" s="70" t="e">
        <f>ROUND(3600/MaxTMS,2)</f>
        <v>#NAME?</v>
      </c>
      <c r="E68" s="71"/>
      <c r="F68" s="72"/>
    </row>
    <row r="69" spans="1:6" ht="16.5" customHeight="1">
      <c r="A69" s="61"/>
      <c r="B69" s="60"/>
      <c r="C69" s="60"/>
      <c r="D69" s="67"/>
      <c r="E69" s="68"/>
      <c r="F69" s="69"/>
    </row>
    <row r="70" spans="1:6" ht="16.5" customHeight="1">
      <c r="A70" s="59" t="s">
        <v>32</v>
      </c>
      <c r="B70" s="60"/>
      <c r="C70" s="60"/>
      <c r="D70" s="70" t="e">
        <f>TtlTMS</f>
        <v>#NAME?</v>
      </c>
      <c r="E70" s="71"/>
      <c r="F70" s="72"/>
    </row>
    <row r="71" spans="1:6" ht="16.5" customHeight="1">
      <c r="A71" s="61"/>
      <c r="B71" s="60"/>
      <c r="C71" s="60"/>
      <c r="D71" s="67"/>
      <c r="E71" s="68"/>
      <c r="F71" s="69"/>
    </row>
    <row r="72" spans="1:6" ht="16.5" customHeight="1">
      <c r="A72" s="59" t="s">
        <v>33</v>
      </c>
      <c r="B72" s="60"/>
      <c r="C72" s="60"/>
      <c r="D72" s="70" t="e">
        <f>TtlGSD</f>
        <v>#NAME?</v>
      </c>
      <c r="E72" s="71"/>
      <c r="F72" s="72"/>
    </row>
    <row r="73" spans="1:6" ht="16.5" customHeight="1">
      <c r="A73" s="61"/>
      <c r="B73" s="60"/>
      <c r="C73" s="60"/>
      <c r="D73" s="67"/>
      <c r="E73" s="68"/>
      <c r="F73" s="69"/>
    </row>
    <row r="74" spans="1:6" ht="16.5" customHeight="1">
      <c r="A74" s="59" t="s">
        <v>34</v>
      </c>
      <c r="B74" s="60"/>
      <c r="C74" s="60"/>
      <c r="D74" s="178" t="e">
        <f>IF(D72=0,0,(D72-D70)/D72)</f>
        <v>#NAME?</v>
      </c>
      <c r="E74" s="179"/>
      <c r="F74" s="180"/>
    </row>
    <row r="75" spans="1:6" ht="16.5" customHeight="1">
      <c r="A75" s="61"/>
      <c r="B75" s="60"/>
      <c r="C75" s="60"/>
      <c r="D75" s="181"/>
      <c r="E75" s="182"/>
      <c r="F75" s="183"/>
    </row>
    <row r="76" spans="1:6" ht="16.5" customHeight="1">
      <c r="A76" s="59" t="s">
        <v>35</v>
      </c>
      <c r="B76" s="60"/>
      <c r="C76" s="60"/>
      <c r="D76" s="178" t="e">
        <f>IF(OR(D60=0,MaxTMS=0),0,D70/MaxTMS/D60)</f>
        <v>#NAME?</v>
      </c>
      <c r="E76" s="179"/>
      <c r="F76" s="180"/>
    </row>
    <row r="77" spans="1:6" ht="16.5" customHeight="1">
      <c r="A77" s="61"/>
      <c r="B77" s="60"/>
      <c r="C77" s="60"/>
      <c r="D77" s="181"/>
      <c r="E77" s="182"/>
      <c r="F77" s="183"/>
    </row>
    <row r="78" spans="1:6" ht="16.5" customHeight="1">
      <c r="A78" s="59" t="s">
        <v>36</v>
      </c>
      <c r="B78" s="60"/>
      <c r="C78" s="60"/>
      <c r="D78" s="178" t="e">
        <f>IF(OR(D66=0,D60=0),0,D70/D66/D60)</f>
        <v>#NAME?</v>
      </c>
      <c r="E78" s="179"/>
      <c r="F78" s="180"/>
    </row>
    <row r="79" spans="1:6" ht="16.5" customHeight="1">
      <c r="A79" s="61"/>
      <c r="B79" s="60"/>
      <c r="C79" s="60"/>
      <c r="D79" s="181"/>
      <c r="E79" s="182"/>
      <c r="F79" s="183"/>
    </row>
    <row r="80" spans="1:6" ht="16.5" customHeight="1">
      <c r="A80" s="59" t="s">
        <v>37</v>
      </c>
      <c r="B80" s="60"/>
      <c r="C80" s="60"/>
      <c r="D80" s="178" t="e">
        <f>IF(OR(MaxTMS=0,D60=0),0,D72/MaxTMS/D60)</f>
        <v>#NAME?</v>
      </c>
      <c r="E80" s="179"/>
      <c r="F80" s="180"/>
    </row>
    <row r="81" spans="1:6" ht="16.5" customHeight="1">
      <c r="A81" s="61"/>
      <c r="B81" s="60"/>
      <c r="C81" s="60"/>
      <c r="D81" s="181"/>
      <c r="E81" s="182"/>
      <c r="F81" s="183"/>
    </row>
    <row r="82" spans="1:6" ht="16.5" customHeight="1">
      <c r="A82" s="59" t="s">
        <v>38</v>
      </c>
      <c r="B82" s="60"/>
      <c r="C82" s="60"/>
      <c r="D82" s="184" t="e">
        <f>IF(OR(MaxTMS=0,D60=0),0,ROUND(3600/MaxTMS,2)*F9/D60)</f>
        <v>#NAME?</v>
      </c>
      <c r="E82" s="185"/>
      <c r="F82" s="186"/>
    </row>
    <row r="83" spans="1:6" ht="17.25" customHeight="1" thickBot="1">
      <c r="A83" s="62"/>
      <c r="B83" s="63"/>
      <c r="C83" s="63"/>
      <c r="D83" s="187"/>
      <c r="E83" s="188"/>
      <c r="F83" s="189"/>
    </row>
  </sheetData>
  <mergeCells count="128"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E32:I32"/>
    <mergeCell ref="E33:I33"/>
    <mergeCell ref="F43:J43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O17:O18"/>
    <mergeCell ref="O12:O15"/>
    <mergeCell ref="J17:J18"/>
    <mergeCell ref="K17:K18"/>
    <mergeCell ref="M17:M18"/>
    <mergeCell ref="N17:N18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E19:I19"/>
    <mergeCell ref="E20:I20"/>
    <mergeCell ref="E21:I21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D48:F50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D51:F51"/>
    <mergeCell ref="D52:F52"/>
    <mergeCell ref="A56:C57"/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A66:C6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A2" sqref="A2"/>
    </sheetView>
  </sheetViews>
  <sheetFormatPr defaultRowHeight="16.5"/>
  <cols>
    <col min="2" max="2" width="14.125" bestFit="1" customWidth="1"/>
    <col min="3" max="3" width="9" style="35"/>
    <col min="4" max="4" width="22.375" bestFit="1" customWidth="1"/>
  </cols>
  <sheetData>
    <row r="1" spans="1:5">
      <c r="A1" s="35" t="s">
        <v>28</v>
      </c>
      <c r="B1" t="s">
        <v>26</v>
      </c>
      <c r="C1" s="35" t="s">
        <v>27</v>
      </c>
      <c r="D1" s="34" t="s">
        <v>58</v>
      </c>
      <c r="E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U42" sqref="U42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214" t="s">
        <v>12</v>
      </c>
      <c r="B1" s="215"/>
      <c r="C1" s="215"/>
      <c r="D1" s="215"/>
      <c r="E1" s="216"/>
      <c r="F1" s="200"/>
      <c r="G1" s="201"/>
    </row>
    <row r="2" spans="1:21" ht="13.5" customHeight="1">
      <c r="A2" s="207"/>
      <c r="B2" s="208"/>
      <c r="C2" s="208"/>
      <c r="D2" s="208"/>
      <c r="E2" s="209"/>
      <c r="F2" s="194"/>
      <c r="G2" s="195"/>
    </row>
    <row r="3" spans="1:21" ht="13.5" customHeight="1">
      <c r="A3" s="204" t="s">
        <v>1</v>
      </c>
      <c r="B3" s="205"/>
      <c r="C3" s="205"/>
      <c r="D3" s="205"/>
      <c r="E3" s="206"/>
      <c r="F3" s="202"/>
      <c r="G3" s="203"/>
    </row>
    <row r="4" spans="1:21" ht="13.5" customHeight="1">
      <c r="A4" s="207"/>
      <c r="B4" s="208"/>
      <c r="C4" s="208"/>
      <c r="D4" s="208"/>
      <c r="E4" s="209"/>
      <c r="F4" s="202"/>
      <c r="G4" s="203"/>
    </row>
    <row r="5" spans="1:21" ht="13.5" customHeight="1">
      <c r="A5" s="204" t="s">
        <v>13</v>
      </c>
      <c r="B5" s="205"/>
      <c r="C5" s="205"/>
      <c r="D5" s="205"/>
      <c r="E5" s="206"/>
      <c r="F5" s="194"/>
      <c r="G5" s="195"/>
    </row>
    <row r="6" spans="1:21" ht="13.5" customHeight="1">
      <c r="A6" s="207"/>
      <c r="B6" s="208"/>
      <c r="C6" s="208"/>
      <c r="D6" s="208"/>
      <c r="E6" s="209"/>
      <c r="F6" s="194"/>
      <c r="G6" s="195"/>
    </row>
    <row r="7" spans="1:21" ht="13.5" customHeight="1">
      <c r="A7" s="204" t="s">
        <v>2</v>
      </c>
      <c r="B7" s="205"/>
      <c r="C7" s="205"/>
      <c r="D7" s="205"/>
      <c r="E7" s="206"/>
      <c r="F7" s="194"/>
      <c r="G7" s="195"/>
    </row>
    <row r="8" spans="1:21" ht="26.25" customHeight="1">
      <c r="A8" s="207"/>
      <c r="B8" s="208"/>
      <c r="C8" s="208"/>
      <c r="D8" s="208"/>
      <c r="E8" s="209"/>
      <c r="F8" s="194"/>
      <c r="G8" s="195"/>
    </row>
    <row r="9" spans="1:21" ht="13.5" customHeight="1">
      <c r="A9" s="210" t="s">
        <v>14</v>
      </c>
      <c r="B9" s="205"/>
      <c r="C9" s="205"/>
      <c r="D9" s="205"/>
      <c r="E9" s="206"/>
      <c r="F9" s="196"/>
      <c r="G9" s="197"/>
    </row>
    <row r="10" spans="1:21" ht="13.5" customHeight="1" thickBot="1">
      <c r="A10" s="211"/>
      <c r="B10" s="212"/>
      <c r="C10" s="212"/>
      <c r="D10" s="212"/>
      <c r="E10" s="213"/>
      <c r="F10" s="198"/>
      <c r="G10" s="199"/>
    </row>
    <row r="11" spans="1:21" ht="17.25" thickBot="1"/>
    <row r="12" spans="1:21" ht="12.75" customHeight="1">
      <c r="A12" s="217" t="s">
        <v>15</v>
      </c>
      <c r="B12" s="129" t="s">
        <v>16</v>
      </c>
      <c r="C12" s="146" t="s">
        <v>3</v>
      </c>
      <c r="D12" s="146" t="s">
        <v>49</v>
      </c>
      <c r="E12" s="140" t="s">
        <v>18</v>
      </c>
      <c r="F12" s="140"/>
      <c r="G12" s="140"/>
      <c r="H12" s="140"/>
      <c r="I12" s="141"/>
      <c r="J12" s="164" t="s">
        <v>0</v>
      </c>
      <c r="K12" s="165"/>
      <c r="L12" s="17"/>
      <c r="M12" s="149" t="s">
        <v>0</v>
      </c>
      <c r="N12" s="150"/>
      <c r="O12" s="146" t="s">
        <v>49</v>
      </c>
      <c r="P12" s="140" t="s">
        <v>18</v>
      </c>
      <c r="Q12" s="140"/>
      <c r="R12" s="141"/>
      <c r="S12" s="146" t="s">
        <v>3</v>
      </c>
      <c r="T12" s="129" t="s">
        <v>16</v>
      </c>
      <c r="U12" s="137" t="s">
        <v>15</v>
      </c>
    </row>
    <row r="13" spans="1:21" ht="12.75" customHeight="1">
      <c r="A13" s="218"/>
      <c r="B13" s="130"/>
      <c r="C13" s="147"/>
      <c r="D13" s="147"/>
      <c r="E13" s="142"/>
      <c r="F13" s="142"/>
      <c r="G13" s="142"/>
      <c r="H13" s="142"/>
      <c r="I13" s="143"/>
      <c r="J13" s="166"/>
      <c r="K13" s="167"/>
      <c r="L13" s="17"/>
      <c r="M13" s="151"/>
      <c r="N13" s="152"/>
      <c r="O13" s="147"/>
      <c r="P13" s="142"/>
      <c r="Q13" s="142"/>
      <c r="R13" s="143"/>
      <c r="S13" s="147"/>
      <c r="T13" s="130"/>
      <c r="U13" s="138"/>
    </row>
    <row r="14" spans="1:21" ht="12.75" customHeight="1">
      <c r="A14" s="218"/>
      <c r="B14" s="130"/>
      <c r="C14" s="147"/>
      <c r="D14" s="147"/>
      <c r="E14" s="142"/>
      <c r="F14" s="142"/>
      <c r="G14" s="142"/>
      <c r="H14" s="142"/>
      <c r="I14" s="143"/>
      <c r="J14" s="166"/>
      <c r="K14" s="167"/>
      <c r="L14" s="17"/>
      <c r="M14" s="151"/>
      <c r="N14" s="152"/>
      <c r="O14" s="147"/>
      <c r="P14" s="142"/>
      <c r="Q14" s="142"/>
      <c r="R14" s="143"/>
      <c r="S14" s="147"/>
      <c r="T14" s="130"/>
      <c r="U14" s="138"/>
    </row>
    <row r="15" spans="1:21" ht="12.75" customHeight="1" thickBot="1">
      <c r="A15" s="219"/>
      <c r="B15" s="131"/>
      <c r="C15" s="148"/>
      <c r="D15" s="148"/>
      <c r="E15" s="144"/>
      <c r="F15" s="144"/>
      <c r="G15" s="144"/>
      <c r="H15" s="144"/>
      <c r="I15" s="145"/>
      <c r="J15" s="168"/>
      <c r="K15" s="169"/>
      <c r="L15" s="17"/>
      <c r="M15" s="153"/>
      <c r="N15" s="154"/>
      <c r="O15" s="148"/>
      <c r="P15" s="144"/>
      <c r="Q15" s="144"/>
      <c r="R15" s="145"/>
      <c r="S15" s="148"/>
      <c r="T15" s="131"/>
      <c r="U15" s="139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220" t="str">
        <f>IF(ISERROR((C17-B17)/C17),"",(C17-B17)/C17)</f>
        <v/>
      </c>
      <c r="B17" s="222">
        <f>SUM(B19:B21)</f>
        <v>0</v>
      </c>
      <c r="C17" s="224">
        <f>SUM(C19:C21)</f>
        <v>0</v>
      </c>
      <c r="D17" s="124"/>
      <c r="E17" s="120" t="s">
        <v>17</v>
      </c>
      <c r="F17" s="160"/>
      <c r="G17" s="226"/>
      <c r="H17" s="226"/>
      <c r="I17" s="161"/>
      <c r="J17" s="170"/>
      <c r="K17" s="172"/>
      <c r="L17" s="17"/>
      <c r="M17" s="174"/>
      <c r="N17" s="176"/>
      <c r="O17" s="124"/>
      <c r="P17" s="120" t="s">
        <v>17</v>
      </c>
      <c r="Q17" s="160"/>
      <c r="R17" s="161"/>
      <c r="S17" s="158">
        <f>SUM(S19:S21)</f>
        <v>0</v>
      </c>
      <c r="T17" s="132">
        <f>SUM(T19:T21)</f>
        <v>0</v>
      </c>
      <c r="U17" s="155" t="str">
        <f>IF(ISERROR((S17-T17)/S17),"",(S17-T17)/S17)</f>
        <v/>
      </c>
    </row>
    <row r="18" spans="1:21" s="18" customFormat="1" ht="13.5" customHeight="1">
      <c r="A18" s="221"/>
      <c r="B18" s="223"/>
      <c r="C18" s="225"/>
      <c r="D18" s="125"/>
      <c r="E18" s="121"/>
      <c r="F18" s="162"/>
      <c r="G18" s="227"/>
      <c r="H18" s="227"/>
      <c r="I18" s="163"/>
      <c r="J18" s="171"/>
      <c r="K18" s="173"/>
      <c r="L18" s="17"/>
      <c r="M18" s="175"/>
      <c r="N18" s="177"/>
      <c r="O18" s="125"/>
      <c r="P18" s="121"/>
      <c r="Q18" s="162"/>
      <c r="R18" s="163"/>
      <c r="S18" s="159"/>
      <c r="T18" s="133"/>
      <c r="U18" s="156"/>
    </row>
    <row r="19" spans="1:21" s="18" customFormat="1" ht="26.25" customHeight="1">
      <c r="A19" s="117" t="str">
        <f>IF(ISERROR(IF(B17="",3600/C17,3600/B17)),"",IF(B17="",3600/C17,3600/B17))</f>
        <v/>
      </c>
      <c r="B19" s="23"/>
      <c r="C19" s="24"/>
      <c r="D19" s="40"/>
      <c r="E19" s="126"/>
      <c r="F19" s="127"/>
      <c r="G19" s="127"/>
      <c r="H19" s="127"/>
      <c r="I19" s="128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34" t="str">
        <f>IF(ISERROR(IF(T17="",3600/S17,3600/T17)),"",IF(T17="",3600/S17,3600/T17))</f>
        <v/>
      </c>
    </row>
    <row r="20" spans="1:21" s="18" customFormat="1" ht="22.5">
      <c r="A20" s="118"/>
      <c r="B20" s="23"/>
      <c r="C20" s="24"/>
      <c r="D20" s="40"/>
      <c r="E20" s="126"/>
      <c r="F20" s="127"/>
      <c r="G20" s="127"/>
      <c r="H20" s="127"/>
      <c r="I20" s="128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35"/>
    </row>
    <row r="21" spans="1:21" s="18" customFormat="1" ht="26.25" customHeight="1" thickBot="1">
      <c r="A21" s="119"/>
      <c r="B21" s="25"/>
      <c r="C21" s="26"/>
      <c r="D21" s="41"/>
      <c r="E21" s="126"/>
      <c r="F21" s="127"/>
      <c r="G21" s="127"/>
      <c r="H21" s="127"/>
      <c r="I21" s="128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36"/>
    </row>
    <row r="24" spans="1:21" ht="18" customHeight="1">
      <c r="A24" s="122" t="s">
        <v>18</v>
      </c>
      <c r="B24" s="122"/>
      <c r="C24" s="122"/>
      <c r="D24" s="48"/>
      <c r="E24" s="123" t="s">
        <v>19</v>
      </c>
      <c r="F24" s="123"/>
      <c r="G24" s="123"/>
      <c r="H24" s="123"/>
      <c r="I24" s="123"/>
      <c r="J24" s="157" t="s">
        <v>20</v>
      </c>
      <c r="K24" s="157"/>
      <c r="L24" s="20"/>
    </row>
    <row r="25" spans="1:21" ht="18" customHeight="1">
      <c r="A25" s="109"/>
      <c r="B25" s="110"/>
      <c r="C25" s="111"/>
      <c r="D25" s="47"/>
      <c r="E25" s="102"/>
      <c r="F25" s="102"/>
      <c r="G25" s="102"/>
      <c r="H25" s="102"/>
      <c r="I25" s="102"/>
      <c r="J25" s="103"/>
      <c r="K25" s="103"/>
      <c r="L25" s="19"/>
    </row>
    <row r="26" spans="1:21" ht="18" customHeight="1">
      <c r="A26" s="109"/>
      <c r="B26" s="110"/>
      <c r="C26" s="111"/>
      <c r="D26" s="47"/>
      <c r="E26" s="102"/>
      <c r="F26" s="102"/>
      <c r="G26" s="102"/>
      <c r="H26" s="102"/>
      <c r="I26" s="102"/>
      <c r="J26" s="103"/>
      <c r="K26" s="103"/>
      <c r="L26" s="21"/>
    </row>
    <row r="27" spans="1:21" ht="18" customHeight="1">
      <c r="A27" s="109"/>
      <c r="B27" s="110"/>
      <c r="C27" s="111"/>
      <c r="D27" s="47"/>
      <c r="E27" s="102"/>
      <c r="F27" s="102"/>
      <c r="G27" s="102"/>
      <c r="H27" s="102"/>
      <c r="I27" s="102"/>
      <c r="J27" s="103"/>
      <c r="K27" s="103"/>
      <c r="L27" s="21"/>
    </row>
    <row r="28" spans="1:21" ht="18" customHeight="1">
      <c r="A28" s="109"/>
      <c r="B28" s="110"/>
      <c r="C28" s="111"/>
      <c r="D28" s="47"/>
      <c r="E28" s="102"/>
      <c r="F28" s="102"/>
      <c r="G28" s="102"/>
      <c r="H28" s="102"/>
      <c r="I28" s="102"/>
      <c r="J28" s="103"/>
      <c r="K28" s="103"/>
      <c r="L28" s="21"/>
      <c r="Q28" s="104"/>
      <c r="R28" s="104"/>
    </row>
    <row r="29" spans="1:21" ht="18" customHeight="1">
      <c r="A29" s="109"/>
      <c r="B29" s="110"/>
      <c r="C29" s="111"/>
      <c r="D29" s="47"/>
      <c r="E29" s="102"/>
      <c r="F29" s="102"/>
      <c r="G29" s="102"/>
      <c r="H29" s="102"/>
      <c r="I29" s="102"/>
      <c r="J29" s="103"/>
      <c r="K29" s="103"/>
      <c r="L29" s="21"/>
      <c r="M29" s="229" t="s">
        <v>53</v>
      </c>
      <c r="N29" s="230"/>
      <c r="O29" s="230"/>
      <c r="P29" s="57"/>
      <c r="Q29" s="105"/>
      <c r="R29" s="105"/>
    </row>
    <row r="30" spans="1:21" ht="18" customHeight="1">
      <c r="A30" s="109"/>
      <c r="B30" s="110"/>
      <c r="C30" s="111"/>
      <c r="D30" s="47"/>
      <c r="E30" s="102"/>
      <c r="F30" s="102"/>
      <c r="G30" s="102"/>
      <c r="H30" s="102"/>
      <c r="I30" s="102"/>
      <c r="J30" s="103"/>
      <c r="K30" s="103"/>
      <c r="L30" s="21"/>
      <c r="P30" s="56"/>
    </row>
    <row r="31" spans="1:21" ht="18" customHeight="1">
      <c r="A31" s="109"/>
      <c r="B31" s="110"/>
      <c r="C31" s="111"/>
      <c r="D31" s="47"/>
      <c r="E31" s="102"/>
      <c r="F31" s="102"/>
      <c r="G31" s="102"/>
      <c r="H31" s="102"/>
      <c r="I31" s="102"/>
      <c r="J31" s="103"/>
      <c r="K31" s="103"/>
      <c r="L31" s="21"/>
      <c r="Q31" s="106"/>
      <c r="R31" s="106"/>
    </row>
    <row r="32" spans="1:21" ht="18" customHeight="1">
      <c r="A32" s="109"/>
      <c r="B32" s="110"/>
      <c r="C32" s="111"/>
      <c r="D32" s="47"/>
      <c r="E32" s="102"/>
      <c r="F32" s="102"/>
      <c r="G32" s="102"/>
      <c r="H32" s="102"/>
      <c r="I32" s="102"/>
      <c r="J32" s="103"/>
      <c r="K32" s="103"/>
      <c r="L32" s="21"/>
      <c r="M32" s="229" t="s">
        <v>54</v>
      </c>
      <c r="N32" s="230"/>
      <c r="O32" s="230"/>
      <c r="P32" s="57"/>
      <c r="Q32" s="107"/>
      <c r="R32" s="107"/>
    </row>
    <row r="33" spans="1:18" ht="18" customHeight="1">
      <c r="A33" s="109"/>
      <c r="B33" s="110"/>
      <c r="C33" s="111"/>
      <c r="D33" s="47"/>
      <c r="E33" s="102"/>
      <c r="F33" s="102"/>
      <c r="G33" s="102"/>
      <c r="H33" s="102"/>
      <c r="I33" s="102"/>
      <c r="J33" s="103"/>
      <c r="K33" s="103"/>
      <c r="L33" s="21"/>
      <c r="P33" s="56"/>
      <c r="Q33" s="22"/>
      <c r="R33" s="22"/>
    </row>
    <row r="34" spans="1:18" ht="20.25">
      <c r="A34" s="109"/>
      <c r="B34" s="110"/>
      <c r="C34" s="111"/>
      <c r="D34" s="47"/>
      <c r="E34" s="102"/>
      <c r="F34" s="102"/>
      <c r="G34" s="102"/>
      <c r="H34" s="102"/>
      <c r="I34" s="102"/>
      <c r="J34" s="103"/>
      <c r="K34" s="103"/>
      <c r="Q34" s="100"/>
      <c r="R34" s="100"/>
    </row>
    <row r="35" spans="1:18" ht="18" customHeight="1">
      <c r="M35" s="229" t="s">
        <v>55</v>
      </c>
      <c r="N35" s="230"/>
      <c r="O35" s="230"/>
      <c r="P35" s="57"/>
      <c r="Q35" s="101"/>
      <c r="R35" s="101"/>
    </row>
    <row r="36" spans="1:18" ht="18" customHeight="1">
      <c r="P36" s="56"/>
      <c r="Q36" s="22"/>
      <c r="R36" s="22"/>
    </row>
    <row r="37" spans="1:18" ht="18" customHeight="1">
      <c r="E37" s="108" t="s">
        <v>22</v>
      </c>
      <c r="F37" s="108"/>
      <c r="G37" s="108"/>
      <c r="H37" s="108"/>
      <c r="I37" s="108"/>
      <c r="J37" s="108"/>
      <c r="Q37" s="98"/>
      <c r="R37" s="98"/>
    </row>
    <row r="38" spans="1:18" ht="13.5" customHeight="1">
      <c r="A38" s="83" t="s">
        <v>51</v>
      </c>
      <c r="B38" s="83"/>
      <c r="C38" s="190" t="e">
        <f>COUNTIF(MachineAttachmentTemplateL,"*"&amp;A38&amp;"*")+COUNTIF(MachineAttachmentTemplateR,"*"&amp;A38&amp;"*")</f>
        <v>#NAME?</v>
      </c>
      <c r="D38" s="191"/>
      <c r="E38" s="43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229" t="s">
        <v>56</v>
      </c>
      <c r="N38" s="230"/>
      <c r="O38" s="230"/>
      <c r="P38" s="57"/>
      <c r="Q38" s="99"/>
      <c r="R38" s="99"/>
    </row>
    <row r="39" spans="1:18" ht="13.5" customHeight="1">
      <c r="A39" s="83"/>
      <c r="B39" s="83"/>
      <c r="C39" s="192"/>
      <c r="D39" s="193"/>
      <c r="E39" s="43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83" t="s">
        <v>23</v>
      </c>
      <c r="B40" s="83"/>
      <c r="C40" s="190" t="e">
        <f>COUNTIF(MachineAttachmentTemplateL,"*"&amp;A40&amp;"*")+COUNTIF(MachineAttachmentTemplateR,"*"&amp;A40&amp;"*")</f>
        <v>#NAME?</v>
      </c>
      <c r="D40" s="191"/>
      <c r="E40" s="43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83"/>
      <c r="B41" s="83"/>
      <c r="C41" s="192"/>
      <c r="D41" s="193"/>
      <c r="E41" s="43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43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42" t="s">
        <v>21</v>
      </c>
      <c r="F43" s="231">
        <f>SUM(F38:F42)+SUM(H38:H42)+SUM(J38:J42)</f>
        <v>0</v>
      </c>
      <c r="G43" s="231"/>
      <c r="H43" s="231"/>
      <c r="I43" s="231"/>
      <c r="J43" s="231"/>
    </row>
    <row r="44" spans="1:18" ht="17.25" thickBot="1"/>
    <row r="45" spans="1:18" ht="13.5" customHeight="1">
      <c r="A45" s="89" t="s">
        <v>50</v>
      </c>
      <c r="B45" s="90"/>
      <c r="C45" s="90"/>
      <c r="D45" s="90"/>
      <c r="E45" s="90"/>
      <c r="F45" s="91"/>
    </row>
    <row r="46" spans="1:18" ht="13.5" customHeight="1">
      <c r="A46" s="92"/>
      <c r="B46" s="93"/>
      <c r="C46" s="93"/>
      <c r="D46" s="93"/>
      <c r="E46" s="93"/>
      <c r="F46" s="94"/>
    </row>
    <row r="47" spans="1:18" ht="13.5" customHeight="1">
      <c r="A47" s="95"/>
      <c r="B47" s="96"/>
      <c r="C47" s="96"/>
      <c r="D47" s="96"/>
      <c r="E47" s="96"/>
      <c r="F47" s="97"/>
    </row>
    <row r="48" spans="1:18" ht="13.5" customHeight="1">
      <c r="A48" s="84" t="s">
        <v>0</v>
      </c>
      <c r="B48" s="86" t="s">
        <v>24</v>
      </c>
      <c r="C48" s="87"/>
      <c r="D48" s="86" t="s">
        <v>25</v>
      </c>
      <c r="E48" s="112"/>
      <c r="F48" s="113"/>
    </row>
    <row r="49" spans="1:6" ht="13.5" customHeight="1">
      <c r="A49" s="85"/>
      <c r="B49" s="88"/>
      <c r="C49" s="88"/>
      <c r="D49" s="114"/>
      <c r="E49" s="114"/>
      <c r="F49" s="115"/>
    </row>
    <row r="50" spans="1:6" ht="13.5" customHeight="1">
      <c r="A50" s="233"/>
      <c r="B50" s="234"/>
      <c r="C50" s="234"/>
      <c r="D50" s="235"/>
      <c r="E50" s="235"/>
      <c r="F50" s="236"/>
    </row>
    <row r="51" spans="1:6" ht="13.5" customHeight="1">
      <c r="A51" s="32"/>
      <c r="B51" s="73" t="str">
        <f>IF(A51="","",COUNTIF(MachineINV1,A51) + COUNTIF(MachineINV2,A51))</f>
        <v/>
      </c>
      <c r="C51" s="74"/>
      <c r="D51" s="73"/>
      <c r="E51" s="74"/>
      <c r="F51" s="79"/>
    </row>
    <row r="52" spans="1:6" ht="13.5" customHeight="1">
      <c r="A52" s="33"/>
      <c r="B52" s="75" t="str">
        <f>IF(A52="","",COUNTIF(MachineINV1,A52) + COUNTIF(MachineINV2,A52))</f>
        <v/>
      </c>
      <c r="C52" s="76"/>
      <c r="D52" s="75"/>
      <c r="E52" s="232"/>
      <c r="F52" s="80"/>
    </row>
    <row r="53" spans="1:6" ht="13.5" customHeight="1" thickBot="1">
      <c r="A53" s="31"/>
      <c r="B53" s="77" t="str">
        <f>IF(A53="","",COUNTIF(MachineINV1,A53) + COUNTIF(MachineINV2,A53))</f>
        <v/>
      </c>
      <c r="C53" s="78"/>
      <c r="D53" s="77"/>
      <c r="E53" s="78"/>
      <c r="F53" s="228"/>
    </row>
    <row r="55" spans="1:6" ht="17.25" thickBot="1"/>
    <row r="56" spans="1:6">
      <c r="A56" s="81" t="s">
        <v>39</v>
      </c>
      <c r="B56" s="82"/>
      <c r="C56" s="82"/>
      <c r="D56" s="64"/>
      <c r="E56" s="65"/>
      <c r="F56" s="66"/>
    </row>
    <row r="57" spans="1:6">
      <c r="A57" s="61"/>
      <c r="B57" s="60"/>
      <c r="C57" s="60"/>
      <c r="D57" s="67"/>
      <c r="E57" s="68"/>
      <c r="F57" s="69"/>
    </row>
    <row r="58" spans="1:6" ht="16.5" customHeight="1">
      <c r="A58" s="59" t="s">
        <v>40</v>
      </c>
      <c r="B58" s="60"/>
      <c r="C58" s="60"/>
      <c r="D58" s="70"/>
      <c r="E58" s="71"/>
      <c r="F58" s="72"/>
    </row>
    <row r="59" spans="1:6" ht="16.5" customHeight="1">
      <c r="A59" s="61"/>
      <c r="B59" s="60"/>
      <c r="C59" s="60"/>
      <c r="D59" s="67"/>
      <c r="E59" s="68"/>
      <c r="F59" s="69"/>
    </row>
    <row r="60" spans="1:6" ht="16.5" customHeight="1">
      <c r="A60" s="59" t="s">
        <v>41</v>
      </c>
      <c r="B60" s="60"/>
      <c r="C60" s="60"/>
      <c r="D60" s="70"/>
      <c r="E60" s="71"/>
      <c r="F60" s="72"/>
    </row>
    <row r="61" spans="1:6" ht="16.5" customHeight="1">
      <c r="A61" s="61"/>
      <c r="B61" s="60"/>
      <c r="C61" s="60"/>
      <c r="D61" s="67"/>
      <c r="E61" s="68"/>
      <c r="F61" s="69"/>
    </row>
    <row r="62" spans="1:6" ht="16.5" customHeight="1">
      <c r="A62" s="59" t="s">
        <v>42</v>
      </c>
      <c r="B62" s="60"/>
      <c r="C62" s="60"/>
      <c r="D62" s="70" t="e">
        <f>IF(TtlGSD=0,0,ROUND(3600*D60/TtlGSD,0))</f>
        <v>#NAME?</v>
      </c>
      <c r="E62" s="71"/>
      <c r="F62" s="72"/>
    </row>
    <row r="63" spans="1:6" ht="16.5" customHeight="1">
      <c r="A63" s="61"/>
      <c r="B63" s="60"/>
      <c r="C63" s="60"/>
      <c r="D63" s="67"/>
      <c r="E63" s="68"/>
      <c r="F63" s="69"/>
    </row>
    <row r="64" spans="1:6" ht="16.5" customHeight="1">
      <c r="A64" s="59" t="s">
        <v>43</v>
      </c>
      <c r="B64" s="60"/>
      <c r="C64" s="60"/>
      <c r="D64" s="70" t="e">
        <f>ROUND(D62*D58,0)</f>
        <v>#NAME?</v>
      </c>
      <c r="E64" s="71"/>
      <c r="F64" s="72"/>
    </row>
    <row r="65" spans="1:6" ht="16.5" customHeight="1">
      <c r="A65" s="61"/>
      <c r="B65" s="60"/>
      <c r="C65" s="60"/>
      <c r="D65" s="67"/>
      <c r="E65" s="68"/>
      <c r="F65" s="69"/>
    </row>
    <row r="66" spans="1:6" ht="16.5" customHeight="1">
      <c r="A66" s="59" t="s">
        <v>44</v>
      </c>
      <c r="B66" s="60"/>
      <c r="C66" s="60"/>
      <c r="D66" s="70" t="e">
        <f>IF(D64=0,0,ROUND(D58*3600/D64,0))</f>
        <v>#NAME?</v>
      </c>
      <c r="E66" s="71"/>
      <c r="F66" s="72"/>
    </row>
    <row r="67" spans="1:6" ht="16.5" customHeight="1">
      <c r="A67" s="61"/>
      <c r="B67" s="60"/>
      <c r="C67" s="60"/>
      <c r="D67" s="67"/>
      <c r="E67" s="68"/>
      <c r="F67" s="69"/>
    </row>
    <row r="68" spans="1:6" ht="16.5" customHeight="1">
      <c r="A68" s="59" t="s">
        <v>31</v>
      </c>
      <c r="B68" s="60"/>
      <c r="C68" s="60"/>
      <c r="D68" s="70" t="e">
        <f>ROUND(3600/MaxTMS,2)</f>
        <v>#NAME?</v>
      </c>
      <c r="E68" s="71"/>
      <c r="F68" s="72"/>
    </row>
    <row r="69" spans="1:6" ht="16.5" customHeight="1">
      <c r="A69" s="61"/>
      <c r="B69" s="60"/>
      <c r="C69" s="60"/>
      <c r="D69" s="67"/>
      <c r="E69" s="68"/>
      <c r="F69" s="69"/>
    </row>
    <row r="70" spans="1:6" ht="16.5" customHeight="1">
      <c r="A70" s="59" t="s">
        <v>32</v>
      </c>
      <c r="B70" s="60"/>
      <c r="C70" s="60"/>
      <c r="D70" s="70" t="e">
        <f>TtlTMS</f>
        <v>#NAME?</v>
      </c>
      <c r="E70" s="71"/>
      <c r="F70" s="72"/>
    </row>
    <row r="71" spans="1:6" ht="16.5" customHeight="1">
      <c r="A71" s="61"/>
      <c r="B71" s="60"/>
      <c r="C71" s="60"/>
      <c r="D71" s="67"/>
      <c r="E71" s="68"/>
      <c r="F71" s="69"/>
    </row>
    <row r="72" spans="1:6" ht="16.5" customHeight="1">
      <c r="A72" s="59" t="s">
        <v>33</v>
      </c>
      <c r="B72" s="60"/>
      <c r="C72" s="60"/>
      <c r="D72" s="70" t="e">
        <f>TtlGSD</f>
        <v>#NAME?</v>
      </c>
      <c r="E72" s="71"/>
      <c r="F72" s="72"/>
    </row>
    <row r="73" spans="1:6" ht="16.5" customHeight="1">
      <c r="A73" s="61"/>
      <c r="B73" s="60"/>
      <c r="C73" s="60"/>
      <c r="D73" s="67"/>
      <c r="E73" s="68"/>
      <c r="F73" s="69"/>
    </row>
    <row r="74" spans="1:6" ht="16.5" customHeight="1">
      <c r="A74" s="59" t="s">
        <v>34</v>
      </c>
      <c r="B74" s="60"/>
      <c r="C74" s="60"/>
      <c r="D74" s="178" t="e">
        <f>IF(D72=0,0,(D72-D70)/D72)</f>
        <v>#NAME?</v>
      </c>
      <c r="E74" s="179"/>
      <c r="F74" s="180"/>
    </row>
    <row r="75" spans="1:6" ht="16.5" customHeight="1">
      <c r="A75" s="61"/>
      <c r="B75" s="60"/>
      <c r="C75" s="60"/>
      <c r="D75" s="181"/>
      <c r="E75" s="182"/>
      <c r="F75" s="183"/>
    </row>
    <row r="76" spans="1:6" ht="16.5" customHeight="1">
      <c r="A76" s="59" t="s">
        <v>35</v>
      </c>
      <c r="B76" s="60"/>
      <c r="C76" s="60"/>
      <c r="D76" s="178" t="e">
        <f>IF(OR(D60=0,MaxTMS=0),0,D70/MaxTMS/D60)</f>
        <v>#NAME?</v>
      </c>
      <c r="E76" s="179"/>
      <c r="F76" s="180"/>
    </row>
    <row r="77" spans="1:6" ht="16.5" customHeight="1">
      <c r="A77" s="61"/>
      <c r="B77" s="60"/>
      <c r="C77" s="60"/>
      <c r="D77" s="181"/>
      <c r="E77" s="182"/>
      <c r="F77" s="183"/>
    </row>
    <row r="78" spans="1:6" ht="16.5" customHeight="1">
      <c r="A78" s="59" t="s">
        <v>36</v>
      </c>
      <c r="B78" s="60"/>
      <c r="C78" s="60"/>
      <c r="D78" s="178" t="e">
        <f>IF(OR(D66=0,D60=0),0,D70/D66/D60)</f>
        <v>#NAME?</v>
      </c>
      <c r="E78" s="179"/>
      <c r="F78" s="180"/>
    </row>
    <row r="79" spans="1:6" ht="16.5" customHeight="1">
      <c r="A79" s="61"/>
      <c r="B79" s="60"/>
      <c r="C79" s="60"/>
      <c r="D79" s="181"/>
      <c r="E79" s="182"/>
      <c r="F79" s="183"/>
    </row>
    <row r="80" spans="1:6" ht="16.5" customHeight="1">
      <c r="A80" s="59" t="s">
        <v>37</v>
      </c>
      <c r="B80" s="60"/>
      <c r="C80" s="60"/>
      <c r="D80" s="178" t="e">
        <f>IF(OR(MaxTMS=0,D60=0),0,D72/MaxTMS/D60)</f>
        <v>#NAME?</v>
      </c>
      <c r="E80" s="179"/>
      <c r="F80" s="180"/>
    </row>
    <row r="81" spans="1:6" ht="16.5" customHeight="1">
      <c r="A81" s="61"/>
      <c r="B81" s="60"/>
      <c r="C81" s="60"/>
      <c r="D81" s="181"/>
      <c r="E81" s="182"/>
      <c r="F81" s="183"/>
    </row>
    <row r="82" spans="1:6" ht="16.5" customHeight="1">
      <c r="A82" s="59" t="s">
        <v>38</v>
      </c>
      <c r="B82" s="60"/>
      <c r="C82" s="60"/>
      <c r="D82" s="184" t="e">
        <f>IF(OR(MaxTMS=0,D60=0),0,ROUND(3600/MaxTMS,2)*F9/D60)</f>
        <v>#NAME?</v>
      </c>
      <c r="E82" s="185"/>
      <c r="F82" s="186"/>
    </row>
    <row r="83" spans="1:6" ht="17.25" customHeight="1" thickBot="1">
      <c r="A83" s="62"/>
      <c r="B83" s="63"/>
      <c r="C83" s="63"/>
      <c r="D83" s="187"/>
      <c r="E83" s="188"/>
      <c r="F83" s="189"/>
    </row>
  </sheetData>
  <mergeCells count="128"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24:C24"/>
    <mergeCell ref="E24:I24"/>
    <mergeCell ref="J24:K24"/>
    <mergeCell ref="A25:C25"/>
    <mergeCell ref="E25:I25"/>
    <mergeCell ref="J25:K25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U17:U18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5" t="s">
        <v>28</v>
      </c>
      <c r="B1" s="35" t="s">
        <v>26</v>
      </c>
      <c r="C1" s="35" t="s">
        <v>27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2017-03-10T02:00:17Z</cp:lastPrinted>
  <dcterms:created xsi:type="dcterms:W3CDTF">2016-01-18T12:26:28Z</dcterms:created>
  <dcterms:modified xsi:type="dcterms:W3CDTF">2019-09-16T07:44:31Z</dcterms:modified>
</cp:coreProperties>
</file>