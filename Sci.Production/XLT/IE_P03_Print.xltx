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2" sheetId="8" r:id="rId5"/>
    <sheet name="Cycle Time_2" sheetId="6" r:id="rId6"/>
    <sheet name="GCtime_2" sheetId="7" r:id="rId7"/>
  </sheets>
  <definedNames>
    <definedName name="_xlnm._FilterDatabase" localSheetId="0" hidden="1">Operation!$A$5:$F$5</definedName>
  </definedNames>
  <calcPr calcId="144525"/>
  <fileRecoveryPr autoRecover="0"/>
</workbook>
</file>

<file path=xl/calcChain.xml><?xml version="1.0" encoding="utf-8"?>
<calcChain xmlns="http://schemas.openxmlformats.org/spreadsheetml/2006/main">
  <c r="D1" i="6" l="1"/>
  <c r="D82" i="8"/>
  <c r="D80" i="8"/>
  <c r="D76" i="8"/>
  <c r="D72" i="8"/>
  <c r="D74" i="8" s="1"/>
  <c r="D70" i="8"/>
  <c r="D68" i="8"/>
  <c r="D62" i="8"/>
  <c r="D64" i="8" s="1"/>
  <c r="D66" i="8" s="1"/>
  <c r="D78" i="8" s="1"/>
  <c r="B53" i="8"/>
  <c r="B52" i="8"/>
  <c r="B51" i="8"/>
  <c r="J42" i="8"/>
  <c r="H42" i="8"/>
  <c r="F42" i="8"/>
  <c r="J41" i="8"/>
  <c r="H41" i="8"/>
  <c r="F41" i="8"/>
  <c r="J40" i="8"/>
  <c r="H40" i="8"/>
  <c r="F40" i="8"/>
  <c r="C40" i="8"/>
  <c r="J39" i="8"/>
  <c r="H39" i="8"/>
  <c r="F39" i="8"/>
  <c r="J38" i="8"/>
  <c r="H38" i="8"/>
  <c r="F38" i="8"/>
  <c r="F43" i="8" s="1"/>
  <c r="C38" i="8"/>
  <c r="A19" i="8"/>
  <c r="T17" i="8"/>
  <c r="U19" i="8" s="1"/>
  <c r="S17" i="8"/>
  <c r="U17" i="8" s="1"/>
  <c r="N17" i="8"/>
  <c r="K17" i="8"/>
  <c r="C17" i="8"/>
  <c r="A17" i="8" s="1"/>
  <c r="B17" i="8"/>
  <c r="C38" i="2"/>
  <c r="N17" i="2"/>
  <c r="K17" i="2"/>
  <c r="D82" i="2" l="1"/>
  <c r="D80" i="2"/>
  <c r="D76" i="2"/>
  <c r="D72" i="2"/>
  <c r="D74" i="2" s="1"/>
  <c r="D70" i="2"/>
  <c r="D68" i="2"/>
  <c r="D62" i="2"/>
  <c r="D64" i="2" s="1"/>
  <c r="D66" i="2" s="1"/>
  <c r="C40" i="2"/>
  <c r="J39" i="2"/>
  <c r="J40" i="2"/>
  <c r="J41" i="2"/>
  <c r="J42" i="2"/>
  <c r="J38" i="2"/>
  <c r="H39" i="2"/>
  <c r="H40" i="2"/>
  <c r="H41" i="2"/>
  <c r="H42" i="2"/>
  <c r="H38" i="2"/>
  <c r="F39" i="2"/>
  <c r="F40" i="2"/>
  <c r="F41" i="2"/>
  <c r="F42" i="2"/>
  <c r="F38" i="2"/>
  <c r="B53" i="2"/>
  <c r="B52" i="2"/>
  <c r="B51" i="2"/>
  <c r="D78" i="2" l="1"/>
  <c r="D1" i="3"/>
  <c r="F43" i="2"/>
  <c r="B17" i="2"/>
  <c r="C17" i="2"/>
  <c r="S17" i="2"/>
  <c r="T17" i="2"/>
  <c r="U19" i="2" s="1"/>
  <c r="U17" i="2" l="1"/>
  <c r="A17" i="2"/>
  <c r="A19" i="2"/>
</calcChain>
</file>

<file path=xl/sharedStrings.xml><?xml version="1.0" encoding="utf-8"?>
<sst xmlns="http://schemas.openxmlformats.org/spreadsheetml/2006/main" count="123" uniqueCount="58">
  <si>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</si>
  <si>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</si>
  <si>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</si>
  <si>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</si>
  <si>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</si>
  <si>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</si>
  <si>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</si>
  <si>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</si>
  <si>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</si>
  <si>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</si>
  <si>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Machine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</si>
  <si>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</si>
  <si>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</si>
  <si>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</si>
  <si>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</si>
  <si>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</si>
  <si>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</si>
  <si>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</si>
  <si>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</si>
  <si>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</si>
  <si>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</si>
  <si>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</si>
  <si>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</si>
  <si>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</si>
  <si>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</si>
  <si>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</si>
  <si>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</si>
  <si>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</si>
  <si>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</si>
  <si>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</si>
  <si>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</si>
  <si>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</si>
  <si>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</si>
  <si>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</si>
  <si>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</si>
  <si>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</si>
  <si>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</si>
  <si>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</si>
  <si>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</si>
  <si>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</si>
  <si>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</si>
  <si>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</si>
  <si>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</si>
  <si>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</si>
  <si>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</si>
  <si>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</si>
  <si>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</si>
  <si>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</si>
  <si>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</si>
  <si>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</si>
  <si>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Act. 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</si>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</sst>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32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0" xfId="23" applyFont="1" applyFill="1" applyBorder="1" applyAlignment="1" applyProtection="1">
      <alignment horizontal="center" vertical="center"/>
      <protection locked="0"/>
    </xf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8" fillId="5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2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34" fillId="0" borderId="55" xfId="23" applyFont="1" applyFill="1" applyBorder="1" applyAlignment="1" applyProtection="1">
      <alignment horizontal="center" vertical="center" wrapText="1"/>
      <protection hidden="1"/>
    </xf>
    <xf numFmtId="0" fontId="34" fillId="0" borderId="75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56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7" fillId="3" borderId="0" xfId="23" applyFont="1" applyFill="1" applyAlignment="1">
      <alignment horizontal="center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44" fillId="0" borderId="88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44" fillId="0" borderId="87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8" xfId="0" applyFont="1" applyBorder="1" applyAlignment="1">
      <alignment horizontal="center" vertical="center" wrapText="1"/>
    </xf>
    <xf numFmtId="10" fontId="44" fillId="0" borderId="88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8" xfId="0" applyNumberFormat="1" applyFont="1" applyBorder="1" applyAlignment="1">
      <alignment horizontal="center" vertical="center" wrapText="1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7" xfId="0" applyNumberFormat="1" applyFont="1" applyBorder="1" applyAlignment="1">
      <alignment horizontal="center" vertical="center" wrapText="1"/>
    </xf>
    <xf numFmtId="181" fontId="44" fillId="0" borderId="89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0" fillId="3" borderId="8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49" fontId="32" fillId="0" borderId="65" xfId="29" applyNumberFormat="1" applyFont="1" applyBorder="1" applyAlignment="1" applyProtection="1">
      <alignment horizontal="center" vertical="center" wrapText="1"/>
      <protection locked="0"/>
    </xf>
    <xf numFmtId="49" fontId="32" fillId="0" borderId="71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1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0" fontId="40" fillId="3" borderId="48" xfId="1" applyNumberFormat="1" applyFont="1" applyFill="1" applyBorder="1" applyAlignment="1">
      <alignment horizontal="center" vertical="center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0" fillId="3" borderId="48" xfId="1" applyFont="1" applyFill="1" applyBorder="1" applyAlignment="1" applyProtection="1">
      <alignment horizontal="center" vertical="center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17" fillId="3" borderId="76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0" fontId="40" fillId="0" borderId="48" xfId="1" applyNumberFormat="1" applyFont="1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37" fillId="7" borderId="48" xfId="23" applyNumberFormat="1" applyFont="1" applyFill="1" applyBorder="1" applyAlignment="1">
      <alignment horizontal="center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37" fillId="6" borderId="48" xfId="23" applyFont="1" applyFill="1" applyBorder="1" applyAlignment="1">
      <alignment horizont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23" fillId="4" borderId="72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65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80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0" fillId="4" borderId="80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1" xfId="0" applyBorder="1" applyAlignment="1">
      <alignment vertical="center"/>
    </xf>
    <xf numFmtId="0" fontId="0" fillId="0" borderId="85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80" fontId="33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0" fillId="0" borderId="34" xfId="0" applyBorder="1" applyAlignment="1">
      <alignment horizontal="left" vertical="center" wrapText="1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9721361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4076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3" bestFit="1" customWidth="1"/>
    <col min="2" max="2" width="85.625" style="14" customWidth="1"/>
    <col min="3" max="3" width="15.75" style="6" bestFit="1" customWidth="1"/>
    <col min="4" max="4" width="15.75" style="6" customWidth="1"/>
    <col min="5" max="5" width="17.375" style="3" bestFit="1" customWidth="1"/>
    <col min="6" max="6" width="9.75" style="4" bestFit="1" customWidth="1"/>
    <col min="7" max="7" width="12.25" style="7" customWidth="1"/>
    <col min="8" max="8" width="16.875" style="7" customWidth="1"/>
    <col min="9" max="9" width="16.625" style="7" customWidth="1"/>
    <col min="10" max="16384" width="9" style="7"/>
  </cols>
  <sheetData>
    <row r="1" spans="1:9" ht="20.25">
      <c r="A1" s="57" t="s">
        <v>51</v>
      </c>
      <c r="B1" s="57"/>
    </row>
    <row r="2" spans="1:9" ht="20.25">
      <c r="A2" s="1" t="s">
        <v>5</v>
      </c>
      <c r="B2" s="2" t="s">
        <v>6</v>
      </c>
    </row>
    <row r="3" spans="1:9" ht="20.25">
      <c r="A3" s="1" t="s">
        <v>7</v>
      </c>
      <c r="B3" s="2"/>
    </row>
    <row r="4" spans="1:9" ht="20.25">
      <c r="A4" s="1"/>
      <c r="B4" s="5"/>
    </row>
    <row r="5" spans="1:9">
      <c r="A5" s="8" t="s">
        <v>8</v>
      </c>
      <c r="B5" s="9" t="s">
        <v>9</v>
      </c>
      <c r="C5" s="10" t="s">
        <v>10</v>
      </c>
      <c r="D5" s="10" t="s">
        <v>52</v>
      </c>
      <c r="E5" s="11" t="s">
        <v>53</v>
      </c>
      <c r="F5" s="12" t="s">
        <v>11</v>
      </c>
      <c r="G5" s="12" t="s">
        <v>49</v>
      </c>
      <c r="H5" s="39" t="s">
        <v>50</v>
      </c>
      <c r="I5" s="39" t="s">
        <v>57</v>
      </c>
    </row>
  </sheetData>
  <autoFilter ref="A5:F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P26" sqref="P26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75" style="15" customWidth="1"/>
    <col min="12" max="12" width="7.625" style="15" customWidth="1"/>
    <col min="13" max="13" width="18.25" style="15" customWidth="1"/>
    <col min="14" max="14" width="0.375" style="15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25" style="15" customWidth="1"/>
    <col min="22" max="24" width="9" style="15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3" t="s">
        <v>12</v>
      </c>
      <c r="B1" s="104"/>
      <c r="C1" s="104"/>
      <c r="D1" s="104"/>
      <c r="E1" s="105"/>
      <c r="F1" s="89"/>
      <c r="G1" s="90"/>
    </row>
    <row r="2" spans="1:21" ht="13.5" customHeight="1">
      <c r="A2" s="96"/>
      <c r="B2" s="97"/>
      <c r="C2" s="97"/>
      <c r="D2" s="97"/>
      <c r="E2" s="98"/>
      <c r="F2" s="82"/>
      <c r="G2" s="83"/>
    </row>
    <row r="3" spans="1:21" ht="13.5" customHeight="1">
      <c r="A3" s="93" t="s">
        <v>1</v>
      </c>
      <c r="B3" s="94"/>
      <c r="C3" s="94"/>
      <c r="D3" s="94"/>
      <c r="E3" s="95"/>
      <c r="F3" s="91"/>
      <c r="G3" s="92"/>
    </row>
    <row r="4" spans="1:21" ht="13.5" customHeight="1">
      <c r="A4" s="96"/>
      <c r="B4" s="97"/>
      <c r="C4" s="97"/>
      <c r="D4" s="97"/>
      <c r="E4" s="98"/>
      <c r="F4" s="91"/>
      <c r="G4" s="92"/>
    </row>
    <row r="5" spans="1:21" ht="13.5" customHeight="1">
      <c r="A5" s="93" t="s">
        <v>13</v>
      </c>
      <c r="B5" s="94"/>
      <c r="C5" s="94"/>
      <c r="D5" s="94"/>
      <c r="E5" s="95"/>
      <c r="F5" s="82"/>
      <c r="G5" s="83"/>
    </row>
    <row r="6" spans="1:21" ht="13.5" customHeight="1">
      <c r="A6" s="96"/>
      <c r="B6" s="97"/>
      <c r="C6" s="97"/>
      <c r="D6" s="97"/>
      <c r="E6" s="98"/>
      <c r="F6" s="82"/>
      <c r="G6" s="83"/>
    </row>
    <row r="7" spans="1:21" ht="13.5" customHeight="1">
      <c r="A7" s="93" t="s">
        <v>2</v>
      </c>
      <c r="B7" s="94"/>
      <c r="C7" s="94"/>
      <c r="D7" s="94"/>
      <c r="E7" s="95"/>
      <c r="F7" s="82"/>
      <c r="G7" s="83"/>
    </row>
    <row r="8" spans="1:21" ht="26.25" customHeight="1">
      <c r="A8" s="96"/>
      <c r="B8" s="97"/>
      <c r="C8" s="97"/>
      <c r="D8" s="97"/>
      <c r="E8" s="98"/>
      <c r="F8" s="82"/>
      <c r="G8" s="83"/>
    </row>
    <row r="9" spans="1:21" ht="13.5" customHeight="1">
      <c r="A9" s="99" t="s">
        <v>14</v>
      </c>
      <c r="B9" s="94"/>
      <c r="C9" s="94"/>
      <c r="D9" s="94"/>
      <c r="E9" s="95"/>
      <c r="F9" s="84"/>
      <c r="G9" s="85"/>
    </row>
    <row r="10" spans="1:21" ht="13.5" customHeight="1" thickBot="1">
      <c r="A10" s="100"/>
      <c r="B10" s="101"/>
      <c r="C10" s="101"/>
      <c r="D10" s="101"/>
      <c r="E10" s="102"/>
      <c r="F10" s="86"/>
      <c r="G10" s="87"/>
    </row>
    <row r="11" spans="1:21" ht="17.25" thickBot="1"/>
    <row r="12" spans="1:21" ht="12.75" customHeight="1">
      <c r="A12" s="106" t="s">
        <v>15</v>
      </c>
      <c r="B12" s="118" t="s">
        <v>16</v>
      </c>
      <c r="C12" s="109" t="s">
        <v>3</v>
      </c>
      <c r="D12" s="109" t="s">
        <v>54</v>
      </c>
      <c r="E12" s="144" t="s">
        <v>18</v>
      </c>
      <c r="F12" s="144"/>
      <c r="G12" s="144"/>
      <c r="H12" s="144"/>
      <c r="I12" s="145"/>
      <c r="J12" s="112" t="s">
        <v>0</v>
      </c>
      <c r="K12" s="113"/>
      <c r="L12" s="17"/>
      <c r="M12" s="150" t="s">
        <v>0</v>
      </c>
      <c r="N12" s="151"/>
      <c r="O12" s="109" t="s">
        <v>54</v>
      </c>
      <c r="P12" s="144" t="s">
        <v>18</v>
      </c>
      <c r="Q12" s="144"/>
      <c r="R12" s="145"/>
      <c r="S12" s="109" t="s">
        <v>3</v>
      </c>
      <c r="T12" s="118" t="s">
        <v>16</v>
      </c>
      <c r="U12" s="141" t="s">
        <v>15</v>
      </c>
    </row>
    <row r="13" spans="1:21" ht="12.75" customHeight="1">
      <c r="A13" s="107"/>
      <c r="B13" s="119"/>
      <c r="C13" s="110"/>
      <c r="D13" s="110"/>
      <c r="E13" s="146"/>
      <c r="F13" s="146"/>
      <c r="G13" s="146"/>
      <c r="H13" s="146"/>
      <c r="I13" s="147"/>
      <c r="J13" s="114"/>
      <c r="K13" s="115"/>
      <c r="L13" s="17"/>
      <c r="M13" s="152"/>
      <c r="N13" s="153"/>
      <c r="O13" s="110"/>
      <c r="P13" s="146"/>
      <c r="Q13" s="146"/>
      <c r="R13" s="147"/>
      <c r="S13" s="110"/>
      <c r="T13" s="119"/>
      <c r="U13" s="142"/>
    </row>
    <row r="14" spans="1:21" ht="12.75" customHeight="1">
      <c r="A14" s="107"/>
      <c r="B14" s="119"/>
      <c r="C14" s="110"/>
      <c r="D14" s="110"/>
      <c r="E14" s="146"/>
      <c r="F14" s="146"/>
      <c r="G14" s="146"/>
      <c r="H14" s="146"/>
      <c r="I14" s="147"/>
      <c r="J14" s="114"/>
      <c r="K14" s="115"/>
      <c r="L14" s="17"/>
      <c r="M14" s="152"/>
      <c r="N14" s="153"/>
      <c r="O14" s="110"/>
      <c r="P14" s="146"/>
      <c r="Q14" s="146"/>
      <c r="R14" s="147"/>
      <c r="S14" s="110"/>
      <c r="T14" s="119"/>
      <c r="U14" s="142"/>
    </row>
    <row r="15" spans="1:21" ht="12.75" customHeight="1" thickBot="1">
      <c r="A15" s="108"/>
      <c r="B15" s="120"/>
      <c r="C15" s="111"/>
      <c r="D15" s="111"/>
      <c r="E15" s="148"/>
      <c r="F15" s="148"/>
      <c r="G15" s="148"/>
      <c r="H15" s="148"/>
      <c r="I15" s="149"/>
      <c r="J15" s="116"/>
      <c r="K15" s="117"/>
      <c r="L15" s="17"/>
      <c r="M15" s="154"/>
      <c r="N15" s="155"/>
      <c r="O15" s="111"/>
      <c r="P15" s="148"/>
      <c r="Q15" s="148"/>
      <c r="R15" s="149"/>
      <c r="S15" s="111"/>
      <c r="T15" s="120"/>
      <c r="U15" s="143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21" t="str">
        <f>IF(ISERROR((C17-B17)/C17),"",(C17-B17)/C17)</f>
        <v/>
      </c>
      <c r="B17" s="123">
        <f>SUM(B19:B21)</f>
        <v>0</v>
      </c>
      <c r="C17" s="125">
        <f>SUM(C19:C21)</f>
        <v>0</v>
      </c>
      <c r="D17" s="133"/>
      <c r="E17" s="163" t="s">
        <v>17</v>
      </c>
      <c r="F17" s="127"/>
      <c r="G17" s="128"/>
      <c r="H17" s="128"/>
      <c r="I17" s="129"/>
      <c r="J17" s="88"/>
      <c r="K17" s="230">
        <f>SUM(K19:K21)</f>
        <v>0</v>
      </c>
      <c r="L17" s="17"/>
      <c r="M17" s="156"/>
      <c r="N17" s="157">
        <f>SUM(N19:N21)</f>
        <v>0</v>
      </c>
      <c r="O17" s="133"/>
      <c r="P17" s="163" t="s">
        <v>17</v>
      </c>
      <c r="Q17" s="127"/>
      <c r="R17" s="129"/>
      <c r="S17" s="161">
        <f>SUM(S19:S21)</f>
        <v>0</v>
      </c>
      <c r="T17" s="136">
        <f>SUM(T19:T21)</f>
        <v>0</v>
      </c>
      <c r="U17" s="158" t="str">
        <f>IF(ISERROR((S17-T17)/S17),"",(S17-T17)/S17)</f>
        <v/>
      </c>
    </row>
    <row r="18" spans="1:21" s="18" customFormat="1" ht="13.5" customHeight="1">
      <c r="A18" s="122"/>
      <c r="B18" s="124"/>
      <c r="C18" s="126"/>
      <c r="D18" s="134"/>
      <c r="E18" s="164"/>
      <c r="F18" s="130"/>
      <c r="G18" s="131"/>
      <c r="H18" s="131"/>
      <c r="I18" s="132"/>
      <c r="J18" s="226"/>
      <c r="K18" s="227"/>
      <c r="L18" s="17"/>
      <c r="M18" s="228"/>
      <c r="N18" s="229"/>
      <c r="O18" s="134"/>
      <c r="P18" s="164"/>
      <c r="Q18" s="130"/>
      <c r="R18" s="132"/>
      <c r="S18" s="162"/>
      <c r="T18" s="137"/>
      <c r="U18" s="159"/>
    </row>
    <row r="19" spans="1:21" s="18" customFormat="1" ht="26.25" customHeight="1">
      <c r="A19" s="171" t="str">
        <f>IF(ISERROR(IF(B17="",3600/C17,3600/B17)),"",IF(B17="",3600/C17,3600/B17))</f>
        <v/>
      </c>
      <c r="B19" s="24"/>
      <c r="C19" s="25"/>
      <c r="D19" s="41"/>
      <c r="E19" s="58"/>
      <c r="F19" s="59"/>
      <c r="G19" s="59"/>
      <c r="H19" s="59"/>
      <c r="I19" s="231"/>
      <c r="J19" s="52"/>
      <c r="K19" s="53"/>
      <c r="L19" s="17"/>
      <c r="M19" s="45"/>
      <c r="N19" s="46"/>
      <c r="O19" s="41"/>
      <c r="P19" s="40"/>
      <c r="Q19" s="56"/>
      <c r="R19" s="56"/>
      <c r="S19" s="25"/>
      <c r="T19" s="24"/>
      <c r="U19" s="138" t="str">
        <f>IF(ISERROR(IF(T17="",3600/S17,3600/T17)),"",IF(T17="",3600/S17,3600/T17))</f>
        <v/>
      </c>
    </row>
    <row r="20" spans="1:21" s="18" customFormat="1" ht="22.5">
      <c r="A20" s="172"/>
      <c r="B20" s="24"/>
      <c r="C20" s="25"/>
      <c r="D20" s="41"/>
      <c r="E20" s="58"/>
      <c r="F20" s="59"/>
      <c r="G20" s="59"/>
      <c r="H20" s="59"/>
      <c r="I20" s="231"/>
      <c r="J20" s="52"/>
      <c r="K20" s="53"/>
      <c r="L20" s="17"/>
      <c r="M20" s="45"/>
      <c r="N20" s="46"/>
      <c r="O20" s="41"/>
      <c r="P20" s="40"/>
      <c r="Q20" s="56"/>
      <c r="R20" s="56"/>
      <c r="S20" s="25"/>
      <c r="T20" s="24"/>
      <c r="U20" s="139"/>
    </row>
    <row r="21" spans="1:21" s="18" customFormat="1" ht="26.25" customHeight="1" thickBot="1">
      <c r="A21" s="173"/>
      <c r="B21" s="26"/>
      <c r="C21" s="27"/>
      <c r="D21" s="42"/>
      <c r="E21" s="58"/>
      <c r="F21" s="59"/>
      <c r="G21" s="59"/>
      <c r="H21" s="59"/>
      <c r="I21" s="231"/>
      <c r="J21" s="50"/>
      <c r="K21" s="51"/>
      <c r="L21" s="17"/>
      <c r="M21" s="54"/>
      <c r="N21" s="55"/>
      <c r="O21" s="42"/>
      <c r="P21" s="40"/>
      <c r="Q21" s="56"/>
      <c r="R21" s="56"/>
      <c r="S21" s="25" t="s">
        <v>4</v>
      </c>
      <c r="T21" s="26"/>
      <c r="U21" s="140"/>
    </row>
    <row r="24" spans="1:21" ht="18" customHeight="1">
      <c r="A24" s="168" t="s">
        <v>18</v>
      </c>
      <c r="B24" s="168"/>
      <c r="C24" s="168"/>
      <c r="D24" s="38"/>
      <c r="E24" s="169" t="s">
        <v>19</v>
      </c>
      <c r="F24" s="169"/>
      <c r="G24" s="169"/>
      <c r="H24" s="169"/>
      <c r="I24" s="169"/>
      <c r="J24" s="160" t="s">
        <v>23</v>
      </c>
      <c r="K24" s="160"/>
      <c r="L24" s="20"/>
    </row>
    <row r="25" spans="1:21" ht="18" customHeight="1">
      <c r="A25" s="165"/>
      <c r="B25" s="166"/>
      <c r="C25" s="167"/>
      <c r="D25" s="37"/>
      <c r="E25" s="170"/>
      <c r="F25" s="170"/>
      <c r="G25" s="170"/>
      <c r="H25" s="170"/>
      <c r="I25" s="170"/>
      <c r="J25" s="135"/>
      <c r="K25" s="135"/>
      <c r="L25" s="19"/>
    </row>
    <row r="26" spans="1:21" ht="18" customHeight="1">
      <c r="A26" s="165"/>
      <c r="B26" s="166"/>
      <c r="C26" s="167"/>
      <c r="D26" s="37"/>
      <c r="E26" s="170"/>
      <c r="F26" s="170"/>
      <c r="G26" s="170"/>
      <c r="H26" s="170"/>
      <c r="I26" s="170"/>
      <c r="J26" s="135"/>
      <c r="K26" s="135"/>
      <c r="L26" s="21"/>
    </row>
    <row r="27" spans="1:21" ht="18" customHeight="1">
      <c r="A27" s="165"/>
      <c r="B27" s="166"/>
      <c r="C27" s="167"/>
      <c r="D27" s="37"/>
      <c r="E27" s="170"/>
      <c r="F27" s="170"/>
      <c r="G27" s="170"/>
      <c r="H27" s="170"/>
      <c r="I27" s="170"/>
      <c r="J27" s="135"/>
      <c r="K27" s="135"/>
      <c r="L27" s="21"/>
    </row>
    <row r="28" spans="1:21" ht="18" customHeight="1">
      <c r="A28" s="165"/>
      <c r="B28" s="166"/>
      <c r="C28" s="167"/>
      <c r="D28" s="37"/>
      <c r="E28" s="170"/>
      <c r="F28" s="170"/>
      <c r="G28" s="170"/>
      <c r="H28" s="170"/>
      <c r="I28" s="170"/>
      <c r="J28" s="135"/>
      <c r="K28" s="135"/>
      <c r="L28" s="21"/>
      <c r="Q28" s="178"/>
      <c r="R28" s="178"/>
    </row>
    <row r="29" spans="1:21" ht="18" customHeight="1">
      <c r="A29" s="165"/>
      <c r="B29" s="166"/>
      <c r="C29" s="167"/>
      <c r="D29" s="37"/>
      <c r="E29" s="170"/>
      <c r="F29" s="170"/>
      <c r="G29" s="170"/>
      <c r="H29" s="170"/>
      <c r="I29" s="170"/>
      <c r="J29" s="135"/>
      <c r="K29" s="135"/>
      <c r="L29" s="21"/>
      <c r="P29" s="22" t="s">
        <v>24</v>
      </c>
      <c r="Q29" s="179"/>
      <c r="R29" s="179"/>
    </row>
    <row r="30" spans="1:21" ht="18" customHeight="1">
      <c r="A30" s="165"/>
      <c r="B30" s="166"/>
      <c r="C30" s="167"/>
      <c r="D30" s="37"/>
      <c r="E30" s="170"/>
      <c r="F30" s="170"/>
      <c r="G30" s="170"/>
      <c r="H30" s="170"/>
      <c r="I30" s="170"/>
      <c r="J30" s="135"/>
      <c r="K30" s="135"/>
      <c r="L30" s="21"/>
    </row>
    <row r="31" spans="1:21" ht="18" customHeight="1">
      <c r="A31" s="165"/>
      <c r="B31" s="166"/>
      <c r="C31" s="167"/>
      <c r="D31" s="37"/>
      <c r="E31" s="170"/>
      <c r="F31" s="170"/>
      <c r="G31" s="170"/>
      <c r="H31" s="170"/>
      <c r="I31" s="170"/>
      <c r="J31" s="135"/>
      <c r="K31" s="135"/>
      <c r="L31" s="21"/>
      <c r="Q31" s="180"/>
      <c r="R31" s="180"/>
    </row>
    <row r="32" spans="1:21" ht="18" customHeight="1">
      <c r="A32" s="165"/>
      <c r="B32" s="166"/>
      <c r="C32" s="167"/>
      <c r="D32" s="37"/>
      <c r="E32" s="170"/>
      <c r="F32" s="170"/>
      <c r="G32" s="170"/>
      <c r="H32" s="170"/>
      <c r="I32" s="170"/>
      <c r="J32" s="135"/>
      <c r="K32" s="135"/>
      <c r="L32" s="21"/>
      <c r="P32" s="22" t="s">
        <v>20</v>
      </c>
      <c r="Q32" s="181"/>
      <c r="R32" s="181"/>
    </row>
    <row r="33" spans="1:18" ht="18" customHeight="1">
      <c r="A33" s="165"/>
      <c r="B33" s="166"/>
      <c r="C33" s="167"/>
      <c r="D33" s="37"/>
      <c r="E33" s="170"/>
      <c r="F33" s="170"/>
      <c r="G33" s="170"/>
      <c r="H33" s="170"/>
      <c r="I33" s="170"/>
      <c r="J33" s="135"/>
      <c r="K33" s="135"/>
      <c r="L33" s="21"/>
      <c r="Q33" s="23"/>
      <c r="R33" s="23"/>
    </row>
    <row r="34" spans="1:18" ht="20.25">
      <c r="A34" s="165"/>
      <c r="B34" s="166"/>
      <c r="C34" s="167"/>
      <c r="D34" s="37"/>
      <c r="E34" s="170"/>
      <c r="F34" s="170"/>
      <c r="G34" s="170"/>
      <c r="H34" s="170"/>
      <c r="I34" s="170"/>
      <c r="J34" s="135"/>
      <c r="K34" s="135"/>
      <c r="Q34" s="176"/>
      <c r="R34" s="176"/>
    </row>
    <row r="35" spans="1:18" ht="18" customHeight="1">
      <c r="P35" s="22" t="s">
        <v>21</v>
      </c>
      <c r="Q35" s="177"/>
      <c r="R35" s="177"/>
    </row>
    <row r="36" spans="1:18" ht="18" customHeight="1">
      <c r="Q36" s="23"/>
      <c r="R36" s="23"/>
    </row>
    <row r="37" spans="1:18" ht="18" customHeight="1">
      <c r="E37" s="182" t="s">
        <v>26</v>
      </c>
      <c r="F37" s="182"/>
      <c r="G37" s="182"/>
      <c r="H37" s="182"/>
      <c r="I37" s="182"/>
      <c r="J37" s="182"/>
      <c r="Q37" s="174"/>
      <c r="R37" s="174"/>
    </row>
    <row r="38" spans="1:18" ht="13.5" customHeight="1">
      <c r="A38" s="190" t="s">
        <v>56</v>
      </c>
      <c r="B38" s="190"/>
      <c r="C38" s="78" t="e">
        <f>COUNTIF(MachineAttachmentTemplateL,"*"&amp;A38&amp;"*")+COUNTIF(MachineAttachmentTemplateR,"*"&amp;A38&amp;"*")</f>
        <v>#NAME?</v>
      </c>
      <c r="D38" s="79"/>
      <c r="E38" s="30"/>
      <c r="F38" s="29" t="str">
        <f>IF(E38="","",COUNTIF(MachineINV,E38&amp;"*"))</f>
        <v/>
      </c>
      <c r="G38" s="44"/>
      <c r="H38" s="29" t="str">
        <f>IF(G38="","",COUNTIF(MachineINV,G38&amp;"*"))</f>
        <v/>
      </c>
      <c r="I38" s="31"/>
      <c r="J38" s="29" t="str">
        <f>IF(I38="","",COUNTIF(MachineINV,I38&amp;"*"))</f>
        <v/>
      </c>
      <c r="P38" s="22" t="s">
        <v>22</v>
      </c>
      <c r="Q38" s="175"/>
      <c r="R38" s="175"/>
    </row>
    <row r="39" spans="1:18" ht="13.5" customHeight="1">
      <c r="A39" s="190"/>
      <c r="B39" s="190"/>
      <c r="C39" s="80"/>
      <c r="D39" s="81"/>
      <c r="E39" s="30"/>
      <c r="F39" s="29" t="str">
        <f t="shared" ref="F39:F42" si="0">IF(E39="","",COUNTIF(MachineINV,E39&amp;"*"))</f>
        <v/>
      </c>
      <c r="G39" s="44"/>
      <c r="H39" s="29" t="str">
        <f t="shared" ref="H39:H42" si="1">IF(G39="","",COUNTIF(MachineINV,G39&amp;"*"))</f>
        <v/>
      </c>
      <c r="I39" s="31"/>
      <c r="J39" s="29" t="str">
        <f t="shared" ref="J39:J42" si="2">IF(I39="","",COUNTIF(MachineINV,I39&amp;"*"))</f>
        <v/>
      </c>
    </row>
    <row r="40" spans="1:18" ht="13.5" customHeight="1">
      <c r="A40" s="190" t="s">
        <v>27</v>
      </c>
      <c r="B40" s="190"/>
      <c r="C40" s="78" t="e">
        <f>COUNTIF(MachineAttachmentTemplateL,"*"&amp;A40&amp;"*")+COUNTIF(MachineAttachmentTemplateR,"*"&amp;A40&amp;"*")</f>
        <v>#NAME?</v>
      </c>
      <c r="D40" s="79"/>
      <c r="E40" s="30"/>
      <c r="F40" s="29" t="str">
        <f t="shared" si="0"/>
        <v/>
      </c>
      <c r="G40" s="44"/>
      <c r="H40" s="29" t="str">
        <f t="shared" si="1"/>
        <v/>
      </c>
      <c r="I40" s="31"/>
      <c r="J40" s="29" t="str">
        <f t="shared" si="2"/>
        <v/>
      </c>
    </row>
    <row r="41" spans="1:18" ht="13.5" customHeight="1">
      <c r="A41" s="190"/>
      <c r="B41" s="190"/>
      <c r="C41" s="80"/>
      <c r="D41" s="81"/>
      <c r="E41" s="30"/>
      <c r="F41" s="29" t="str">
        <f t="shared" si="0"/>
        <v/>
      </c>
      <c r="G41" s="31"/>
      <c r="H41" s="29" t="str">
        <f t="shared" si="1"/>
        <v/>
      </c>
      <c r="I41" s="31"/>
      <c r="J41" s="29" t="str">
        <f t="shared" si="2"/>
        <v/>
      </c>
    </row>
    <row r="42" spans="1:18" ht="13.5" customHeight="1">
      <c r="E42" s="30"/>
      <c r="F42" s="29" t="str">
        <f t="shared" si="0"/>
        <v/>
      </c>
      <c r="G42" s="31"/>
      <c r="H42" s="29" t="str">
        <f t="shared" si="1"/>
        <v/>
      </c>
      <c r="I42" s="31"/>
      <c r="J42" s="29" t="str">
        <f t="shared" si="2"/>
        <v/>
      </c>
    </row>
    <row r="43" spans="1:18" ht="13.5" customHeight="1">
      <c r="E43" s="28" t="s">
        <v>25</v>
      </c>
      <c r="F43" s="189">
        <f>SUM(F38:F42)+SUM(H38:H42)+SUM(J38:J42)</f>
        <v>0</v>
      </c>
      <c r="G43" s="189"/>
      <c r="H43" s="189"/>
      <c r="I43" s="189"/>
      <c r="J43" s="189"/>
    </row>
    <row r="44" spans="1:18" ht="17.25" thickBot="1"/>
    <row r="45" spans="1:18" ht="13.5" customHeight="1">
      <c r="A45" s="198" t="s">
        <v>55</v>
      </c>
      <c r="B45" s="199"/>
      <c r="C45" s="199"/>
      <c r="D45" s="199"/>
      <c r="E45" s="199"/>
      <c r="F45" s="200"/>
    </row>
    <row r="46" spans="1:18" ht="13.5" customHeight="1">
      <c r="A46" s="201"/>
      <c r="B46" s="202"/>
      <c r="C46" s="202"/>
      <c r="D46" s="202"/>
      <c r="E46" s="202"/>
      <c r="F46" s="203"/>
    </row>
    <row r="47" spans="1:18" ht="13.5" customHeight="1">
      <c r="A47" s="204"/>
      <c r="B47" s="205"/>
      <c r="C47" s="205"/>
      <c r="D47" s="205"/>
      <c r="E47" s="205"/>
      <c r="F47" s="206"/>
    </row>
    <row r="48" spans="1:18" ht="13.5" customHeight="1">
      <c r="A48" s="191" t="s">
        <v>0</v>
      </c>
      <c r="B48" s="194" t="s">
        <v>28</v>
      </c>
      <c r="C48" s="195"/>
      <c r="D48" s="194" t="s">
        <v>29</v>
      </c>
      <c r="E48" s="215"/>
      <c r="F48" s="216"/>
    </row>
    <row r="49" spans="1:6" ht="13.5" customHeight="1">
      <c r="A49" s="192"/>
      <c r="B49" s="196"/>
      <c r="C49" s="196"/>
      <c r="D49" s="217"/>
      <c r="E49" s="217"/>
      <c r="F49" s="218"/>
    </row>
    <row r="50" spans="1:6" ht="13.5" customHeight="1">
      <c r="A50" s="193"/>
      <c r="B50" s="197"/>
      <c r="C50" s="197"/>
      <c r="D50" s="219"/>
      <c r="E50" s="219"/>
      <c r="F50" s="220"/>
    </row>
    <row r="51" spans="1:6" ht="13.5" customHeight="1">
      <c r="A51" s="33"/>
      <c r="B51" s="186" t="str">
        <f>IF(A51="","",COUNTIF(MachineINV,A51&amp;"*"))</f>
        <v/>
      </c>
      <c r="C51" s="187"/>
      <c r="D51" s="186"/>
      <c r="E51" s="187"/>
      <c r="F51" s="221"/>
    </row>
    <row r="52" spans="1:6" ht="13.5" customHeight="1">
      <c r="A52" s="34"/>
      <c r="B52" s="188" t="str">
        <f>IF(A52="","",COUNTIF(MachineINV,A52&amp;"*"))</f>
        <v/>
      </c>
      <c r="C52" s="188"/>
      <c r="D52" s="188"/>
      <c r="E52" s="222"/>
      <c r="F52" s="223"/>
    </row>
    <row r="53" spans="1:6" ht="13.5" customHeight="1" thickBot="1">
      <c r="A53" s="32"/>
      <c r="B53" s="183" t="str">
        <f>IF(A53="","",COUNTIF(MachineINV,A53&amp;"*"))</f>
        <v/>
      </c>
      <c r="C53" s="183"/>
      <c r="D53" s="183"/>
      <c r="E53" s="184"/>
      <c r="F53" s="185"/>
    </row>
    <row r="55" spans="1:6" ht="17.25" thickBot="1"/>
    <row r="56" spans="1:6">
      <c r="A56" s="210" t="s">
        <v>43</v>
      </c>
      <c r="B56" s="211"/>
      <c r="C56" s="211"/>
      <c r="D56" s="212"/>
      <c r="E56" s="213"/>
      <c r="F56" s="214"/>
    </row>
    <row r="57" spans="1:6">
      <c r="A57" s="209"/>
      <c r="B57" s="208"/>
      <c r="C57" s="208"/>
      <c r="D57" s="63"/>
      <c r="E57" s="64"/>
      <c r="F57" s="65"/>
    </row>
    <row r="58" spans="1:6" ht="16.5" customHeight="1">
      <c r="A58" s="207" t="s">
        <v>44</v>
      </c>
      <c r="B58" s="208"/>
      <c r="C58" s="208"/>
      <c r="D58" s="60"/>
      <c r="E58" s="61"/>
      <c r="F58" s="62"/>
    </row>
    <row r="59" spans="1:6" ht="16.5" customHeight="1">
      <c r="A59" s="209"/>
      <c r="B59" s="208"/>
      <c r="C59" s="208"/>
      <c r="D59" s="63"/>
      <c r="E59" s="64"/>
      <c r="F59" s="65"/>
    </row>
    <row r="60" spans="1:6" ht="16.5" customHeight="1">
      <c r="A60" s="207" t="s">
        <v>45</v>
      </c>
      <c r="B60" s="208"/>
      <c r="C60" s="208"/>
      <c r="D60" s="60"/>
      <c r="E60" s="61"/>
      <c r="F60" s="62"/>
    </row>
    <row r="61" spans="1:6" ht="16.5" customHeight="1">
      <c r="A61" s="209"/>
      <c r="B61" s="208"/>
      <c r="C61" s="208"/>
      <c r="D61" s="63"/>
      <c r="E61" s="64"/>
      <c r="F61" s="65"/>
    </row>
    <row r="62" spans="1:6" ht="16.5" customHeight="1">
      <c r="A62" s="207" t="s">
        <v>46</v>
      </c>
      <c r="B62" s="208"/>
      <c r="C62" s="208"/>
      <c r="D62" s="60" t="e">
        <f>IF(TtlGSD=0,0,ROUND(3600*D60/TtlGSD,0))</f>
        <v>#NAME?</v>
      </c>
      <c r="E62" s="61"/>
      <c r="F62" s="62"/>
    </row>
    <row r="63" spans="1:6" ht="16.5" customHeight="1">
      <c r="A63" s="209"/>
      <c r="B63" s="208"/>
      <c r="C63" s="208"/>
      <c r="D63" s="63"/>
      <c r="E63" s="64"/>
      <c r="F63" s="65"/>
    </row>
    <row r="64" spans="1:6" ht="16.5" customHeight="1">
      <c r="A64" s="207" t="s">
        <v>47</v>
      </c>
      <c r="B64" s="208"/>
      <c r="C64" s="208"/>
      <c r="D64" s="60" t="e">
        <f>ROUND(D62*D58,0)</f>
        <v>#NAME?</v>
      </c>
      <c r="E64" s="61"/>
      <c r="F64" s="62"/>
    </row>
    <row r="65" spans="1:6" ht="16.5" customHeight="1">
      <c r="A65" s="209"/>
      <c r="B65" s="208"/>
      <c r="C65" s="208"/>
      <c r="D65" s="63"/>
      <c r="E65" s="64"/>
      <c r="F65" s="65"/>
    </row>
    <row r="66" spans="1:6" ht="16.5" customHeight="1">
      <c r="A66" s="207" t="s">
        <v>48</v>
      </c>
      <c r="B66" s="208"/>
      <c r="C66" s="208"/>
      <c r="D66" s="60" t="e">
        <f>IF(D64=0,0,ROUND(D58*3600/D64,0))</f>
        <v>#NAME?</v>
      </c>
      <c r="E66" s="61"/>
      <c r="F66" s="62"/>
    </row>
    <row r="67" spans="1:6" ht="16.5" customHeight="1">
      <c r="A67" s="209"/>
      <c r="B67" s="208"/>
      <c r="C67" s="208"/>
      <c r="D67" s="63"/>
      <c r="E67" s="64"/>
      <c r="F67" s="65"/>
    </row>
    <row r="68" spans="1:6" ht="16.5" customHeight="1">
      <c r="A68" s="207" t="s">
        <v>35</v>
      </c>
      <c r="B68" s="208"/>
      <c r="C68" s="208"/>
      <c r="D68" s="60" t="e">
        <f>ROUND(3600/MaxTMS,2)</f>
        <v>#NAME?</v>
      </c>
      <c r="E68" s="61"/>
      <c r="F68" s="62"/>
    </row>
    <row r="69" spans="1:6" ht="16.5" customHeight="1">
      <c r="A69" s="209"/>
      <c r="B69" s="208"/>
      <c r="C69" s="208"/>
      <c r="D69" s="63"/>
      <c r="E69" s="64"/>
      <c r="F69" s="65"/>
    </row>
    <row r="70" spans="1:6" ht="16.5" customHeight="1">
      <c r="A70" s="207" t="s">
        <v>36</v>
      </c>
      <c r="B70" s="208"/>
      <c r="C70" s="208"/>
      <c r="D70" s="60" t="e">
        <f>TtlTMS</f>
        <v>#NAME?</v>
      </c>
      <c r="E70" s="61"/>
      <c r="F70" s="62"/>
    </row>
    <row r="71" spans="1:6" ht="16.5" customHeight="1">
      <c r="A71" s="209"/>
      <c r="B71" s="208"/>
      <c r="C71" s="208"/>
      <c r="D71" s="63"/>
      <c r="E71" s="64"/>
      <c r="F71" s="65"/>
    </row>
    <row r="72" spans="1:6" ht="16.5" customHeight="1">
      <c r="A72" s="207" t="s">
        <v>37</v>
      </c>
      <c r="B72" s="208"/>
      <c r="C72" s="208"/>
      <c r="D72" s="60" t="e">
        <f>TtlGSD</f>
        <v>#NAME?</v>
      </c>
      <c r="E72" s="61"/>
      <c r="F72" s="62"/>
    </row>
    <row r="73" spans="1:6" ht="16.5" customHeight="1">
      <c r="A73" s="209"/>
      <c r="B73" s="208"/>
      <c r="C73" s="208"/>
      <c r="D73" s="63"/>
      <c r="E73" s="64"/>
      <c r="F73" s="65"/>
    </row>
    <row r="74" spans="1:6" ht="16.5" customHeight="1">
      <c r="A74" s="207" t="s">
        <v>38</v>
      </c>
      <c r="B74" s="208"/>
      <c r="C74" s="208"/>
      <c r="D74" s="66" t="e">
        <f>IF(D72=0,0,(D72-D70)/D72)</f>
        <v>#NAME?</v>
      </c>
      <c r="E74" s="67"/>
      <c r="F74" s="68"/>
    </row>
    <row r="75" spans="1:6" ht="16.5" customHeight="1">
      <c r="A75" s="209"/>
      <c r="B75" s="208"/>
      <c r="C75" s="208"/>
      <c r="D75" s="69"/>
      <c r="E75" s="70"/>
      <c r="F75" s="71"/>
    </row>
    <row r="76" spans="1:6" ht="16.5" customHeight="1">
      <c r="A76" s="207" t="s">
        <v>39</v>
      </c>
      <c r="B76" s="208"/>
      <c r="C76" s="208"/>
      <c r="D76" s="66" t="e">
        <f>IF(OR(D60=0,MaxTMS=0),0,D70/MaxTMS/D60)</f>
        <v>#NAME?</v>
      </c>
      <c r="E76" s="67"/>
      <c r="F76" s="68"/>
    </row>
    <row r="77" spans="1:6" ht="16.5" customHeight="1">
      <c r="A77" s="209"/>
      <c r="B77" s="208"/>
      <c r="C77" s="208"/>
      <c r="D77" s="69"/>
      <c r="E77" s="70"/>
      <c r="F77" s="71"/>
    </row>
    <row r="78" spans="1:6" ht="16.5" customHeight="1">
      <c r="A78" s="207" t="s">
        <v>40</v>
      </c>
      <c r="B78" s="208"/>
      <c r="C78" s="208"/>
      <c r="D78" s="66" t="e">
        <f>IF(OR(D66=0,D60=0),0,D70/D66/D60)</f>
        <v>#NAME?</v>
      </c>
      <c r="E78" s="67"/>
      <c r="F78" s="68"/>
    </row>
    <row r="79" spans="1:6" ht="16.5" customHeight="1">
      <c r="A79" s="209"/>
      <c r="B79" s="208"/>
      <c r="C79" s="208"/>
      <c r="D79" s="69"/>
      <c r="E79" s="70"/>
      <c r="F79" s="71"/>
    </row>
    <row r="80" spans="1:6" ht="16.5" customHeight="1">
      <c r="A80" s="207" t="s">
        <v>41</v>
      </c>
      <c r="B80" s="208"/>
      <c r="C80" s="208"/>
      <c r="D80" s="66" t="e">
        <f>IF(OR(MaxTMS=0,D60=0),0,D72/MaxTMS/D60)</f>
        <v>#NAME?</v>
      </c>
      <c r="E80" s="67"/>
      <c r="F80" s="68"/>
    </row>
    <row r="81" spans="1:6" ht="16.5" customHeight="1">
      <c r="A81" s="209"/>
      <c r="B81" s="208"/>
      <c r="C81" s="208"/>
      <c r="D81" s="69"/>
      <c r="E81" s="70"/>
      <c r="F81" s="71"/>
    </row>
    <row r="82" spans="1:6" ht="16.5" customHeight="1">
      <c r="A82" s="207" t="s">
        <v>42</v>
      </c>
      <c r="B82" s="208"/>
      <c r="C82" s="208"/>
      <c r="D82" s="72" t="e">
        <f>IF(OR(MaxTMS=0,D60=0),0,ROUND(3600/MaxTMS,2)*F9/D60)</f>
        <v>#NAME?</v>
      </c>
      <c r="E82" s="73"/>
      <c r="F82" s="74"/>
    </row>
    <row r="83" spans="1:6" ht="17.25" customHeight="1" thickBot="1">
      <c r="A83" s="224"/>
      <c r="B83" s="225"/>
      <c r="C83" s="225"/>
      <c r="D83" s="75"/>
      <c r="E83" s="76"/>
      <c r="F83" s="77"/>
    </row>
  </sheetData>
  <mergeCells count="124">
    <mergeCell ref="O17:O18"/>
    <mergeCell ref="D48:F50"/>
    <mergeCell ref="D51:F51"/>
    <mergeCell ref="D52:F52"/>
    <mergeCell ref="O12:O15"/>
    <mergeCell ref="A80:C81"/>
    <mergeCell ref="A82:C83"/>
    <mergeCell ref="A74:C75"/>
    <mergeCell ref="A76:C77"/>
    <mergeCell ref="A78:C79"/>
    <mergeCell ref="A68:C69"/>
    <mergeCell ref="A70:C71"/>
    <mergeCell ref="A72:C73"/>
    <mergeCell ref="A62:C63"/>
    <mergeCell ref="A64:C65"/>
    <mergeCell ref="J17:J18"/>
    <mergeCell ref="K17:K18"/>
    <mergeCell ref="M17:M18"/>
    <mergeCell ref="N17:N18"/>
    <mergeCell ref="E19:I19"/>
    <mergeCell ref="E20:I20"/>
    <mergeCell ref="E21:I21"/>
    <mergeCell ref="A66:C67"/>
    <mergeCell ref="A56:C57"/>
    <mergeCell ref="A58:C59"/>
    <mergeCell ref="A60:C61"/>
    <mergeCell ref="D56:F57"/>
    <mergeCell ref="D58:F59"/>
    <mergeCell ref="D60:F61"/>
    <mergeCell ref="D62:F63"/>
    <mergeCell ref="D64:F65"/>
    <mergeCell ref="D66:F67"/>
    <mergeCell ref="B51:C51"/>
    <mergeCell ref="B52:C52"/>
    <mergeCell ref="B53:C53"/>
    <mergeCell ref="F43:J43"/>
    <mergeCell ref="A38:B39"/>
    <mergeCell ref="A40:B41"/>
    <mergeCell ref="A48:A50"/>
    <mergeCell ref="B48:C50"/>
    <mergeCell ref="A45:F47"/>
    <mergeCell ref="Q37:R38"/>
    <mergeCell ref="Q34:R35"/>
    <mergeCell ref="E28:I28"/>
    <mergeCell ref="E29:I29"/>
    <mergeCell ref="J33:K33"/>
    <mergeCell ref="Q28:R29"/>
    <mergeCell ref="Q31:R32"/>
    <mergeCell ref="E34:I34"/>
    <mergeCell ref="J34:K34"/>
    <mergeCell ref="J29:K29"/>
    <mergeCell ref="J30:K30"/>
    <mergeCell ref="J28:K28"/>
    <mergeCell ref="J32:K32"/>
    <mergeCell ref="J31:K31"/>
    <mergeCell ref="E31:I31"/>
    <mergeCell ref="E30:I30"/>
    <mergeCell ref="E37:J37"/>
    <mergeCell ref="A34:C34"/>
    <mergeCell ref="E17:E18"/>
    <mergeCell ref="A24:C24"/>
    <mergeCell ref="A25:C25"/>
    <mergeCell ref="A26:C26"/>
    <mergeCell ref="A28:C28"/>
    <mergeCell ref="A27:C27"/>
    <mergeCell ref="A29:C29"/>
    <mergeCell ref="A30:C30"/>
    <mergeCell ref="E24:I24"/>
    <mergeCell ref="E32:I32"/>
    <mergeCell ref="E33:I33"/>
    <mergeCell ref="A31:C31"/>
    <mergeCell ref="E26:I26"/>
    <mergeCell ref="E27:I27"/>
    <mergeCell ref="A32:C32"/>
    <mergeCell ref="A33:C33"/>
    <mergeCell ref="E25:I25"/>
    <mergeCell ref="A19:A21"/>
    <mergeCell ref="D17:D18"/>
    <mergeCell ref="J27:K27"/>
    <mergeCell ref="T12:T15"/>
    <mergeCell ref="T17:T18"/>
    <mergeCell ref="U19:U21"/>
    <mergeCell ref="U12:U15"/>
    <mergeCell ref="P12:R15"/>
    <mergeCell ref="S12:S15"/>
    <mergeCell ref="M12:N15"/>
    <mergeCell ref="E12:I15"/>
    <mergeCell ref="U17:U18"/>
    <mergeCell ref="J24:K24"/>
    <mergeCell ref="J25:K25"/>
    <mergeCell ref="J26:K26"/>
    <mergeCell ref="S17:S18"/>
    <mergeCell ref="P17:P18"/>
    <mergeCell ref="Q17:R18"/>
    <mergeCell ref="D80:F81"/>
    <mergeCell ref="D82:F83"/>
    <mergeCell ref="C38:D39"/>
    <mergeCell ref="C40:D41"/>
    <mergeCell ref="F7:G8"/>
    <mergeCell ref="F9:G10"/>
    <mergeCell ref="F5:G6"/>
    <mergeCell ref="F1:G2"/>
    <mergeCell ref="F3:G4"/>
    <mergeCell ref="A7:E8"/>
    <mergeCell ref="A9:E10"/>
    <mergeCell ref="A5:E6"/>
    <mergeCell ref="A1:E2"/>
    <mergeCell ref="A3:E4"/>
    <mergeCell ref="A12:A15"/>
    <mergeCell ref="C12:C15"/>
    <mergeCell ref="J12:K15"/>
    <mergeCell ref="B12:B15"/>
    <mergeCell ref="A17:A18"/>
    <mergeCell ref="B17:B18"/>
    <mergeCell ref="C17:C18"/>
    <mergeCell ref="F17:I18"/>
    <mergeCell ref="D12:D15"/>
    <mergeCell ref="D68:F69"/>
    <mergeCell ref="D70:F71"/>
    <mergeCell ref="D72:F73"/>
    <mergeCell ref="D74:F75"/>
    <mergeCell ref="D76:F77"/>
    <mergeCell ref="D78:F79"/>
    <mergeCell ref="D53:F5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D1" sqref="D1"/>
    </sheetView>
  </sheetViews>
  <sheetFormatPr defaultRowHeight="16.5"/>
  <cols>
    <col min="2" max="2" width="14.125" bestFit="1" customWidth="1"/>
  </cols>
  <sheetData>
    <row r="1" spans="1:4">
      <c r="A1" s="36" t="s">
        <v>32</v>
      </c>
      <c r="B1" t="s">
        <v>30</v>
      </c>
      <c r="C1" s="35" t="s">
        <v>31</v>
      </c>
      <c r="D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6" t="s">
        <v>32</v>
      </c>
      <c r="B1" t="s">
        <v>33</v>
      </c>
      <c r="C1" t="s">
        <v>34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F7" sqref="F7:G8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18.75" style="15" customWidth="1"/>
    <col min="11" max="11" width="0.125" style="15" customWidth="1"/>
    <col min="12" max="12" width="7.625" style="15" customWidth="1"/>
    <col min="13" max="13" width="17" style="15" customWidth="1"/>
    <col min="14" max="14" width="0.25" style="15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25" style="15" customWidth="1"/>
    <col min="22" max="24" width="9" style="15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3" t="s">
        <v>12</v>
      </c>
      <c r="B1" s="104"/>
      <c r="C1" s="104"/>
      <c r="D1" s="104"/>
      <c r="E1" s="105"/>
      <c r="F1" s="89"/>
      <c r="G1" s="90"/>
    </row>
    <row r="2" spans="1:21" ht="13.5" customHeight="1">
      <c r="A2" s="96"/>
      <c r="B2" s="97"/>
      <c r="C2" s="97"/>
      <c r="D2" s="97"/>
      <c r="E2" s="98"/>
      <c r="F2" s="82"/>
      <c r="G2" s="83"/>
    </row>
    <row r="3" spans="1:21" ht="13.5" customHeight="1">
      <c r="A3" s="93" t="s">
        <v>1</v>
      </c>
      <c r="B3" s="94"/>
      <c r="C3" s="94"/>
      <c r="D3" s="94"/>
      <c r="E3" s="95"/>
      <c r="F3" s="91"/>
      <c r="G3" s="92"/>
    </row>
    <row r="4" spans="1:21" ht="13.5" customHeight="1">
      <c r="A4" s="96"/>
      <c r="B4" s="97"/>
      <c r="C4" s="97"/>
      <c r="D4" s="97"/>
      <c r="E4" s="98"/>
      <c r="F4" s="91"/>
      <c r="G4" s="92"/>
    </row>
    <row r="5" spans="1:21" ht="13.5" customHeight="1">
      <c r="A5" s="93" t="s">
        <v>13</v>
      </c>
      <c r="B5" s="94"/>
      <c r="C5" s="94"/>
      <c r="D5" s="94"/>
      <c r="E5" s="95"/>
      <c r="F5" s="82"/>
      <c r="G5" s="83"/>
    </row>
    <row r="6" spans="1:21" ht="13.5" customHeight="1">
      <c r="A6" s="96"/>
      <c r="B6" s="97"/>
      <c r="C6" s="97"/>
      <c r="D6" s="97"/>
      <c r="E6" s="98"/>
      <c r="F6" s="82"/>
      <c r="G6" s="83"/>
    </row>
    <row r="7" spans="1:21" ht="13.5" customHeight="1">
      <c r="A7" s="93" t="s">
        <v>2</v>
      </c>
      <c r="B7" s="94"/>
      <c r="C7" s="94"/>
      <c r="D7" s="94"/>
      <c r="E7" s="95"/>
      <c r="F7" s="82"/>
      <c r="G7" s="83"/>
    </row>
    <row r="8" spans="1:21" ht="26.25" customHeight="1">
      <c r="A8" s="96"/>
      <c r="B8" s="97"/>
      <c r="C8" s="97"/>
      <c r="D8" s="97"/>
      <c r="E8" s="98"/>
      <c r="F8" s="82"/>
      <c r="G8" s="83"/>
    </row>
    <row r="9" spans="1:21" ht="13.5" customHeight="1">
      <c r="A9" s="99" t="s">
        <v>14</v>
      </c>
      <c r="B9" s="94"/>
      <c r="C9" s="94"/>
      <c r="D9" s="94"/>
      <c r="E9" s="95"/>
      <c r="F9" s="84"/>
      <c r="G9" s="85"/>
    </row>
    <row r="10" spans="1:21" ht="13.5" customHeight="1" thickBot="1">
      <c r="A10" s="100"/>
      <c r="B10" s="101"/>
      <c r="C10" s="101"/>
      <c r="D10" s="101"/>
      <c r="E10" s="102"/>
      <c r="F10" s="86"/>
      <c r="G10" s="87"/>
    </row>
    <row r="11" spans="1:21" ht="17.25" thickBot="1"/>
    <row r="12" spans="1:21" ht="12.75" customHeight="1">
      <c r="A12" s="106" t="s">
        <v>15</v>
      </c>
      <c r="B12" s="118" t="s">
        <v>16</v>
      </c>
      <c r="C12" s="109" t="s">
        <v>3</v>
      </c>
      <c r="D12" s="109" t="s">
        <v>54</v>
      </c>
      <c r="E12" s="144" t="s">
        <v>18</v>
      </c>
      <c r="F12" s="144"/>
      <c r="G12" s="144"/>
      <c r="H12" s="144"/>
      <c r="I12" s="145"/>
      <c r="J12" s="112" t="s">
        <v>0</v>
      </c>
      <c r="K12" s="113"/>
      <c r="L12" s="17"/>
      <c r="M12" s="150" t="s">
        <v>0</v>
      </c>
      <c r="N12" s="151"/>
      <c r="O12" s="109" t="s">
        <v>54</v>
      </c>
      <c r="P12" s="144" t="s">
        <v>18</v>
      </c>
      <c r="Q12" s="144"/>
      <c r="R12" s="145"/>
      <c r="S12" s="109" t="s">
        <v>3</v>
      </c>
      <c r="T12" s="118" t="s">
        <v>16</v>
      </c>
      <c r="U12" s="141" t="s">
        <v>15</v>
      </c>
    </row>
    <row r="13" spans="1:21" ht="12.75" customHeight="1">
      <c r="A13" s="107"/>
      <c r="B13" s="119"/>
      <c r="C13" s="110"/>
      <c r="D13" s="110"/>
      <c r="E13" s="146"/>
      <c r="F13" s="146"/>
      <c r="G13" s="146"/>
      <c r="H13" s="146"/>
      <c r="I13" s="147"/>
      <c r="J13" s="114"/>
      <c r="K13" s="115"/>
      <c r="L13" s="17"/>
      <c r="M13" s="152"/>
      <c r="N13" s="153"/>
      <c r="O13" s="110"/>
      <c r="P13" s="146"/>
      <c r="Q13" s="146"/>
      <c r="R13" s="147"/>
      <c r="S13" s="110"/>
      <c r="T13" s="119"/>
      <c r="U13" s="142"/>
    </row>
    <row r="14" spans="1:21" ht="12.75" customHeight="1">
      <c r="A14" s="107"/>
      <c r="B14" s="119"/>
      <c r="C14" s="110"/>
      <c r="D14" s="110"/>
      <c r="E14" s="146"/>
      <c r="F14" s="146"/>
      <c r="G14" s="146"/>
      <c r="H14" s="146"/>
      <c r="I14" s="147"/>
      <c r="J14" s="114"/>
      <c r="K14" s="115"/>
      <c r="L14" s="17"/>
      <c r="M14" s="152"/>
      <c r="N14" s="153"/>
      <c r="O14" s="110"/>
      <c r="P14" s="146"/>
      <c r="Q14" s="146"/>
      <c r="R14" s="147"/>
      <c r="S14" s="110"/>
      <c r="T14" s="119"/>
      <c r="U14" s="142"/>
    </row>
    <row r="15" spans="1:21" ht="12.75" customHeight="1" thickBot="1">
      <c r="A15" s="108"/>
      <c r="B15" s="120"/>
      <c r="C15" s="111"/>
      <c r="D15" s="111"/>
      <c r="E15" s="148"/>
      <c r="F15" s="148"/>
      <c r="G15" s="148"/>
      <c r="H15" s="148"/>
      <c r="I15" s="149"/>
      <c r="J15" s="116"/>
      <c r="K15" s="117"/>
      <c r="L15" s="17"/>
      <c r="M15" s="154"/>
      <c r="N15" s="155"/>
      <c r="O15" s="111"/>
      <c r="P15" s="148"/>
      <c r="Q15" s="148"/>
      <c r="R15" s="149"/>
      <c r="S15" s="111"/>
      <c r="T15" s="120"/>
      <c r="U15" s="143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21" t="str">
        <f>IF(ISERROR((C17-B17)/C17),"",(C17-B17)/C17)</f>
        <v/>
      </c>
      <c r="B17" s="123">
        <f>SUM(B19:B21)</f>
        <v>0</v>
      </c>
      <c r="C17" s="125">
        <f>SUM(C19:C21)</f>
        <v>0</v>
      </c>
      <c r="D17" s="133"/>
      <c r="E17" s="163" t="s">
        <v>17</v>
      </c>
      <c r="F17" s="127"/>
      <c r="G17" s="128"/>
      <c r="H17" s="128"/>
      <c r="I17" s="129"/>
      <c r="J17" s="88"/>
      <c r="K17" s="230">
        <f>SUM(K19:K21)</f>
        <v>0</v>
      </c>
      <c r="L17" s="17"/>
      <c r="M17" s="156"/>
      <c r="N17" s="157">
        <f>SUM(N19:N21)</f>
        <v>0</v>
      </c>
      <c r="O17" s="133"/>
      <c r="P17" s="163" t="s">
        <v>17</v>
      </c>
      <c r="Q17" s="127"/>
      <c r="R17" s="129"/>
      <c r="S17" s="161">
        <f>SUM(S19:S21)</f>
        <v>0</v>
      </c>
      <c r="T17" s="136">
        <f>SUM(T19:T21)</f>
        <v>0</v>
      </c>
      <c r="U17" s="158" t="str">
        <f>IF(ISERROR((S17-T17)/S17),"",(S17-T17)/S17)</f>
        <v/>
      </c>
    </row>
    <row r="18" spans="1:21" s="18" customFormat="1" ht="13.5" customHeight="1">
      <c r="A18" s="122"/>
      <c r="B18" s="124"/>
      <c r="C18" s="126"/>
      <c r="D18" s="134"/>
      <c r="E18" s="164"/>
      <c r="F18" s="130"/>
      <c r="G18" s="131"/>
      <c r="H18" s="131"/>
      <c r="I18" s="132"/>
      <c r="J18" s="226"/>
      <c r="K18" s="227"/>
      <c r="L18" s="17"/>
      <c r="M18" s="228"/>
      <c r="N18" s="229"/>
      <c r="O18" s="134"/>
      <c r="P18" s="164"/>
      <c r="Q18" s="130"/>
      <c r="R18" s="132"/>
      <c r="S18" s="162"/>
      <c r="T18" s="137"/>
      <c r="U18" s="159"/>
    </row>
    <row r="19" spans="1:21" s="18" customFormat="1" ht="26.25" customHeight="1">
      <c r="A19" s="171" t="str">
        <f>IF(ISERROR(IF(B17="",3600/C17,3600/B17)),"",IF(B17="",3600/C17,3600/B17))</f>
        <v/>
      </c>
      <c r="B19" s="24"/>
      <c r="C19" s="25"/>
      <c r="D19" s="41"/>
      <c r="E19" s="58"/>
      <c r="F19" s="59"/>
      <c r="G19" s="59"/>
      <c r="H19" s="59"/>
      <c r="I19" s="231"/>
      <c r="J19" s="52"/>
      <c r="K19" s="53"/>
      <c r="L19" s="17"/>
      <c r="M19" s="45"/>
      <c r="N19" s="46"/>
      <c r="O19" s="41"/>
      <c r="P19" s="47"/>
      <c r="Q19" s="56"/>
      <c r="R19" s="56"/>
      <c r="S19" s="25"/>
      <c r="T19" s="24"/>
      <c r="U19" s="138" t="str">
        <f>IF(ISERROR(IF(T17="",3600/S17,3600/T17)),"",IF(T17="",3600/S17,3600/T17))</f>
        <v/>
      </c>
    </row>
    <row r="20" spans="1:21" s="18" customFormat="1" ht="22.5">
      <c r="A20" s="172"/>
      <c r="B20" s="24"/>
      <c r="C20" s="25"/>
      <c r="D20" s="41"/>
      <c r="E20" s="58"/>
      <c r="F20" s="59"/>
      <c r="G20" s="59"/>
      <c r="H20" s="59"/>
      <c r="I20" s="231"/>
      <c r="J20" s="52"/>
      <c r="K20" s="53"/>
      <c r="L20" s="17"/>
      <c r="M20" s="45"/>
      <c r="N20" s="46"/>
      <c r="O20" s="41"/>
      <c r="P20" s="47"/>
      <c r="Q20" s="56"/>
      <c r="R20" s="56"/>
      <c r="S20" s="25"/>
      <c r="T20" s="24"/>
      <c r="U20" s="139"/>
    </row>
    <row r="21" spans="1:21" s="18" customFormat="1" ht="26.25" customHeight="1" thickBot="1">
      <c r="A21" s="173"/>
      <c r="B21" s="26"/>
      <c r="C21" s="27"/>
      <c r="D21" s="42"/>
      <c r="E21" s="58"/>
      <c r="F21" s="59"/>
      <c r="G21" s="59"/>
      <c r="H21" s="59"/>
      <c r="I21" s="231"/>
      <c r="J21" s="50"/>
      <c r="K21" s="51"/>
      <c r="L21" s="17"/>
      <c r="M21" s="54"/>
      <c r="N21" s="55"/>
      <c r="O21" s="42"/>
      <c r="P21" s="47"/>
      <c r="Q21" s="56"/>
      <c r="R21" s="56"/>
      <c r="S21" s="25" t="s">
        <v>4</v>
      </c>
      <c r="T21" s="26"/>
      <c r="U21" s="140"/>
    </row>
    <row r="24" spans="1:21" ht="18" customHeight="1">
      <c r="A24" s="168" t="s">
        <v>18</v>
      </c>
      <c r="B24" s="168"/>
      <c r="C24" s="168"/>
      <c r="D24" s="49"/>
      <c r="E24" s="169" t="s">
        <v>19</v>
      </c>
      <c r="F24" s="169"/>
      <c r="G24" s="169"/>
      <c r="H24" s="169"/>
      <c r="I24" s="169"/>
      <c r="J24" s="160" t="s">
        <v>23</v>
      </c>
      <c r="K24" s="160"/>
      <c r="L24" s="20"/>
    </row>
    <row r="25" spans="1:21" ht="18" customHeight="1">
      <c r="A25" s="165"/>
      <c r="B25" s="166"/>
      <c r="C25" s="167"/>
      <c r="D25" s="48"/>
      <c r="E25" s="170"/>
      <c r="F25" s="170"/>
      <c r="G25" s="170"/>
      <c r="H25" s="170"/>
      <c r="I25" s="170"/>
      <c r="J25" s="135"/>
      <c r="K25" s="135"/>
      <c r="L25" s="19"/>
    </row>
    <row r="26" spans="1:21" ht="18" customHeight="1">
      <c r="A26" s="165"/>
      <c r="B26" s="166"/>
      <c r="C26" s="167"/>
      <c r="D26" s="48"/>
      <c r="E26" s="170"/>
      <c r="F26" s="170"/>
      <c r="G26" s="170"/>
      <c r="H26" s="170"/>
      <c r="I26" s="170"/>
      <c r="J26" s="135"/>
      <c r="K26" s="135"/>
      <c r="L26" s="21"/>
    </row>
    <row r="27" spans="1:21" ht="18" customHeight="1">
      <c r="A27" s="165"/>
      <c r="B27" s="166"/>
      <c r="C27" s="167"/>
      <c r="D27" s="48"/>
      <c r="E27" s="170"/>
      <c r="F27" s="170"/>
      <c r="G27" s="170"/>
      <c r="H27" s="170"/>
      <c r="I27" s="170"/>
      <c r="J27" s="135"/>
      <c r="K27" s="135"/>
      <c r="L27" s="21"/>
    </row>
    <row r="28" spans="1:21" ht="18" customHeight="1">
      <c r="A28" s="165"/>
      <c r="B28" s="166"/>
      <c r="C28" s="167"/>
      <c r="D28" s="48"/>
      <c r="E28" s="170"/>
      <c r="F28" s="170"/>
      <c r="G28" s="170"/>
      <c r="H28" s="170"/>
      <c r="I28" s="170"/>
      <c r="J28" s="135"/>
      <c r="K28" s="135"/>
      <c r="L28" s="21"/>
      <c r="Q28" s="178"/>
      <c r="R28" s="178"/>
    </row>
    <row r="29" spans="1:21" ht="18" customHeight="1">
      <c r="A29" s="165"/>
      <c r="B29" s="166"/>
      <c r="C29" s="167"/>
      <c r="D29" s="48"/>
      <c r="E29" s="170"/>
      <c r="F29" s="170"/>
      <c r="G29" s="170"/>
      <c r="H29" s="170"/>
      <c r="I29" s="170"/>
      <c r="J29" s="135"/>
      <c r="K29" s="135"/>
      <c r="L29" s="21"/>
      <c r="P29" s="22" t="s">
        <v>24</v>
      </c>
      <c r="Q29" s="179"/>
      <c r="R29" s="179"/>
    </row>
    <row r="30" spans="1:21" ht="18" customHeight="1">
      <c r="A30" s="165"/>
      <c r="B30" s="166"/>
      <c r="C30" s="167"/>
      <c r="D30" s="48"/>
      <c r="E30" s="170"/>
      <c r="F30" s="170"/>
      <c r="G30" s="170"/>
      <c r="H30" s="170"/>
      <c r="I30" s="170"/>
      <c r="J30" s="135"/>
      <c r="K30" s="135"/>
      <c r="L30" s="21"/>
    </row>
    <row r="31" spans="1:21" ht="18" customHeight="1">
      <c r="A31" s="165"/>
      <c r="B31" s="166"/>
      <c r="C31" s="167"/>
      <c r="D31" s="48"/>
      <c r="E31" s="170"/>
      <c r="F31" s="170"/>
      <c r="G31" s="170"/>
      <c r="H31" s="170"/>
      <c r="I31" s="170"/>
      <c r="J31" s="135"/>
      <c r="K31" s="135"/>
      <c r="L31" s="21"/>
      <c r="Q31" s="180"/>
      <c r="R31" s="180"/>
    </row>
    <row r="32" spans="1:21" ht="18" customHeight="1">
      <c r="A32" s="165"/>
      <c r="B32" s="166"/>
      <c r="C32" s="167"/>
      <c r="D32" s="48"/>
      <c r="E32" s="170"/>
      <c r="F32" s="170"/>
      <c r="G32" s="170"/>
      <c r="H32" s="170"/>
      <c r="I32" s="170"/>
      <c r="J32" s="135"/>
      <c r="K32" s="135"/>
      <c r="L32" s="21"/>
      <c r="P32" s="22" t="s">
        <v>20</v>
      </c>
      <c r="Q32" s="181"/>
      <c r="R32" s="181"/>
    </row>
    <row r="33" spans="1:18" ht="18" customHeight="1">
      <c r="A33" s="165"/>
      <c r="B33" s="166"/>
      <c r="C33" s="167"/>
      <c r="D33" s="48"/>
      <c r="E33" s="170"/>
      <c r="F33" s="170"/>
      <c r="G33" s="170"/>
      <c r="H33" s="170"/>
      <c r="I33" s="170"/>
      <c r="J33" s="135"/>
      <c r="K33" s="135"/>
      <c r="L33" s="21"/>
      <c r="Q33" s="23"/>
      <c r="R33" s="23"/>
    </row>
    <row r="34" spans="1:18" ht="20.25">
      <c r="A34" s="165"/>
      <c r="B34" s="166"/>
      <c r="C34" s="167"/>
      <c r="D34" s="48"/>
      <c r="E34" s="170"/>
      <c r="F34" s="170"/>
      <c r="G34" s="170"/>
      <c r="H34" s="170"/>
      <c r="I34" s="170"/>
      <c r="J34" s="135"/>
      <c r="K34" s="135"/>
      <c r="Q34" s="176"/>
      <c r="R34" s="176"/>
    </row>
    <row r="35" spans="1:18" ht="18" customHeight="1">
      <c r="P35" s="22" t="s">
        <v>21</v>
      </c>
      <c r="Q35" s="177"/>
      <c r="R35" s="177"/>
    </row>
    <row r="36" spans="1:18" ht="18" customHeight="1">
      <c r="Q36" s="23"/>
      <c r="R36" s="23"/>
    </row>
    <row r="37" spans="1:18" ht="18" customHeight="1">
      <c r="E37" s="182" t="s">
        <v>26</v>
      </c>
      <c r="F37" s="182"/>
      <c r="G37" s="182"/>
      <c r="H37" s="182"/>
      <c r="I37" s="182"/>
      <c r="J37" s="182"/>
      <c r="Q37" s="174"/>
      <c r="R37" s="174"/>
    </row>
    <row r="38" spans="1:18" ht="13.5" customHeight="1">
      <c r="A38" s="190" t="s">
        <v>56</v>
      </c>
      <c r="B38" s="190"/>
      <c r="C38" s="78" t="e">
        <f>COUNTIF(MachineAttachmentTemplateL,"*"&amp;A38&amp;"*")+COUNTIF(MachineAttachmentTemplateR,"*"&amp;A38&amp;"*")</f>
        <v>#NAME?</v>
      </c>
      <c r="D38" s="79"/>
      <c r="E38" s="44"/>
      <c r="F38" s="29" t="str">
        <f>IF(E38="","",COUNTIF(MachineINV,E38&amp;"*"))</f>
        <v/>
      </c>
      <c r="G38" s="44"/>
      <c r="H38" s="29" t="str">
        <f>IF(G38="","",COUNTIF(MachineINV,G38&amp;"*"))</f>
        <v/>
      </c>
      <c r="I38" s="31"/>
      <c r="J38" s="29" t="str">
        <f>IF(I38="","",COUNTIF(MachineINV,I38&amp;"*"))</f>
        <v/>
      </c>
      <c r="P38" s="22" t="s">
        <v>22</v>
      </c>
      <c r="Q38" s="175"/>
      <c r="R38" s="175"/>
    </row>
    <row r="39" spans="1:18" ht="13.5" customHeight="1">
      <c r="A39" s="190"/>
      <c r="B39" s="190"/>
      <c r="C39" s="80"/>
      <c r="D39" s="81"/>
      <c r="E39" s="44"/>
      <c r="F39" s="29" t="str">
        <f t="shared" ref="F39:F42" si="0">IF(E39="","",COUNTIF(MachineINV,E39&amp;"*"))</f>
        <v/>
      </c>
      <c r="G39" s="44"/>
      <c r="H39" s="29" t="str">
        <f t="shared" ref="H39:H42" si="1">IF(G39="","",COUNTIF(MachineINV,G39&amp;"*"))</f>
        <v/>
      </c>
      <c r="I39" s="31"/>
      <c r="J39" s="29" t="str">
        <f t="shared" ref="J39:J42" si="2">IF(I39="","",COUNTIF(MachineINV,I39&amp;"*"))</f>
        <v/>
      </c>
    </row>
    <row r="40" spans="1:18" ht="13.5" customHeight="1">
      <c r="A40" s="190" t="s">
        <v>27</v>
      </c>
      <c r="B40" s="190"/>
      <c r="C40" s="78" t="e">
        <f>COUNTIF(MachineAttachmentTemplateL,"*"&amp;A40&amp;"*")+COUNTIF(MachineAttachmentTemplateR,"*"&amp;A40&amp;"*")</f>
        <v>#NAME?</v>
      </c>
      <c r="D40" s="79"/>
      <c r="E40" s="44"/>
      <c r="F40" s="29" t="str">
        <f t="shared" si="0"/>
        <v/>
      </c>
      <c r="G40" s="44"/>
      <c r="H40" s="29" t="str">
        <f t="shared" si="1"/>
        <v/>
      </c>
      <c r="I40" s="31"/>
      <c r="J40" s="29" t="str">
        <f t="shared" si="2"/>
        <v/>
      </c>
    </row>
    <row r="41" spans="1:18" ht="13.5" customHeight="1">
      <c r="A41" s="190"/>
      <c r="B41" s="190"/>
      <c r="C41" s="80"/>
      <c r="D41" s="81"/>
      <c r="E41" s="44"/>
      <c r="F41" s="29" t="str">
        <f t="shared" si="0"/>
        <v/>
      </c>
      <c r="G41" s="31"/>
      <c r="H41" s="29" t="str">
        <f t="shared" si="1"/>
        <v/>
      </c>
      <c r="I41" s="31"/>
      <c r="J41" s="29" t="str">
        <f t="shared" si="2"/>
        <v/>
      </c>
    </row>
    <row r="42" spans="1:18" ht="13.5" customHeight="1">
      <c r="E42" s="44"/>
      <c r="F42" s="29" t="str">
        <f t="shared" si="0"/>
        <v/>
      </c>
      <c r="G42" s="31"/>
      <c r="H42" s="29" t="str">
        <f t="shared" si="1"/>
        <v/>
      </c>
      <c r="I42" s="31"/>
      <c r="J42" s="29" t="str">
        <f t="shared" si="2"/>
        <v/>
      </c>
    </row>
    <row r="43" spans="1:18" ht="13.5" customHeight="1">
      <c r="E43" s="43" t="s">
        <v>25</v>
      </c>
      <c r="F43" s="189">
        <f>SUM(F38:F42)+SUM(H38:H42)+SUM(J38:J42)</f>
        <v>0</v>
      </c>
      <c r="G43" s="189"/>
      <c r="H43" s="189"/>
      <c r="I43" s="189"/>
      <c r="J43" s="189"/>
    </row>
    <row r="44" spans="1:18" ht="17.25" thickBot="1"/>
    <row r="45" spans="1:18" ht="13.5" customHeight="1">
      <c r="A45" s="198" t="s">
        <v>55</v>
      </c>
      <c r="B45" s="199"/>
      <c r="C45" s="199"/>
      <c r="D45" s="199"/>
      <c r="E45" s="199"/>
      <c r="F45" s="200"/>
    </row>
    <row r="46" spans="1:18" ht="13.5" customHeight="1">
      <c r="A46" s="201"/>
      <c r="B46" s="202"/>
      <c r="C46" s="202"/>
      <c r="D46" s="202"/>
      <c r="E46" s="202"/>
      <c r="F46" s="203"/>
    </row>
    <row r="47" spans="1:18" ht="13.5" customHeight="1">
      <c r="A47" s="204"/>
      <c r="B47" s="205"/>
      <c r="C47" s="205"/>
      <c r="D47" s="205"/>
      <c r="E47" s="205"/>
      <c r="F47" s="206"/>
    </row>
    <row r="48" spans="1:18" ht="13.5" customHeight="1">
      <c r="A48" s="191" t="s">
        <v>0</v>
      </c>
      <c r="B48" s="194" t="s">
        <v>28</v>
      </c>
      <c r="C48" s="195"/>
      <c r="D48" s="194" t="s">
        <v>29</v>
      </c>
      <c r="E48" s="215"/>
      <c r="F48" s="216"/>
    </row>
    <row r="49" spans="1:6" ht="13.5" customHeight="1">
      <c r="A49" s="192"/>
      <c r="B49" s="196"/>
      <c r="C49" s="196"/>
      <c r="D49" s="217"/>
      <c r="E49" s="217"/>
      <c r="F49" s="218"/>
    </row>
    <row r="50" spans="1:6" ht="13.5" customHeight="1">
      <c r="A50" s="193"/>
      <c r="B50" s="197"/>
      <c r="C50" s="197"/>
      <c r="D50" s="219"/>
      <c r="E50" s="219"/>
      <c r="F50" s="220"/>
    </row>
    <row r="51" spans="1:6" ht="13.5" customHeight="1">
      <c r="A51" s="33"/>
      <c r="B51" s="186" t="str">
        <f>IF(A51="","",COUNTIF(MachineINV,A51&amp;"*"))</f>
        <v/>
      </c>
      <c r="C51" s="187"/>
      <c r="D51" s="186"/>
      <c r="E51" s="187"/>
      <c r="F51" s="221"/>
    </row>
    <row r="52" spans="1:6" ht="13.5" customHeight="1">
      <c r="A52" s="34"/>
      <c r="B52" s="188" t="str">
        <f>IF(A52="","",COUNTIF(MachineINV,A52&amp;"*"))</f>
        <v/>
      </c>
      <c r="C52" s="188"/>
      <c r="D52" s="188"/>
      <c r="E52" s="222"/>
      <c r="F52" s="223"/>
    </row>
    <row r="53" spans="1:6" ht="13.5" customHeight="1" thickBot="1">
      <c r="A53" s="32"/>
      <c r="B53" s="183" t="str">
        <f>IF(A53="","",COUNTIF(MachineINV,A53&amp;"*"))</f>
        <v/>
      </c>
      <c r="C53" s="183"/>
      <c r="D53" s="183"/>
      <c r="E53" s="184"/>
      <c r="F53" s="185"/>
    </row>
    <row r="55" spans="1:6" ht="17.25" thickBot="1"/>
    <row r="56" spans="1:6">
      <c r="A56" s="210" t="s">
        <v>43</v>
      </c>
      <c r="B56" s="211"/>
      <c r="C56" s="211"/>
      <c r="D56" s="212"/>
      <c r="E56" s="213"/>
      <c r="F56" s="214"/>
    </row>
    <row r="57" spans="1:6">
      <c r="A57" s="209"/>
      <c r="B57" s="208"/>
      <c r="C57" s="208"/>
      <c r="D57" s="63"/>
      <c r="E57" s="64"/>
      <c r="F57" s="65"/>
    </row>
    <row r="58" spans="1:6" ht="16.5" customHeight="1">
      <c r="A58" s="207" t="s">
        <v>44</v>
      </c>
      <c r="B58" s="208"/>
      <c r="C58" s="208"/>
      <c r="D58" s="60"/>
      <c r="E58" s="61"/>
      <c r="F58" s="62"/>
    </row>
    <row r="59" spans="1:6" ht="16.5" customHeight="1">
      <c r="A59" s="209"/>
      <c r="B59" s="208"/>
      <c r="C59" s="208"/>
      <c r="D59" s="63"/>
      <c r="E59" s="64"/>
      <c r="F59" s="65"/>
    </row>
    <row r="60" spans="1:6" ht="16.5" customHeight="1">
      <c r="A60" s="207" t="s">
        <v>45</v>
      </c>
      <c r="B60" s="208"/>
      <c r="C60" s="208"/>
      <c r="D60" s="60"/>
      <c r="E60" s="61"/>
      <c r="F60" s="62"/>
    </row>
    <row r="61" spans="1:6" ht="16.5" customHeight="1">
      <c r="A61" s="209"/>
      <c r="B61" s="208"/>
      <c r="C61" s="208"/>
      <c r="D61" s="63"/>
      <c r="E61" s="64"/>
      <c r="F61" s="65"/>
    </row>
    <row r="62" spans="1:6" ht="16.5" customHeight="1">
      <c r="A62" s="207" t="s">
        <v>46</v>
      </c>
      <c r="B62" s="208"/>
      <c r="C62" s="208"/>
      <c r="D62" s="60" t="e">
        <f>IF(TtlGSD=0,0,ROUND(3600*D60/TtlGSD,0))</f>
        <v>#NAME?</v>
      </c>
      <c r="E62" s="61"/>
      <c r="F62" s="62"/>
    </row>
    <row r="63" spans="1:6" ht="16.5" customHeight="1">
      <c r="A63" s="209"/>
      <c r="B63" s="208"/>
      <c r="C63" s="208"/>
      <c r="D63" s="63"/>
      <c r="E63" s="64"/>
      <c r="F63" s="65"/>
    </row>
    <row r="64" spans="1:6" ht="16.5" customHeight="1">
      <c r="A64" s="207" t="s">
        <v>47</v>
      </c>
      <c r="B64" s="208"/>
      <c r="C64" s="208"/>
      <c r="D64" s="60" t="e">
        <f>ROUND(D62*D58,0)</f>
        <v>#NAME?</v>
      </c>
      <c r="E64" s="61"/>
      <c r="F64" s="62"/>
    </row>
    <row r="65" spans="1:6" ht="16.5" customHeight="1">
      <c r="A65" s="209"/>
      <c r="B65" s="208"/>
      <c r="C65" s="208"/>
      <c r="D65" s="63"/>
      <c r="E65" s="64"/>
      <c r="F65" s="65"/>
    </row>
    <row r="66" spans="1:6" ht="16.5" customHeight="1">
      <c r="A66" s="207" t="s">
        <v>48</v>
      </c>
      <c r="B66" s="208"/>
      <c r="C66" s="208"/>
      <c r="D66" s="60" t="e">
        <f>IF(D64=0,0,ROUND(D58*3600/D64,0))</f>
        <v>#NAME?</v>
      </c>
      <c r="E66" s="61"/>
      <c r="F66" s="62"/>
    </row>
    <row r="67" spans="1:6" ht="16.5" customHeight="1">
      <c r="A67" s="209"/>
      <c r="B67" s="208"/>
      <c r="C67" s="208"/>
      <c r="D67" s="63"/>
      <c r="E67" s="64"/>
      <c r="F67" s="65"/>
    </row>
    <row r="68" spans="1:6" ht="16.5" customHeight="1">
      <c r="A68" s="207" t="s">
        <v>35</v>
      </c>
      <c r="B68" s="208"/>
      <c r="C68" s="208"/>
      <c r="D68" s="60" t="e">
        <f>ROUND(3600/MaxTMS,2)</f>
        <v>#NAME?</v>
      </c>
      <c r="E68" s="61"/>
      <c r="F68" s="62"/>
    </row>
    <row r="69" spans="1:6" ht="16.5" customHeight="1">
      <c r="A69" s="209"/>
      <c r="B69" s="208"/>
      <c r="C69" s="208"/>
      <c r="D69" s="63"/>
      <c r="E69" s="64"/>
      <c r="F69" s="65"/>
    </row>
    <row r="70" spans="1:6" ht="16.5" customHeight="1">
      <c r="A70" s="207" t="s">
        <v>36</v>
      </c>
      <c r="B70" s="208"/>
      <c r="C70" s="208"/>
      <c r="D70" s="60" t="e">
        <f>TtlTMS</f>
        <v>#NAME?</v>
      </c>
      <c r="E70" s="61"/>
      <c r="F70" s="62"/>
    </row>
    <row r="71" spans="1:6" ht="16.5" customHeight="1">
      <c r="A71" s="209"/>
      <c r="B71" s="208"/>
      <c r="C71" s="208"/>
      <c r="D71" s="63"/>
      <c r="E71" s="64"/>
      <c r="F71" s="65"/>
    </row>
    <row r="72" spans="1:6" ht="16.5" customHeight="1">
      <c r="A72" s="207" t="s">
        <v>37</v>
      </c>
      <c r="B72" s="208"/>
      <c r="C72" s="208"/>
      <c r="D72" s="60" t="e">
        <f>TtlGSD</f>
        <v>#NAME?</v>
      </c>
      <c r="E72" s="61"/>
      <c r="F72" s="62"/>
    </row>
    <row r="73" spans="1:6" ht="16.5" customHeight="1">
      <c r="A73" s="209"/>
      <c r="B73" s="208"/>
      <c r="C73" s="208"/>
      <c r="D73" s="63"/>
      <c r="E73" s="64"/>
      <c r="F73" s="65"/>
    </row>
    <row r="74" spans="1:6" ht="16.5" customHeight="1">
      <c r="A74" s="207" t="s">
        <v>38</v>
      </c>
      <c r="B74" s="208"/>
      <c r="C74" s="208"/>
      <c r="D74" s="66" t="e">
        <f>IF(D72=0,0,(D72-D70)/D72)</f>
        <v>#NAME?</v>
      </c>
      <c r="E74" s="67"/>
      <c r="F74" s="68"/>
    </row>
    <row r="75" spans="1:6" ht="16.5" customHeight="1">
      <c r="A75" s="209"/>
      <c r="B75" s="208"/>
      <c r="C75" s="208"/>
      <c r="D75" s="69"/>
      <c r="E75" s="70"/>
      <c r="F75" s="71"/>
    </row>
    <row r="76" spans="1:6" ht="16.5" customHeight="1">
      <c r="A76" s="207" t="s">
        <v>39</v>
      </c>
      <c r="B76" s="208"/>
      <c r="C76" s="208"/>
      <c r="D76" s="66" t="e">
        <f>IF(OR(D60=0,MaxTMS=0),0,D70/MaxTMS/D60)</f>
        <v>#NAME?</v>
      </c>
      <c r="E76" s="67"/>
      <c r="F76" s="68"/>
    </row>
    <row r="77" spans="1:6" ht="16.5" customHeight="1">
      <c r="A77" s="209"/>
      <c r="B77" s="208"/>
      <c r="C77" s="208"/>
      <c r="D77" s="69"/>
      <c r="E77" s="70"/>
      <c r="F77" s="71"/>
    </row>
    <row r="78" spans="1:6" ht="16.5" customHeight="1">
      <c r="A78" s="207" t="s">
        <v>40</v>
      </c>
      <c r="B78" s="208"/>
      <c r="C78" s="208"/>
      <c r="D78" s="66" t="e">
        <f>IF(OR(D66=0,D60=0),0,D70/D66/D60)</f>
        <v>#NAME?</v>
      </c>
      <c r="E78" s="67"/>
      <c r="F78" s="68"/>
    </row>
    <row r="79" spans="1:6" ht="16.5" customHeight="1">
      <c r="A79" s="209"/>
      <c r="B79" s="208"/>
      <c r="C79" s="208"/>
      <c r="D79" s="69"/>
      <c r="E79" s="70"/>
      <c r="F79" s="71"/>
    </row>
    <row r="80" spans="1:6" ht="16.5" customHeight="1">
      <c r="A80" s="207" t="s">
        <v>41</v>
      </c>
      <c r="B80" s="208"/>
      <c r="C80" s="208"/>
      <c r="D80" s="66" t="e">
        <f>IF(OR(MaxTMS=0,D60=0),0,D72/MaxTMS/D60)</f>
        <v>#NAME?</v>
      </c>
      <c r="E80" s="67"/>
      <c r="F80" s="68"/>
    </row>
    <row r="81" spans="1:6" ht="16.5" customHeight="1">
      <c r="A81" s="209"/>
      <c r="B81" s="208"/>
      <c r="C81" s="208"/>
      <c r="D81" s="69"/>
      <c r="E81" s="70"/>
      <c r="F81" s="71"/>
    </row>
    <row r="82" spans="1:6" ht="16.5" customHeight="1">
      <c r="A82" s="207" t="s">
        <v>42</v>
      </c>
      <c r="B82" s="208"/>
      <c r="C82" s="208"/>
      <c r="D82" s="72" t="e">
        <f>IF(OR(MaxTMS=0,D60=0),0,ROUND(3600/MaxTMS,2)*F9/D60)</f>
        <v>#NAME?</v>
      </c>
      <c r="E82" s="73"/>
      <c r="F82" s="74"/>
    </row>
    <row r="83" spans="1:6" ht="17.25" customHeight="1" thickBot="1">
      <c r="A83" s="224"/>
      <c r="B83" s="225"/>
      <c r="C83" s="225"/>
      <c r="D83" s="75"/>
      <c r="E83" s="76"/>
      <c r="F83" s="77"/>
    </row>
  </sheetData>
  <mergeCells count="124"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Q34:R35"/>
    <mergeCell ref="E37:J37"/>
    <mergeCell ref="Q37:R38"/>
    <mergeCell ref="A38:B39"/>
    <mergeCell ref="C38:D39"/>
    <mergeCell ref="Q31:R32"/>
    <mergeCell ref="A32:C32"/>
    <mergeCell ref="E32:I32"/>
    <mergeCell ref="J32:K32"/>
    <mergeCell ref="A33:C33"/>
    <mergeCell ref="E33:I33"/>
    <mergeCell ref="J33:K33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Q28:R29"/>
    <mergeCell ref="A29:C29"/>
    <mergeCell ref="E29:I29"/>
    <mergeCell ref="J29:K29"/>
    <mergeCell ref="A26:C26"/>
    <mergeCell ref="E26:I26"/>
    <mergeCell ref="J26:K26"/>
    <mergeCell ref="A27:C27"/>
    <mergeCell ref="E27:I27"/>
    <mergeCell ref="J27:K27"/>
    <mergeCell ref="A24:C24"/>
    <mergeCell ref="E24:I24"/>
    <mergeCell ref="J24:K24"/>
    <mergeCell ref="A25:C25"/>
    <mergeCell ref="E25:I25"/>
    <mergeCell ref="J25:K25"/>
    <mergeCell ref="U17:U18"/>
    <mergeCell ref="A19:A21"/>
    <mergeCell ref="E19:I19"/>
    <mergeCell ref="U19:U21"/>
    <mergeCell ref="E20:I20"/>
    <mergeCell ref="E21:I21"/>
    <mergeCell ref="N17:N18"/>
    <mergeCell ref="O17:O18"/>
    <mergeCell ref="P17:P18"/>
    <mergeCell ref="Q17:R18"/>
    <mergeCell ref="S17:S18"/>
    <mergeCell ref="T17:T18"/>
    <mergeCell ref="U12:U15"/>
    <mergeCell ref="A17:A18"/>
    <mergeCell ref="B17:B18"/>
    <mergeCell ref="C17:C18"/>
    <mergeCell ref="D17:D18"/>
    <mergeCell ref="E17:E18"/>
    <mergeCell ref="F17:I18"/>
    <mergeCell ref="J17:J18"/>
    <mergeCell ref="K17:K18"/>
    <mergeCell ref="M17:M18"/>
    <mergeCell ref="J12:K15"/>
    <mergeCell ref="M12:N15"/>
    <mergeCell ref="O12:O15"/>
    <mergeCell ref="P12:R15"/>
    <mergeCell ref="S12:S15"/>
    <mergeCell ref="T12:T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D2" sqref="D2"/>
    </sheetView>
  </sheetViews>
  <sheetFormatPr defaultRowHeight="16.5"/>
  <sheetData>
    <row r="1" spans="1:4">
      <c r="A1" s="36" t="s">
        <v>32</v>
      </c>
      <c r="B1" s="36" t="s">
        <v>30</v>
      </c>
      <c r="C1" s="36" t="s">
        <v>31</v>
      </c>
      <c r="D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6" t="s">
        <v>32</v>
      </c>
      <c r="B1" s="36" t="s">
        <v>33</v>
      </c>
      <c r="C1" s="36" t="s">
        <v>34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J1-7273</cp:lastModifiedBy>
  <cp:lastPrinted>2017-03-10T02:00:17Z</cp:lastPrinted>
  <dcterms:created xsi:type="dcterms:W3CDTF">2016-01-18T12:26:28Z</dcterms:created>
  <dcterms:modified xsi:type="dcterms:W3CDTF">2018-04-03T09:41:40Z</dcterms:modified>
</cp:coreProperties>
</file>