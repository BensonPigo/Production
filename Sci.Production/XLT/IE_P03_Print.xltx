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firstSheet="8" activeTab="10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Operation!$A$5:$K$5</definedName>
  </definedNames>
  <calcPr calcId="144525"/>
  <fileRecoveryPr autoRecover="0"/>
</workbook>
</file>

<file path=xl/calcChain.xml><?xml version="1.0" encoding="utf-8"?>
<calcChain xmlns="http://schemas.openxmlformats.org/spreadsheetml/2006/main">
  <c r="E1" i="12" l="1"/>
  <c r="E1" i="6"/>
  <c r="E1" i="3"/>
  <c r="E1" i="15" l="1"/>
  <c r="D62" i="17" l="1"/>
  <c r="D60" i="17"/>
  <c r="D56" i="17"/>
  <c r="D54" i="17"/>
  <c r="D52" i="17"/>
  <c r="D50" i="17"/>
  <c r="D48" i="17"/>
  <c r="D42" i="17"/>
  <c r="D44" i="17" s="1"/>
  <c r="D46" i="17" s="1"/>
  <c r="D58" i="17" s="1"/>
  <c r="J31" i="17"/>
  <c r="H31" i="17"/>
  <c r="F31" i="17"/>
  <c r="J30" i="17"/>
  <c r="H30" i="17"/>
  <c r="F30" i="17"/>
  <c r="J29" i="17"/>
  <c r="H29" i="17"/>
  <c r="F29" i="17"/>
  <c r="C29" i="17"/>
  <c r="J28" i="17"/>
  <c r="H28" i="17"/>
  <c r="F28" i="17"/>
  <c r="J27" i="17"/>
  <c r="H27" i="17"/>
  <c r="F27" i="17"/>
  <c r="F32" i="17" s="1"/>
  <c r="C27" i="17"/>
  <c r="Y19" i="17"/>
  <c r="X17" i="17"/>
  <c r="W17" i="17"/>
  <c r="Y17" i="17" s="1"/>
  <c r="C17" i="17"/>
  <c r="B17" i="17"/>
  <c r="A19" i="17" s="1"/>
  <c r="A17" i="17"/>
  <c r="D62" i="14" l="1"/>
  <c r="D60" i="14"/>
  <c r="D56" i="14"/>
  <c r="D52" i="14"/>
  <c r="D54" i="14" s="1"/>
  <c r="D50" i="14"/>
  <c r="D48" i="14"/>
  <c r="D42" i="14"/>
  <c r="D44" i="14" s="1"/>
  <c r="D46" i="14" s="1"/>
  <c r="D58" i="14" s="1"/>
  <c r="J31" i="14"/>
  <c r="H31" i="14"/>
  <c r="F31" i="14"/>
  <c r="J30" i="14"/>
  <c r="H30" i="14"/>
  <c r="F30" i="14"/>
  <c r="J29" i="14"/>
  <c r="H29" i="14"/>
  <c r="F29" i="14"/>
  <c r="C29" i="14"/>
  <c r="J28" i="14"/>
  <c r="H28" i="14"/>
  <c r="F28" i="14"/>
  <c r="J27" i="14"/>
  <c r="H27" i="14"/>
  <c r="F27" i="14"/>
  <c r="C27" i="14"/>
  <c r="X17" i="14"/>
  <c r="Y19" i="14" s="1"/>
  <c r="W17" i="14"/>
  <c r="C17" i="14"/>
  <c r="B17" i="14"/>
  <c r="A19" i="14" s="1"/>
  <c r="Y17" i="14" l="1"/>
  <c r="A17" i="14"/>
  <c r="F32" i="14"/>
  <c r="D62" i="11" l="1"/>
  <c r="D60" i="11"/>
  <c r="D56" i="11"/>
  <c r="D52" i="11"/>
  <c r="D54" i="11" s="1"/>
  <c r="D50" i="11"/>
  <c r="D48" i="11"/>
  <c r="D42" i="11"/>
  <c r="D44" i="11" s="1"/>
  <c r="D46" i="11" s="1"/>
  <c r="D58" i="11" s="1"/>
  <c r="J31" i="11"/>
  <c r="H31" i="11"/>
  <c r="F31" i="11"/>
  <c r="J30" i="11"/>
  <c r="H30" i="11"/>
  <c r="F30" i="11"/>
  <c r="J29" i="11"/>
  <c r="H29" i="11"/>
  <c r="F29" i="11"/>
  <c r="C29" i="11"/>
  <c r="J28" i="11"/>
  <c r="H28" i="11"/>
  <c r="F28" i="11"/>
  <c r="J27" i="11"/>
  <c r="H27" i="11"/>
  <c r="F27" i="11"/>
  <c r="C27" i="11"/>
  <c r="X17" i="11"/>
  <c r="Y19" i="11" s="1"/>
  <c r="W17" i="11"/>
  <c r="Y17" i="11" s="1"/>
  <c r="C17" i="11"/>
  <c r="B17" i="11"/>
  <c r="A19" i="11" s="1"/>
  <c r="A17" i="11" l="1"/>
  <c r="F32" i="11"/>
  <c r="D62" i="9" l="1"/>
  <c r="D60" i="9"/>
  <c r="D56" i="9"/>
  <c r="D52" i="9"/>
  <c r="D54" i="9" s="1"/>
  <c r="D50" i="9"/>
  <c r="D48" i="9"/>
  <c r="D42" i="9"/>
  <c r="D44" i="9" s="1"/>
  <c r="D46" i="9" s="1"/>
  <c r="J31" i="9"/>
  <c r="H31" i="9"/>
  <c r="F31" i="9"/>
  <c r="J30" i="9"/>
  <c r="H30" i="9"/>
  <c r="F30" i="9"/>
  <c r="J29" i="9"/>
  <c r="H29" i="9"/>
  <c r="F29" i="9"/>
  <c r="C29" i="9"/>
  <c r="J28" i="9"/>
  <c r="H28" i="9"/>
  <c r="F28" i="9"/>
  <c r="J27" i="9"/>
  <c r="H27" i="9"/>
  <c r="F27" i="9"/>
  <c r="C27" i="9"/>
  <c r="X17" i="9"/>
  <c r="Y19" i="9" s="1"/>
  <c r="W17" i="9"/>
  <c r="C17" i="9"/>
  <c r="B17" i="9"/>
  <c r="A19" i="9" s="1"/>
  <c r="Y17" i="9" l="1"/>
  <c r="A17" i="9"/>
  <c r="D58" i="9"/>
  <c r="F32" i="9"/>
</calcChain>
</file>

<file path=xl/sharedStrings.xml><?xml version="1.0" encoding="utf-8"?>
<sst xmlns="http://schemas.openxmlformats.org/spreadsheetml/2006/main" count="225" uniqueCount="59">
  <si>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</si>
  <si>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</si>
  <si>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</si>
  <si>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</si>
  <si>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</si>
  <si>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</si>
  <si>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</si>
  <si>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</si>
  <si>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</si>
  <si>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</si>
  <si>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</si>
  <si>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</si>
  <si>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</si>
  <si>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</si>
  <si>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</si>
  <si>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</si>
  <si>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PPA Operation Description</t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</si>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</sst>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19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4" xfId="23" applyNumberFormat="1" applyFont="1" applyFill="1" applyBorder="1" applyAlignment="1">
      <alignment horizontal="center" vertical="center" wrapText="1"/>
    </xf>
    <xf numFmtId="49" fontId="12" fillId="3" borderId="45" xfId="23" applyNumberFormat="1" applyFont="1" applyFill="1" applyBorder="1" applyAlignment="1">
      <alignment horizontal="center" vertical="center" wrapText="1"/>
    </xf>
    <xf numFmtId="49" fontId="10" fillId="3" borderId="45" xfId="23" applyNumberFormat="1" applyFont="1" applyFill="1" applyBorder="1" applyAlignment="1">
      <alignment horizontal="center" vertical="center" wrapText="1"/>
    </xf>
    <xf numFmtId="49" fontId="4" fillId="3" borderId="45" xfId="23" applyNumberFormat="1" applyFont="1" applyFill="1" applyBorder="1" applyAlignment="1">
      <alignment horizontal="center" vertical="center" wrapText="1"/>
    </xf>
    <xf numFmtId="178" fontId="13" fillId="3" borderId="46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38" fillId="5" borderId="47" xfId="23" applyFont="1" applyFill="1" applyBorder="1" applyAlignment="1">
      <alignment horizontal="center"/>
    </xf>
    <xf numFmtId="0" fontId="37" fillId="7" borderId="47" xfId="23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>
      <alignment vertical="center"/>
    </xf>
    <xf numFmtId="178" fontId="13" fillId="3" borderId="47" xfId="23" applyNumberFormat="1" applyFont="1" applyFill="1" applyBorder="1" applyAlignment="1">
      <alignment horizontal="center" vertical="center" wrapText="1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37" fillId="7" borderId="47" xfId="23" applyNumberFormat="1" applyFont="1" applyFill="1" applyBorder="1" applyAlignment="1">
      <alignment horizontal="center"/>
    </xf>
    <xf numFmtId="0" fontId="37" fillId="6" borderId="47" xfId="23" applyFont="1" applyFill="1" applyBorder="1" applyAlignment="1">
      <alignment horizontal="center"/>
    </xf>
    <xf numFmtId="0" fontId="37" fillId="6" borderId="47" xfId="23" applyFont="1" applyFill="1" applyBorder="1" applyAlignment="1">
      <alignment horizontal="center"/>
    </xf>
    <xf numFmtId="0" fontId="37" fillId="7" borderId="47" xfId="23" applyNumberFormat="1" applyFont="1" applyFill="1" applyBorder="1" applyAlignment="1">
      <alignment horizont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 wrapText="1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37" fillId="7" borderId="74" xfId="23" applyNumberFormat="1" applyFont="1" applyFill="1" applyBorder="1" applyAlignment="1">
      <alignment horizontal="center"/>
    </xf>
    <xf numFmtId="0" fontId="37" fillId="7" borderId="71" xfId="23" applyNumberFormat="1" applyFont="1" applyFill="1" applyBorder="1" applyAlignment="1">
      <alignment horizontal="center"/>
    </xf>
    <xf numFmtId="0" fontId="37" fillId="7" borderId="72" xfId="23" applyNumberFormat="1" applyFont="1" applyFill="1" applyBorder="1" applyAlignment="1">
      <alignment horizont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0" fontId="33" fillId="8" borderId="47" xfId="23" applyFont="1" applyFill="1" applyBorder="1" applyAlignment="1" applyProtection="1">
      <alignment horizontal="center"/>
      <protection locked="0"/>
    </xf>
    <xf numFmtId="0" fontId="0" fillId="3" borderId="8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2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37" fillId="6" borderId="74" xfId="23" applyFont="1" applyFill="1" applyBorder="1" applyAlignment="1">
      <alignment horizontal="center"/>
    </xf>
    <xf numFmtId="0" fontId="37" fillId="6" borderId="71" xfId="23" applyFont="1" applyFill="1" applyBorder="1" applyAlignment="1">
      <alignment horizontal="center"/>
    </xf>
    <xf numFmtId="0" fontId="37" fillId="6" borderId="72" xfId="23" applyFont="1" applyFill="1" applyBorder="1" applyAlignment="1">
      <alignment horizont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40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</a:t>
          </a:r>
          <a:r>
            <a:rPr lang="en-US" sz="3200" b="1" i="0" strike="noStrike" baseline="0">
              <a:solidFill>
                <a:srgbClr val="333399"/>
              </a:solidFill>
              <a:latin typeface="Tahoma"/>
              <a:cs typeface="Tahoma"/>
            </a:rPr>
            <a:t> &amp; non-sewing line</a:t>
          </a: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</a:t>
          </a:r>
          <a:r>
            <a:rPr lang="en-US" sz="3200" b="1" i="0" strike="noStrike" baseline="0">
              <a:solidFill>
                <a:srgbClr val="333399"/>
              </a:solidFill>
              <a:latin typeface="Tahoma"/>
              <a:cs typeface="Tahoma"/>
            </a:rPr>
            <a:t> &amp; non-sewing line</a:t>
          </a: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13" bestFit="1" customWidth="1"/>
    <col min="2" max="2" width="19.5" style="14" customWidth="1"/>
    <col min="3" max="3" width="55.875" style="6" customWidth="1"/>
    <col min="4" max="4" width="15.75" style="6" bestFit="1" customWidth="1"/>
    <col min="5" max="5" width="15.75" style="6" customWidth="1"/>
    <col min="6" max="6" width="17.375" style="3" bestFit="1" customWidth="1"/>
    <col min="7" max="7" width="9.75" style="4" bestFit="1" customWidth="1"/>
    <col min="8" max="8" width="12.25" style="7" customWidth="1"/>
    <col min="9" max="9" width="18.625" style="7" customWidth="1"/>
    <col min="10" max="10" width="16.625" style="7" customWidth="1"/>
    <col min="11" max="11" width="18.5" style="7" customWidth="1"/>
    <col min="12" max="12" width="9" style="7" customWidth="1"/>
    <col min="13" max="16384" width="9" style="7"/>
  </cols>
  <sheetData>
    <row r="1" spans="1:11" ht="20.25">
      <c r="A1" s="62" t="s">
        <v>58</v>
      </c>
      <c r="B1" s="62"/>
      <c r="C1" s="63"/>
    </row>
    <row r="2" spans="1:11" ht="20.25">
      <c r="A2" s="1" t="s">
        <v>4</v>
      </c>
      <c r="B2" s="2" t="s">
        <v>5</v>
      </c>
    </row>
    <row r="3" spans="1:11" ht="20.25">
      <c r="A3" s="1" t="s">
        <v>6</v>
      </c>
      <c r="B3" s="2"/>
    </row>
    <row r="4" spans="1:11" ht="20.25">
      <c r="A4" s="1"/>
      <c r="B4" s="5"/>
    </row>
    <row r="5" spans="1:11" ht="36">
      <c r="A5" s="8" t="s">
        <v>7</v>
      </c>
      <c r="B5" s="61" t="s">
        <v>57</v>
      </c>
      <c r="C5" s="9" t="s">
        <v>8</v>
      </c>
      <c r="D5" s="10" t="s">
        <v>52</v>
      </c>
      <c r="E5" s="10" t="s">
        <v>53</v>
      </c>
      <c r="F5" s="10" t="s">
        <v>41</v>
      </c>
      <c r="G5" s="11" t="s">
        <v>42</v>
      </c>
      <c r="H5" s="12" t="s">
        <v>9</v>
      </c>
      <c r="I5" s="12" t="s">
        <v>40</v>
      </c>
      <c r="J5" s="30" t="s">
        <v>50</v>
      </c>
      <c r="K5" s="30" t="s">
        <v>45</v>
      </c>
    </row>
  </sheetData>
  <autoFilter ref="A5:K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A23" sqref="A23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hidden="1" customWidth="1"/>
    <col min="27" max="27" width="6.75" style="15" hidden="1" customWidth="1"/>
    <col min="28" max="28" width="0.25" style="15" hidden="1" customWidth="1"/>
    <col min="29" max="29" width="8" style="15" hidden="1" customWidth="1"/>
    <col min="30" max="31" width="9" style="15" hidden="1" customWidth="1"/>
    <col min="32" max="16384" width="9" style="15"/>
  </cols>
  <sheetData>
    <row r="1" spans="1:25" ht="13.5" customHeight="1">
      <c r="A1" s="199" t="s">
        <v>10</v>
      </c>
      <c r="B1" s="200"/>
      <c r="C1" s="200"/>
      <c r="D1" s="200"/>
      <c r="E1" s="201"/>
      <c r="F1" s="202"/>
      <c r="G1" s="203"/>
    </row>
    <row r="2" spans="1:25" ht="13.5" customHeight="1">
      <c r="A2" s="186"/>
      <c r="B2" s="187"/>
      <c r="C2" s="187"/>
      <c r="D2" s="187"/>
      <c r="E2" s="188"/>
      <c r="F2" s="189"/>
      <c r="G2" s="190"/>
    </row>
    <row r="3" spans="1:25" ht="13.5" customHeight="1">
      <c r="A3" s="183" t="s">
        <v>0</v>
      </c>
      <c r="B3" s="184"/>
      <c r="C3" s="184"/>
      <c r="D3" s="184"/>
      <c r="E3" s="185"/>
      <c r="F3" s="204"/>
      <c r="G3" s="205"/>
    </row>
    <row r="4" spans="1:25" ht="13.5" customHeight="1">
      <c r="A4" s="186"/>
      <c r="B4" s="187"/>
      <c r="C4" s="187"/>
      <c r="D4" s="187"/>
      <c r="E4" s="188"/>
      <c r="F4" s="204"/>
      <c r="G4" s="205"/>
    </row>
    <row r="5" spans="1:25" ht="13.5" customHeight="1">
      <c r="A5" s="183" t="s">
        <v>11</v>
      </c>
      <c r="B5" s="184"/>
      <c r="C5" s="184"/>
      <c r="D5" s="184"/>
      <c r="E5" s="185"/>
      <c r="F5" s="189"/>
      <c r="G5" s="190"/>
    </row>
    <row r="6" spans="1:25" ht="13.5" customHeight="1">
      <c r="A6" s="186"/>
      <c r="B6" s="187"/>
      <c r="C6" s="187"/>
      <c r="D6" s="187"/>
      <c r="E6" s="188"/>
      <c r="F6" s="189"/>
      <c r="G6" s="190"/>
    </row>
    <row r="7" spans="1:25" ht="13.5" customHeight="1">
      <c r="A7" s="183" t="s">
        <v>1</v>
      </c>
      <c r="B7" s="184"/>
      <c r="C7" s="184"/>
      <c r="D7" s="184"/>
      <c r="E7" s="185"/>
      <c r="F7" s="189"/>
      <c r="G7" s="190"/>
    </row>
    <row r="8" spans="1:25" ht="26.25" customHeight="1">
      <c r="A8" s="186"/>
      <c r="B8" s="187"/>
      <c r="C8" s="187"/>
      <c r="D8" s="187"/>
      <c r="E8" s="188"/>
      <c r="F8" s="189"/>
      <c r="G8" s="190"/>
    </row>
    <row r="9" spans="1:25" ht="13.5" customHeight="1">
      <c r="A9" s="191" t="s">
        <v>12</v>
      </c>
      <c r="B9" s="184"/>
      <c r="C9" s="184"/>
      <c r="D9" s="184"/>
      <c r="E9" s="185"/>
      <c r="F9" s="195"/>
      <c r="G9" s="196"/>
    </row>
    <row r="10" spans="1:25" ht="13.5" customHeight="1" thickBot="1">
      <c r="A10" s="192"/>
      <c r="B10" s="193"/>
      <c r="C10" s="193"/>
      <c r="D10" s="193"/>
      <c r="E10" s="194"/>
      <c r="F10" s="197"/>
      <c r="G10" s="198"/>
    </row>
    <row r="11" spans="1:25" ht="17.25" thickBot="1"/>
    <row r="12" spans="1:25" ht="12.75" customHeight="1">
      <c r="A12" s="146" t="s">
        <v>13</v>
      </c>
      <c r="B12" s="149" t="s">
        <v>56</v>
      </c>
      <c r="C12" s="152" t="s">
        <v>2</v>
      </c>
      <c r="D12" s="152" t="s">
        <v>43</v>
      </c>
      <c r="E12" s="155" t="s">
        <v>15</v>
      </c>
      <c r="F12" s="155"/>
      <c r="G12" s="155"/>
      <c r="H12" s="155"/>
      <c r="I12" s="156"/>
      <c r="J12" s="174" t="s">
        <v>54</v>
      </c>
      <c r="K12" s="175"/>
      <c r="L12" s="180" t="s">
        <v>55</v>
      </c>
      <c r="N12" s="41"/>
      <c r="P12" s="146" t="s">
        <v>55</v>
      </c>
      <c r="Q12" s="155" t="s">
        <v>54</v>
      </c>
      <c r="R12" s="175"/>
      <c r="S12" s="152" t="s">
        <v>43</v>
      </c>
      <c r="T12" s="155" t="s">
        <v>15</v>
      </c>
      <c r="U12" s="155"/>
      <c r="V12" s="156"/>
      <c r="W12" s="152" t="s">
        <v>2</v>
      </c>
      <c r="X12" s="149" t="s">
        <v>56</v>
      </c>
      <c r="Y12" s="161" t="s">
        <v>13</v>
      </c>
    </row>
    <row r="13" spans="1:25" ht="12.75" customHeight="1">
      <c r="A13" s="147"/>
      <c r="B13" s="150"/>
      <c r="C13" s="153"/>
      <c r="D13" s="153"/>
      <c r="E13" s="157"/>
      <c r="F13" s="157"/>
      <c r="G13" s="157"/>
      <c r="H13" s="157"/>
      <c r="I13" s="158"/>
      <c r="J13" s="176"/>
      <c r="K13" s="177"/>
      <c r="L13" s="181"/>
      <c r="N13" s="41"/>
      <c r="P13" s="147"/>
      <c r="Q13" s="157"/>
      <c r="R13" s="177"/>
      <c r="S13" s="153"/>
      <c r="T13" s="157"/>
      <c r="U13" s="157"/>
      <c r="V13" s="158"/>
      <c r="W13" s="153"/>
      <c r="X13" s="150"/>
      <c r="Y13" s="162"/>
    </row>
    <row r="14" spans="1:25" ht="12.75" customHeight="1">
      <c r="A14" s="147"/>
      <c r="B14" s="150"/>
      <c r="C14" s="153"/>
      <c r="D14" s="153"/>
      <c r="E14" s="157"/>
      <c r="F14" s="157"/>
      <c r="G14" s="157"/>
      <c r="H14" s="157"/>
      <c r="I14" s="158"/>
      <c r="J14" s="176"/>
      <c r="K14" s="177"/>
      <c r="L14" s="181"/>
      <c r="N14" s="41"/>
      <c r="P14" s="147"/>
      <c r="Q14" s="157"/>
      <c r="R14" s="177"/>
      <c r="S14" s="153"/>
      <c r="T14" s="157"/>
      <c r="U14" s="157"/>
      <c r="V14" s="158"/>
      <c r="W14" s="153"/>
      <c r="X14" s="150"/>
      <c r="Y14" s="162"/>
    </row>
    <row r="15" spans="1:25" ht="12.75" customHeight="1" thickBot="1">
      <c r="A15" s="148"/>
      <c r="B15" s="151"/>
      <c r="C15" s="154"/>
      <c r="D15" s="154"/>
      <c r="E15" s="159"/>
      <c r="F15" s="159"/>
      <c r="G15" s="159"/>
      <c r="H15" s="159"/>
      <c r="I15" s="160"/>
      <c r="J15" s="178"/>
      <c r="K15" s="179"/>
      <c r="L15" s="182"/>
      <c r="N15" s="41"/>
      <c r="P15" s="148"/>
      <c r="Q15" s="159"/>
      <c r="R15" s="179"/>
      <c r="S15" s="154"/>
      <c r="T15" s="159"/>
      <c r="U15" s="159"/>
      <c r="V15" s="160"/>
      <c r="W15" s="154"/>
      <c r="X15" s="151"/>
      <c r="Y15" s="163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2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64" t="str">
        <f>IF(ISERROR((C17-B17)/C17),"",(C17-B17)/C17)</f>
        <v/>
      </c>
      <c r="B17" s="166">
        <f>SUM(B19:B21)</f>
        <v>0</v>
      </c>
      <c r="C17" s="168">
        <f>SUM(C19:C21)</f>
        <v>0</v>
      </c>
      <c r="D17" s="132"/>
      <c r="E17" s="138" t="s">
        <v>14</v>
      </c>
      <c r="F17" s="140"/>
      <c r="G17" s="170"/>
      <c r="H17" s="170"/>
      <c r="I17" s="141"/>
      <c r="J17" s="172"/>
      <c r="K17" s="122"/>
      <c r="L17" s="124"/>
      <c r="N17" s="41"/>
      <c r="P17" s="126"/>
      <c r="Q17" s="128"/>
      <c r="R17" s="130"/>
      <c r="S17" s="132"/>
      <c r="T17" s="138" t="s">
        <v>14</v>
      </c>
      <c r="U17" s="140"/>
      <c r="V17" s="141"/>
      <c r="W17" s="144">
        <f>SUM(W19:W21)</f>
        <v>0</v>
      </c>
      <c r="X17" s="134">
        <f>SUM(X19:X21)</f>
        <v>0</v>
      </c>
      <c r="Y17" s="136" t="str">
        <f>IF(ISERROR((W17-X17)/W17),"",(W17-X17)/W17)</f>
        <v/>
      </c>
    </row>
    <row r="18" spans="1:25" s="17" customFormat="1" ht="13.5" customHeight="1">
      <c r="A18" s="165"/>
      <c r="B18" s="167"/>
      <c r="C18" s="169"/>
      <c r="D18" s="133"/>
      <c r="E18" s="139"/>
      <c r="F18" s="142"/>
      <c r="G18" s="171"/>
      <c r="H18" s="171"/>
      <c r="I18" s="143"/>
      <c r="J18" s="173"/>
      <c r="K18" s="123"/>
      <c r="L18" s="125"/>
      <c r="N18" s="41"/>
      <c r="P18" s="127"/>
      <c r="Q18" s="129"/>
      <c r="R18" s="131"/>
      <c r="S18" s="133"/>
      <c r="T18" s="139"/>
      <c r="U18" s="142"/>
      <c r="V18" s="143"/>
      <c r="W18" s="145"/>
      <c r="X18" s="135"/>
      <c r="Y18" s="137"/>
    </row>
    <row r="19" spans="1:25" s="17" customFormat="1" ht="26.25" customHeight="1">
      <c r="A19" s="92" t="str">
        <f>IF(ISERROR(IF(B17="",3600/C17,3600/B17)),"",IF(B17="",3600/C17,3600/B17))</f>
        <v/>
      </c>
      <c r="B19" s="22"/>
      <c r="C19" s="23"/>
      <c r="D19" s="31"/>
      <c r="E19" s="95"/>
      <c r="F19" s="96"/>
      <c r="G19" s="96"/>
      <c r="H19" s="96"/>
      <c r="I19" s="97"/>
      <c r="J19" s="35"/>
      <c r="K19" s="39"/>
      <c r="L19" s="43"/>
      <c r="N19" s="41"/>
      <c r="P19" s="45"/>
      <c r="Q19" s="39"/>
      <c r="R19" s="33"/>
      <c r="S19" s="31"/>
      <c r="T19" s="47"/>
      <c r="U19" s="48"/>
      <c r="V19" s="48"/>
      <c r="W19" s="23"/>
      <c r="X19" s="22"/>
      <c r="Y19" s="119" t="str">
        <f>IF(ISERROR(IF(X17="",3600/W17,3600/X17)),"",IF(X17="",3600/W17,3600/X17))</f>
        <v/>
      </c>
    </row>
    <row r="20" spans="1:25" s="17" customFormat="1" ht="22.5">
      <c r="A20" s="93"/>
      <c r="B20" s="22"/>
      <c r="C20" s="23"/>
      <c r="D20" s="31"/>
      <c r="E20" s="95"/>
      <c r="F20" s="96"/>
      <c r="G20" s="96"/>
      <c r="H20" s="96"/>
      <c r="I20" s="97"/>
      <c r="J20" s="35"/>
      <c r="K20" s="39"/>
      <c r="L20" s="43"/>
      <c r="N20" s="41"/>
      <c r="P20" s="45"/>
      <c r="Q20" s="39"/>
      <c r="R20" s="33"/>
      <c r="S20" s="31"/>
      <c r="T20" s="47"/>
      <c r="U20" s="48"/>
      <c r="V20" s="48"/>
      <c r="W20" s="23"/>
      <c r="X20" s="22"/>
      <c r="Y20" s="120"/>
    </row>
    <row r="21" spans="1:25" s="17" customFormat="1" ht="26.25" customHeight="1" thickBot="1">
      <c r="A21" s="94"/>
      <c r="B21" s="24"/>
      <c r="C21" s="25"/>
      <c r="D21" s="32"/>
      <c r="E21" s="95"/>
      <c r="F21" s="96"/>
      <c r="G21" s="96"/>
      <c r="H21" s="96"/>
      <c r="I21" s="97"/>
      <c r="J21" s="34"/>
      <c r="K21" s="40"/>
      <c r="L21" s="44"/>
      <c r="N21" s="41"/>
      <c r="P21" s="46"/>
      <c r="Q21" s="40"/>
      <c r="R21" s="36"/>
      <c r="S21" s="32"/>
      <c r="T21" s="47"/>
      <c r="U21" s="48"/>
      <c r="V21" s="48"/>
      <c r="W21" s="23" t="s">
        <v>3</v>
      </c>
      <c r="X21" s="24"/>
      <c r="Y21" s="121"/>
    </row>
    <row r="24" spans="1:25" ht="18" customHeight="1">
      <c r="N24" s="19"/>
    </row>
    <row r="25" spans="1:25" ht="18" customHeight="1">
      <c r="N25" s="18"/>
    </row>
    <row r="26" spans="1:25" ht="18" customHeight="1">
      <c r="E26" s="98" t="s">
        <v>19</v>
      </c>
      <c r="F26" s="99"/>
      <c r="G26" s="99"/>
      <c r="H26" s="99"/>
      <c r="I26" s="99"/>
      <c r="J26" s="100"/>
      <c r="N26" s="20"/>
    </row>
    <row r="27" spans="1:25" ht="18" customHeight="1">
      <c r="A27" s="103" t="s">
        <v>44</v>
      </c>
      <c r="B27" s="103"/>
      <c r="C27" s="104" t="e">
        <f>COUNTIF(MachineAttachmentTemplateL,"*"&amp;A27&amp;"*")+COUNTIF(MachineAttachmentTemplateR,"*"&amp;A27&amp;"*")</f>
        <v>#NAME?</v>
      </c>
      <c r="D27" s="105"/>
      <c r="E27" s="49"/>
      <c r="F27" s="26" t="str">
        <f>IF(E27="","",COUNTIF(MachineINV1,E27) + COUNTIF(MachineINV2,E27))</f>
        <v/>
      </c>
      <c r="G27" s="49"/>
      <c r="H27" s="26" t="str">
        <f>IF(G27="","",COUNTIF(MachineINV1,G27) + COUNTIF(MachineINV2,G27))</f>
        <v/>
      </c>
      <c r="I27" s="27"/>
      <c r="J27" s="26" t="str">
        <f>IF(I27="","",COUNTIF(MachineINV1,I27) + COUNTIF(MachineINV2,I27))</f>
        <v/>
      </c>
      <c r="N27" s="20"/>
    </row>
    <row r="28" spans="1:25" ht="18" customHeight="1">
      <c r="A28" s="103"/>
      <c r="B28" s="103"/>
      <c r="C28" s="106"/>
      <c r="D28" s="107"/>
      <c r="E28" s="49"/>
      <c r="F28" s="26" t="str">
        <f>IF(E28="","",COUNTIF(MachineINV1,E28) + COUNTIF(MachineINV2,E28))</f>
        <v/>
      </c>
      <c r="G28" s="49"/>
      <c r="H28" s="26" t="str">
        <f>IF(G28="","",COUNTIF(MachineINV1,G28) + COUNTIF(MachineINV2,G28))</f>
        <v/>
      </c>
      <c r="I28" s="27"/>
      <c r="J28" s="26" t="str">
        <f>IF(I28="","",COUNTIF(MachineINV1,I28) + COUNTIF(MachineINV2,I28))</f>
        <v/>
      </c>
      <c r="N28" s="20"/>
      <c r="U28" s="112"/>
      <c r="V28" s="112"/>
    </row>
    <row r="29" spans="1:25" ht="18" customHeight="1">
      <c r="A29" s="103" t="s">
        <v>20</v>
      </c>
      <c r="B29" s="103"/>
      <c r="C29" s="104" t="e">
        <f>COUNTIF(MachineAttachmentTemplateL,"*"&amp;A29&amp;"*")+COUNTIF(MachineAttachmentTemplateR,"*"&amp;A29&amp;"*")</f>
        <v>#NAME?</v>
      </c>
      <c r="D29" s="105"/>
      <c r="E29" s="49"/>
      <c r="F29" s="26" t="str">
        <f>IF(E29="","",COUNTIF(MachineINV1,E29) + COUNTIF(MachineINV2,E29))</f>
        <v/>
      </c>
      <c r="G29" s="49"/>
      <c r="H29" s="26" t="str">
        <f>IF(G29="","",COUNTIF(MachineINV1,G29) + COUNTIF(MachineINV2,G29))</f>
        <v/>
      </c>
      <c r="I29" s="27"/>
      <c r="J29" s="26" t="str">
        <f>IF(I29="","",COUNTIF(MachineINV1,I29) + COUNTIF(MachineINV2,I29))</f>
        <v/>
      </c>
      <c r="N29" s="20"/>
      <c r="Q29" s="108" t="s">
        <v>46</v>
      </c>
      <c r="R29" s="109"/>
      <c r="S29" s="109"/>
      <c r="T29" s="38"/>
      <c r="U29" s="113"/>
      <c r="V29" s="113"/>
    </row>
    <row r="30" spans="1:25" ht="18" customHeight="1">
      <c r="A30" s="103"/>
      <c r="B30" s="103"/>
      <c r="C30" s="106"/>
      <c r="D30" s="107"/>
      <c r="E30" s="49"/>
      <c r="F30" s="26" t="str">
        <f>IF(E30="","",COUNTIF(MachineINV1,E30) + COUNTIF(MachineINV2,E30))</f>
        <v/>
      </c>
      <c r="G30" s="27"/>
      <c r="H30" s="26" t="str">
        <f>IF(G30="","",COUNTIF(MachineINV1,G30) + COUNTIF(MachineINV2,G30))</f>
        <v/>
      </c>
      <c r="I30" s="27"/>
      <c r="J30" s="26" t="str">
        <f>IF(I30="","",COUNTIF(MachineINV1,I30) + COUNTIF(MachineINV2,I30))</f>
        <v/>
      </c>
      <c r="N30" s="20"/>
      <c r="T30" s="37"/>
    </row>
    <row r="31" spans="1:25" ht="18" customHeight="1">
      <c r="E31" s="49"/>
      <c r="F31" s="26" t="str">
        <f>IF(E31="","",COUNTIF(MachineINV1,E31) + COUNTIF(MachineINV2,E31))</f>
        <v/>
      </c>
      <c r="G31" s="27"/>
      <c r="H31" s="26" t="str">
        <f>IF(G31="","",COUNTIF(MachineINV1,G31) + COUNTIF(MachineINV2,G31))</f>
        <v/>
      </c>
      <c r="I31" s="27"/>
      <c r="J31" s="26" t="str">
        <f>IF(I31="","",COUNTIF(MachineINV1,I31) + COUNTIF(MachineINV2,I31))</f>
        <v/>
      </c>
      <c r="N31" s="20"/>
      <c r="U31" s="110"/>
      <c r="V31" s="110"/>
    </row>
    <row r="32" spans="1:25" ht="18" customHeight="1">
      <c r="E32" s="50" t="s">
        <v>18</v>
      </c>
      <c r="F32" s="114">
        <f>SUM(F27:F31)+SUM(H27:H31)+SUM(J27:J31)</f>
        <v>0</v>
      </c>
      <c r="G32" s="115"/>
      <c r="H32" s="115"/>
      <c r="I32" s="115"/>
      <c r="J32" s="116"/>
      <c r="N32" s="20"/>
      <c r="Q32" s="108" t="s">
        <v>47</v>
      </c>
      <c r="R32" s="109"/>
      <c r="S32" s="109"/>
      <c r="T32" s="38"/>
      <c r="U32" s="111"/>
      <c r="V32" s="111"/>
    </row>
    <row r="33" spans="1:22" ht="18" customHeight="1">
      <c r="N33" s="20"/>
      <c r="T33" s="37"/>
      <c r="U33" s="21"/>
      <c r="V33" s="21"/>
    </row>
    <row r="34" spans="1:22" ht="16.5" customHeight="1">
      <c r="U34" s="117"/>
      <c r="V34" s="117"/>
    </row>
    <row r="35" spans="1:22" ht="18" customHeight="1" thickBot="1">
      <c r="Q35" s="108" t="s">
        <v>48</v>
      </c>
      <c r="R35" s="109"/>
      <c r="S35" s="109"/>
      <c r="T35" s="38"/>
      <c r="U35" s="118"/>
      <c r="V35" s="118"/>
    </row>
    <row r="36" spans="1:22" ht="18" customHeight="1">
      <c r="A36" s="87" t="s">
        <v>34</v>
      </c>
      <c r="B36" s="88"/>
      <c r="C36" s="88"/>
      <c r="D36" s="89"/>
      <c r="E36" s="90"/>
      <c r="F36" s="91"/>
      <c r="T36" s="37"/>
      <c r="U36" s="21"/>
      <c r="V36" s="21"/>
    </row>
    <row r="37" spans="1:22" ht="18" customHeight="1">
      <c r="A37" s="66"/>
      <c r="B37" s="65"/>
      <c r="C37" s="65"/>
      <c r="D37" s="84"/>
      <c r="E37" s="85"/>
      <c r="F37" s="86"/>
      <c r="U37" s="101"/>
      <c r="V37" s="101"/>
    </row>
    <row r="38" spans="1:22" ht="13.5" customHeight="1">
      <c r="A38" s="64" t="s">
        <v>35</v>
      </c>
      <c r="B38" s="65"/>
      <c r="C38" s="65"/>
      <c r="D38" s="81"/>
      <c r="E38" s="82"/>
      <c r="F38" s="83"/>
      <c r="Q38" s="108" t="s">
        <v>49</v>
      </c>
      <c r="R38" s="109"/>
      <c r="S38" s="109"/>
      <c r="T38" s="38"/>
      <c r="U38" s="102"/>
      <c r="V38" s="102"/>
    </row>
    <row r="39" spans="1:22" ht="13.5" customHeight="1">
      <c r="A39" s="66"/>
      <c r="B39" s="65"/>
      <c r="C39" s="65"/>
      <c r="D39" s="84"/>
      <c r="E39" s="85"/>
      <c r="F39" s="86"/>
      <c r="T39" s="37"/>
    </row>
    <row r="40" spans="1:22" ht="13.5" customHeight="1">
      <c r="A40" s="64" t="s">
        <v>36</v>
      </c>
      <c r="B40" s="65"/>
      <c r="C40" s="65"/>
      <c r="D40" s="81"/>
      <c r="E40" s="82"/>
      <c r="F40" s="83"/>
    </row>
    <row r="41" spans="1:22" ht="13.5" customHeight="1">
      <c r="A41" s="66"/>
      <c r="B41" s="65"/>
      <c r="C41" s="65"/>
      <c r="D41" s="84"/>
      <c r="E41" s="85"/>
      <c r="F41" s="86"/>
    </row>
    <row r="42" spans="1:22" ht="13.5" customHeight="1">
      <c r="A42" s="64" t="s">
        <v>37</v>
      </c>
      <c r="B42" s="65"/>
      <c r="C42" s="65"/>
      <c r="D42" s="81" t="e">
        <f>IF(TtlGSD=0,0,ROUND(3600*D40/TtlGSD,0))</f>
        <v>#NAME?</v>
      </c>
      <c r="E42" s="82"/>
      <c r="F42" s="83"/>
    </row>
    <row r="43" spans="1:22" ht="13.5" customHeight="1">
      <c r="A43" s="66"/>
      <c r="B43" s="65"/>
      <c r="C43" s="65"/>
      <c r="D43" s="84"/>
      <c r="E43" s="85"/>
      <c r="F43" s="86"/>
    </row>
    <row r="44" spans="1:22">
      <c r="A44" s="64" t="s">
        <v>38</v>
      </c>
      <c r="B44" s="65"/>
      <c r="C44" s="65"/>
      <c r="D44" s="81" t="e">
        <f>ROUND(D42*D38,0)</f>
        <v>#NAME?</v>
      </c>
      <c r="E44" s="82"/>
      <c r="F44" s="83"/>
    </row>
    <row r="45" spans="1:22" ht="13.5" customHeight="1">
      <c r="A45" s="66"/>
      <c r="B45" s="65"/>
      <c r="C45" s="65"/>
      <c r="D45" s="84"/>
      <c r="E45" s="85"/>
      <c r="F45" s="86"/>
    </row>
    <row r="46" spans="1:22" ht="13.5" customHeight="1">
      <c r="A46" s="64" t="s">
        <v>39</v>
      </c>
      <c r="B46" s="65"/>
      <c r="C46" s="65"/>
      <c r="D46" s="81" t="e">
        <f>IF(D44=0,0,ROUND(D38*3600/D44,0))</f>
        <v>#NAME?</v>
      </c>
      <c r="E46" s="82"/>
      <c r="F46" s="83"/>
    </row>
    <row r="47" spans="1:22" ht="13.5" customHeight="1">
      <c r="A47" s="66"/>
      <c r="B47" s="65"/>
      <c r="C47" s="65"/>
      <c r="D47" s="84"/>
      <c r="E47" s="85"/>
      <c r="F47" s="86"/>
    </row>
    <row r="48" spans="1:22" ht="13.5" customHeight="1">
      <c r="A48" s="64" t="s">
        <v>26</v>
      </c>
      <c r="B48" s="65"/>
      <c r="C48" s="65"/>
      <c r="D48" s="81" t="e">
        <f>ROUND(3600/MaxTMS,2)</f>
        <v>#NAME?</v>
      </c>
      <c r="E48" s="82"/>
      <c r="F48" s="83"/>
    </row>
    <row r="49" spans="1:6" ht="13.5" customHeight="1">
      <c r="A49" s="66"/>
      <c r="B49" s="65"/>
      <c r="C49" s="65"/>
      <c r="D49" s="84"/>
      <c r="E49" s="85"/>
      <c r="F49" s="86"/>
    </row>
    <row r="50" spans="1:6" ht="13.5" customHeight="1">
      <c r="A50" s="64" t="s">
        <v>27</v>
      </c>
      <c r="B50" s="65"/>
      <c r="C50" s="65"/>
      <c r="D50" s="81" t="e">
        <f>TtlTMS</f>
        <v>#NAME?</v>
      </c>
      <c r="E50" s="82"/>
      <c r="F50" s="83"/>
    </row>
    <row r="51" spans="1:6" ht="13.5" customHeight="1">
      <c r="A51" s="66"/>
      <c r="B51" s="65"/>
      <c r="C51" s="65"/>
      <c r="D51" s="84"/>
      <c r="E51" s="85"/>
      <c r="F51" s="86"/>
    </row>
    <row r="52" spans="1:6" ht="13.5" customHeight="1">
      <c r="A52" s="64" t="s">
        <v>28</v>
      </c>
      <c r="B52" s="65"/>
      <c r="C52" s="65"/>
      <c r="D52" s="81" t="e">
        <f>TtlGSD</f>
        <v>#NAME?</v>
      </c>
      <c r="E52" s="82"/>
      <c r="F52" s="83"/>
    </row>
    <row r="53" spans="1:6" ht="13.5" customHeight="1">
      <c r="A53" s="66"/>
      <c r="B53" s="65"/>
      <c r="C53" s="65"/>
      <c r="D53" s="84"/>
      <c r="E53" s="85"/>
      <c r="F53" s="86"/>
    </row>
    <row r="54" spans="1:6">
      <c r="A54" s="64" t="s">
        <v>29</v>
      </c>
      <c r="B54" s="65"/>
      <c r="C54" s="65"/>
      <c r="D54" s="67" t="e">
        <f>IF(D52=0,0,(D52-D50)/D52)</f>
        <v>#NAME?</v>
      </c>
      <c r="E54" s="68"/>
      <c r="F54" s="69"/>
    </row>
    <row r="55" spans="1:6">
      <c r="A55" s="66"/>
      <c r="B55" s="65"/>
      <c r="C55" s="65"/>
      <c r="D55" s="70"/>
      <c r="E55" s="71"/>
      <c r="F55" s="72"/>
    </row>
    <row r="56" spans="1:6">
      <c r="A56" s="64" t="s">
        <v>30</v>
      </c>
      <c r="B56" s="65"/>
      <c r="C56" s="65"/>
      <c r="D56" s="67" t="e">
        <f>IF(OR(D40=0,MaxTMS=0),0,D50/MaxTMS/D40)</f>
        <v>#NAME?</v>
      </c>
      <c r="E56" s="68"/>
      <c r="F56" s="69"/>
    </row>
    <row r="57" spans="1:6">
      <c r="A57" s="66"/>
      <c r="B57" s="65"/>
      <c r="C57" s="65"/>
      <c r="D57" s="70"/>
      <c r="E57" s="71"/>
      <c r="F57" s="72"/>
    </row>
    <row r="58" spans="1:6" ht="16.5" customHeight="1">
      <c r="A58" s="64" t="s">
        <v>31</v>
      </c>
      <c r="B58" s="65"/>
      <c r="C58" s="65"/>
      <c r="D58" s="67" t="e">
        <f>IF(OR(D46=0,D40=0),0,D50/D46/D40)</f>
        <v>#NAME?</v>
      </c>
      <c r="E58" s="68"/>
      <c r="F58" s="69"/>
    </row>
    <row r="59" spans="1:6" ht="16.5" customHeight="1">
      <c r="A59" s="66"/>
      <c r="B59" s="65"/>
      <c r="C59" s="65"/>
      <c r="D59" s="70"/>
      <c r="E59" s="71"/>
      <c r="F59" s="72"/>
    </row>
    <row r="60" spans="1:6" ht="16.5" customHeight="1">
      <c r="A60" s="64" t="s">
        <v>32</v>
      </c>
      <c r="B60" s="65"/>
      <c r="C60" s="65"/>
      <c r="D60" s="67" t="e">
        <f>IF(OR(MaxTMS=0,D40=0),0,D52/MaxTMS/D40)</f>
        <v>#NAME?</v>
      </c>
      <c r="E60" s="68"/>
      <c r="F60" s="69"/>
    </row>
    <row r="61" spans="1:6" ht="16.5" customHeight="1">
      <c r="A61" s="66"/>
      <c r="B61" s="65"/>
      <c r="C61" s="65"/>
      <c r="D61" s="70"/>
      <c r="E61" s="71"/>
      <c r="F61" s="72"/>
    </row>
    <row r="62" spans="1:6" ht="16.5" customHeight="1">
      <c r="A62" s="64" t="s">
        <v>33</v>
      </c>
      <c r="B62" s="65"/>
      <c r="C62" s="65"/>
      <c r="D62" s="75" t="e">
        <f>IF(OR(MaxTMS=0,D40=0),0,ROUND(3600/MaxTMS,2)*F9/D40)</f>
        <v>#NAME?</v>
      </c>
      <c r="E62" s="76"/>
      <c r="F62" s="77"/>
    </row>
    <row r="63" spans="1:6" ht="16.5" customHeight="1" thickBot="1">
      <c r="A63" s="73"/>
      <c r="B63" s="74"/>
      <c r="C63" s="74"/>
      <c r="D63" s="78"/>
      <c r="E63" s="79"/>
      <c r="F63" s="8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89"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A19:A21"/>
    <mergeCell ref="E19:I19"/>
    <mergeCell ref="E26:J26"/>
    <mergeCell ref="U37:V38"/>
    <mergeCell ref="A27:B28"/>
    <mergeCell ref="C27:D28"/>
    <mergeCell ref="Q38:S38"/>
    <mergeCell ref="U31:V32"/>
    <mergeCell ref="Q32:S32"/>
    <mergeCell ref="U28:V29"/>
    <mergeCell ref="Q29:S29"/>
    <mergeCell ref="A29:B30"/>
    <mergeCell ref="C29:D30"/>
    <mergeCell ref="F32:J32"/>
    <mergeCell ref="U34:V35"/>
    <mergeCell ref="Q35:S35"/>
    <mergeCell ref="A36:C37"/>
    <mergeCell ref="D36:F37"/>
    <mergeCell ref="A38:C39"/>
    <mergeCell ref="D38:F39"/>
    <mergeCell ref="A40:C41"/>
    <mergeCell ref="D40:F41"/>
    <mergeCell ref="A42:C43"/>
    <mergeCell ref="D42:F43"/>
    <mergeCell ref="A44:C45"/>
    <mergeCell ref="D44:F45"/>
    <mergeCell ref="A46:C47"/>
    <mergeCell ref="D46:F47"/>
    <mergeCell ref="A48:C49"/>
    <mergeCell ref="D48:F49"/>
    <mergeCell ref="A50:C51"/>
    <mergeCell ref="D50:F51"/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29"/>
    <col min="4" max="4" width="22.375" bestFit="1" customWidth="1"/>
  </cols>
  <sheetData>
    <row r="1" spans="1:5">
      <c r="A1" s="29" t="s">
        <v>23</v>
      </c>
      <c r="B1" t="s">
        <v>21</v>
      </c>
      <c r="C1" s="29" t="s">
        <v>22</v>
      </c>
      <c r="D1" s="28" t="s">
        <v>51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2" sqref="D2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29" t="s">
        <v>23</v>
      </c>
      <c r="B1" t="s">
        <v>24</v>
      </c>
      <c r="C1" t="s">
        <v>25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L80" sqref="L80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hidden="1" customWidth="1"/>
    <col min="27" max="27" width="6.75" style="15" hidden="1" customWidth="1"/>
    <col min="28" max="28" width="0.25" style="15" hidden="1" customWidth="1"/>
    <col min="29" max="29" width="8" style="15" hidden="1" customWidth="1"/>
    <col min="30" max="31" width="9" style="15" hidden="1" customWidth="1"/>
    <col min="32" max="16384" width="9" style="15"/>
  </cols>
  <sheetData>
    <row r="1" spans="1:25" ht="13.5" customHeight="1">
      <c r="A1" s="199" t="s">
        <v>10</v>
      </c>
      <c r="B1" s="200"/>
      <c r="C1" s="200"/>
      <c r="D1" s="200"/>
      <c r="E1" s="201"/>
      <c r="F1" s="202"/>
      <c r="G1" s="203"/>
    </row>
    <row r="2" spans="1:25" ht="13.5" customHeight="1">
      <c r="A2" s="186"/>
      <c r="B2" s="187"/>
      <c r="C2" s="187"/>
      <c r="D2" s="187"/>
      <c r="E2" s="188"/>
      <c r="F2" s="189"/>
      <c r="G2" s="190"/>
    </row>
    <row r="3" spans="1:25" ht="13.5" customHeight="1">
      <c r="A3" s="183" t="s">
        <v>0</v>
      </c>
      <c r="B3" s="184"/>
      <c r="C3" s="184"/>
      <c r="D3" s="184"/>
      <c r="E3" s="185"/>
      <c r="F3" s="204"/>
      <c r="G3" s="205"/>
    </row>
    <row r="4" spans="1:25" ht="13.5" customHeight="1">
      <c r="A4" s="186"/>
      <c r="B4" s="187"/>
      <c r="C4" s="187"/>
      <c r="D4" s="187"/>
      <c r="E4" s="188"/>
      <c r="F4" s="204"/>
      <c r="G4" s="205"/>
    </row>
    <row r="5" spans="1:25" ht="13.5" customHeight="1">
      <c r="A5" s="183" t="s">
        <v>11</v>
      </c>
      <c r="B5" s="184"/>
      <c r="C5" s="184"/>
      <c r="D5" s="184"/>
      <c r="E5" s="185"/>
      <c r="F5" s="189"/>
      <c r="G5" s="190"/>
    </row>
    <row r="6" spans="1:25" ht="13.5" customHeight="1">
      <c r="A6" s="186"/>
      <c r="B6" s="187"/>
      <c r="C6" s="187"/>
      <c r="D6" s="187"/>
      <c r="E6" s="188"/>
      <c r="F6" s="189"/>
      <c r="G6" s="190"/>
    </row>
    <row r="7" spans="1:25" ht="13.5" customHeight="1">
      <c r="A7" s="183" t="s">
        <v>1</v>
      </c>
      <c r="B7" s="184"/>
      <c r="C7" s="184"/>
      <c r="D7" s="184"/>
      <c r="E7" s="185"/>
      <c r="F7" s="189"/>
      <c r="G7" s="190"/>
    </row>
    <row r="8" spans="1:25" ht="26.25" customHeight="1">
      <c r="A8" s="186"/>
      <c r="B8" s="187"/>
      <c r="C8" s="187"/>
      <c r="D8" s="187"/>
      <c r="E8" s="188"/>
      <c r="F8" s="189"/>
      <c r="G8" s="190"/>
    </row>
    <row r="9" spans="1:25" ht="13.5" customHeight="1">
      <c r="A9" s="191" t="s">
        <v>12</v>
      </c>
      <c r="B9" s="184"/>
      <c r="C9" s="184"/>
      <c r="D9" s="184"/>
      <c r="E9" s="185"/>
      <c r="F9" s="195"/>
      <c r="G9" s="196"/>
    </row>
    <row r="10" spans="1:25" ht="13.5" customHeight="1" thickBot="1">
      <c r="A10" s="192"/>
      <c r="B10" s="193"/>
      <c r="C10" s="193"/>
      <c r="D10" s="193"/>
      <c r="E10" s="194"/>
      <c r="F10" s="197"/>
      <c r="G10" s="198"/>
    </row>
    <row r="11" spans="1:25" ht="17.25" thickBot="1"/>
    <row r="12" spans="1:25" ht="12.75" customHeight="1">
      <c r="A12" s="146" t="s">
        <v>13</v>
      </c>
      <c r="B12" s="149" t="s">
        <v>56</v>
      </c>
      <c r="C12" s="152" t="s">
        <v>2</v>
      </c>
      <c r="D12" s="152" t="s">
        <v>43</v>
      </c>
      <c r="E12" s="155" t="s">
        <v>15</v>
      </c>
      <c r="F12" s="155"/>
      <c r="G12" s="155"/>
      <c r="H12" s="155"/>
      <c r="I12" s="156"/>
      <c r="J12" s="174" t="s">
        <v>52</v>
      </c>
      <c r="K12" s="175"/>
      <c r="L12" s="180" t="s">
        <v>55</v>
      </c>
      <c r="N12" s="41"/>
      <c r="P12" s="146" t="s">
        <v>55</v>
      </c>
      <c r="Q12" s="155" t="s">
        <v>52</v>
      </c>
      <c r="R12" s="175"/>
      <c r="S12" s="152" t="s">
        <v>43</v>
      </c>
      <c r="T12" s="155" t="s">
        <v>15</v>
      </c>
      <c r="U12" s="155"/>
      <c r="V12" s="156"/>
      <c r="W12" s="152" t="s">
        <v>2</v>
      </c>
      <c r="X12" s="149" t="s">
        <v>56</v>
      </c>
      <c r="Y12" s="161" t="s">
        <v>13</v>
      </c>
    </row>
    <row r="13" spans="1:25" ht="12.75" customHeight="1">
      <c r="A13" s="147"/>
      <c r="B13" s="150"/>
      <c r="C13" s="153"/>
      <c r="D13" s="153"/>
      <c r="E13" s="157"/>
      <c r="F13" s="157"/>
      <c r="G13" s="157"/>
      <c r="H13" s="157"/>
      <c r="I13" s="158"/>
      <c r="J13" s="176"/>
      <c r="K13" s="177"/>
      <c r="L13" s="181"/>
      <c r="N13" s="41"/>
      <c r="P13" s="147"/>
      <c r="Q13" s="157"/>
      <c r="R13" s="177"/>
      <c r="S13" s="153"/>
      <c r="T13" s="157"/>
      <c r="U13" s="157"/>
      <c r="V13" s="158"/>
      <c r="W13" s="153"/>
      <c r="X13" s="150"/>
      <c r="Y13" s="162"/>
    </row>
    <row r="14" spans="1:25" ht="12.75" customHeight="1">
      <c r="A14" s="147"/>
      <c r="B14" s="150"/>
      <c r="C14" s="153"/>
      <c r="D14" s="153"/>
      <c r="E14" s="157"/>
      <c r="F14" s="157"/>
      <c r="G14" s="157"/>
      <c r="H14" s="157"/>
      <c r="I14" s="158"/>
      <c r="J14" s="176"/>
      <c r="K14" s="177"/>
      <c r="L14" s="181"/>
      <c r="N14" s="41"/>
      <c r="P14" s="147"/>
      <c r="Q14" s="157"/>
      <c r="R14" s="177"/>
      <c r="S14" s="153"/>
      <c r="T14" s="157"/>
      <c r="U14" s="157"/>
      <c r="V14" s="158"/>
      <c r="W14" s="153"/>
      <c r="X14" s="150"/>
      <c r="Y14" s="162"/>
    </row>
    <row r="15" spans="1:25" ht="12.75" customHeight="1" thickBot="1">
      <c r="A15" s="148"/>
      <c r="B15" s="151"/>
      <c r="C15" s="154"/>
      <c r="D15" s="154"/>
      <c r="E15" s="159"/>
      <c r="F15" s="159"/>
      <c r="G15" s="159"/>
      <c r="H15" s="159"/>
      <c r="I15" s="160"/>
      <c r="J15" s="178"/>
      <c r="K15" s="179"/>
      <c r="L15" s="182"/>
      <c r="N15" s="41"/>
      <c r="P15" s="148"/>
      <c r="Q15" s="159"/>
      <c r="R15" s="179"/>
      <c r="S15" s="154"/>
      <c r="T15" s="159"/>
      <c r="U15" s="159"/>
      <c r="V15" s="160"/>
      <c r="W15" s="154"/>
      <c r="X15" s="151"/>
      <c r="Y15" s="163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2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64" t="str">
        <f>IF(ISERROR((C17-B17)/C17),"",(C17-B17)/C17)</f>
        <v/>
      </c>
      <c r="B17" s="166">
        <f>SUM(B19:B21)</f>
        <v>0</v>
      </c>
      <c r="C17" s="168">
        <f>SUM(C19:C21)</f>
        <v>0</v>
      </c>
      <c r="D17" s="132"/>
      <c r="E17" s="138" t="s">
        <v>14</v>
      </c>
      <c r="F17" s="140"/>
      <c r="G17" s="170"/>
      <c r="H17" s="170"/>
      <c r="I17" s="141"/>
      <c r="J17" s="172"/>
      <c r="K17" s="122"/>
      <c r="L17" s="124"/>
      <c r="N17" s="41"/>
      <c r="P17" s="126"/>
      <c r="Q17" s="128"/>
      <c r="R17" s="130"/>
      <c r="S17" s="132"/>
      <c r="T17" s="138" t="s">
        <v>14</v>
      </c>
      <c r="U17" s="140"/>
      <c r="V17" s="141"/>
      <c r="W17" s="144">
        <f>SUM(W19:W21)</f>
        <v>0</v>
      </c>
      <c r="X17" s="134">
        <f>SUM(X19:X21)</f>
        <v>0</v>
      </c>
      <c r="Y17" s="136" t="str">
        <f>IF(ISERROR((W17-X17)/W17),"",(W17-X17)/W17)</f>
        <v/>
      </c>
    </row>
    <row r="18" spans="1:25" s="17" customFormat="1" ht="13.5" customHeight="1">
      <c r="A18" s="165"/>
      <c r="B18" s="167"/>
      <c r="C18" s="169"/>
      <c r="D18" s="133"/>
      <c r="E18" s="139"/>
      <c r="F18" s="142"/>
      <c r="G18" s="171"/>
      <c r="H18" s="171"/>
      <c r="I18" s="143"/>
      <c r="J18" s="173"/>
      <c r="K18" s="123"/>
      <c r="L18" s="125"/>
      <c r="N18" s="41"/>
      <c r="P18" s="127"/>
      <c r="Q18" s="129"/>
      <c r="R18" s="131"/>
      <c r="S18" s="133"/>
      <c r="T18" s="139"/>
      <c r="U18" s="142"/>
      <c r="V18" s="143"/>
      <c r="W18" s="145"/>
      <c r="X18" s="135"/>
      <c r="Y18" s="137"/>
    </row>
    <row r="19" spans="1:25" s="17" customFormat="1" ht="26.25" customHeight="1">
      <c r="A19" s="92" t="str">
        <f>IF(ISERROR(IF(B17="",3600/C17,3600/B17)),"",IF(B17="",3600/C17,3600/B17))</f>
        <v/>
      </c>
      <c r="B19" s="22"/>
      <c r="C19" s="23"/>
      <c r="D19" s="31"/>
      <c r="E19" s="95"/>
      <c r="F19" s="96"/>
      <c r="G19" s="96"/>
      <c r="H19" s="96"/>
      <c r="I19" s="97"/>
      <c r="J19" s="35"/>
      <c r="K19" s="39"/>
      <c r="L19" s="43"/>
      <c r="N19" s="41"/>
      <c r="P19" s="45"/>
      <c r="Q19" s="39"/>
      <c r="R19" s="33"/>
      <c r="S19" s="31"/>
      <c r="T19" s="57"/>
      <c r="U19" s="58"/>
      <c r="V19" s="58"/>
      <c r="W19" s="23"/>
      <c r="X19" s="22"/>
      <c r="Y19" s="119" t="str">
        <f>IF(ISERROR(IF(X17="",3600/W17,3600/X17)),"",IF(X17="",3600/W17,3600/X17))</f>
        <v/>
      </c>
    </row>
    <row r="20" spans="1:25" s="17" customFormat="1" ht="22.5">
      <c r="A20" s="93"/>
      <c r="B20" s="22"/>
      <c r="C20" s="23"/>
      <c r="D20" s="31"/>
      <c r="E20" s="95"/>
      <c r="F20" s="96"/>
      <c r="G20" s="96"/>
      <c r="H20" s="96"/>
      <c r="I20" s="97"/>
      <c r="J20" s="35"/>
      <c r="K20" s="39"/>
      <c r="L20" s="43"/>
      <c r="N20" s="41"/>
      <c r="P20" s="45"/>
      <c r="Q20" s="39"/>
      <c r="R20" s="33"/>
      <c r="S20" s="31"/>
      <c r="T20" s="57"/>
      <c r="U20" s="58"/>
      <c r="V20" s="58"/>
      <c r="W20" s="23"/>
      <c r="X20" s="22"/>
      <c r="Y20" s="120"/>
    </row>
    <row r="21" spans="1:25" s="17" customFormat="1" ht="26.25" customHeight="1" thickBot="1">
      <c r="A21" s="94"/>
      <c r="B21" s="24"/>
      <c r="C21" s="25"/>
      <c r="D21" s="32"/>
      <c r="E21" s="95"/>
      <c r="F21" s="96"/>
      <c r="G21" s="96"/>
      <c r="H21" s="96"/>
      <c r="I21" s="97"/>
      <c r="J21" s="34"/>
      <c r="K21" s="40"/>
      <c r="L21" s="44"/>
      <c r="N21" s="41"/>
      <c r="P21" s="46"/>
      <c r="Q21" s="40"/>
      <c r="R21" s="36"/>
      <c r="S21" s="32"/>
      <c r="T21" s="57"/>
      <c r="U21" s="58"/>
      <c r="V21" s="58"/>
      <c r="W21" s="23" t="s">
        <v>3</v>
      </c>
      <c r="X21" s="24"/>
      <c r="Y21" s="121"/>
    </row>
    <row r="24" spans="1:25" ht="18" customHeight="1">
      <c r="N24" s="19"/>
    </row>
    <row r="25" spans="1:25" ht="18" customHeight="1">
      <c r="N25" s="18"/>
    </row>
    <row r="26" spans="1:25" ht="18" customHeight="1">
      <c r="E26" s="98" t="s">
        <v>19</v>
      </c>
      <c r="F26" s="99"/>
      <c r="G26" s="99"/>
      <c r="H26" s="99"/>
      <c r="I26" s="99"/>
      <c r="J26" s="100"/>
      <c r="N26" s="20"/>
    </row>
    <row r="27" spans="1:25" ht="18" customHeight="1">
      <c r="A27" s="103" t="s">
        <v>44</v>
      </c>
      <c r="B27" s="103"/>
      <c r="C27" s="104" t="e">
        <f>COUNTIF(MachineAttachmentTemplateL,"*"&amp;A27&amp;"*")+COUNTIF(MachineAttachmentTemplateR,"*"&amp;A27&amp;"*")</f>
        <v>#NAME?</v>
      </c>
      <c r="D27" s="105"/>
      <c r="E27" s="52"/>
      <c r="F27" s="26" t="str">
        <f>IF(E27="","",COUNTIF(MachineINV1,E27) + COUNTIF(MachineINV2,E27))</f>
        <v/>
      </c>
      <c r="G27" s="52"/>
      <c r="H27" s="26" t="str">
        <f>IF(G27="","",COUNTIF(MachineINV1,G27) + COUNTIF(MachineINV2,G27))</f>
        <v/>
      </c>
      <c r="I27" s="27"/>
      <c r="J27" s="26" t="str">
        <f>IF(I27="","",COUNTIF(MachineINV1,I27) + COUNTIF(MachineINV2,I27))</f>
        <v/>
      </c>
      <c r="N27" s="20"/>
    </row>
    <row r="28" spans="1:25" ht="18" customHeight="1">
      <c r="A28" s="103"/>
      <c r="B28" s="103"/>
      <c r="C28" s="106"/>
      <c r="D28" s="107"/>
      <c r="E28" s="52"/>
      <c r="F28" s="26" t="str">
        <f>IF(E28="","",COUNTIF(MachineINV1,E28) + COUNTIF(MachineINV2,E28))</f>
        <v/>
      </c>
      <c r="G28" s="52"/>
      <c r="H28" s="26" t="str">
        <f>IF(G28="","",COUNTIF(MachineINV1,G28) + COUNTIF(MachineINV2,G28))</f>
        <v/>
      </c>
      <c r="I28" s="27"/>
      <c r="J28" s="26" t="str">
        <f>IF(I28="","",COUNTIF(MachineINV1,I28) + COUNTIF(MachineINV2,I28))</f>
        <v/>
      </c>
      <c r="N28" s="20"/>
      <c r="U28" s="112"/>
      <c r="V28" s="112"/>
    </row>
    <row r="29" spans="1:25" ht="18" customHeight="1">
      <c r="A29" s="103" t="s">
        <v>20</v>
      </c>
      <c r="B29" s="103"/>
      <c r="C29" s="104" t="e">
        <f>COUNTIF(MachineAttachmentTemplateL,"*"&amp;A29&amp;"*")+COUNTIF(MachineAttachmentTemplateR,"*"&amp;A29&amp;"*")</f>
        <v>#NAME?</v>
      </c>
      <c r="D29" s="105"/>
      <c r="E29" s="52"/>
      <c r="F29" s="26" t="str">
        <f>IF(E29="","",COUNTIF(MachineINV1,E29) + COUNTIF(MachineINV2,E29))</f>
        <v/>
      </c>
      <c r="G29" s="52"/>
      <c r="H29" s="26" t="str">
        <f>IF(G29="","",COUNTIF(MachineINV1,G29) + COUNTIF(MachineINV2,G29))</f>
        <v/>
      </c>
      <c r="I29" s="27"/>
      <c r="J29" s="26" t="str">
        <f>IF(I29="","",COUNTIF(MachineINV1,I29) + COUNTIF(MachineINV2,I29))</f>
        <v/>
      </c>
      <c r="N29" s="20"/>
      <c r="Q29" s="108" t="s">
        <v>46</v>
      </c>
      <c r="R29" s="109"/>
      <c r="S29" s="109"/>
      <c r="T29" s="38"/>
      <c r="U29" s="113"/>
      <c r="V29" s="113"/>
    </row>
    <row r="30" spans="1:25" ht="18" customHeight="1">
      <c r="A30" s="103"/>
      <c r="B30" s="103"/>
      <c r="C30" s="106"/>
      <c r="D30" s="107"/>
      <c r="E30" s="52"/>
      <c r="F30" s="26" t="str">
        <f>IF(E30="","",COUNTIF(MachineINV1,E30) + COUNTIF(MachineINV2,E30))</f>
        <v/>
      </c>
      <c r="G30" s="27"/>
      <c r="H30" s="26" t="str">
        <f>IF(G30="","",COUNTIF(MachineINV1,G30) + COUNTIF(MachineINV2,G30))</f>
        <v/>
      </c>
      <c r="I30" s="27"/>
      <c r="J30" s="26" t="str">
        <f>IF(I30="","",COUNTIF(MachineINV1,I30) + COUNTIF(MachineINV2,I30))</f>
        <v/>
      </c>
      <c r="N30" s="20"/>
      <c r="T30" s="37"/>
    </row>
    <row r="31" spans="1:25" ht="18" customHeight="1">
      <c r="E31" s="52"/>
      <c r="F31" s="26" t="str">
        <f>IF(E31="","",COUNTIF(MachineINV1,E31) + COUNTIF(MachineINV2,E31))</f>
        <v/>
      </c>
      <c r="G31" s="27"/>
      <c r="H31" s="26" t="str">
        <f>IF(G31="","",COUNTIF(MachineINV1,G31) + COUNTIF(MachineINV2,G31))</f>
        <v/>
      </c>
      <c r="I31" s="27"/>
      <c r="J31" s="26" t="str">
        <f>IF(I31="","",COUNTIF(MachineINV1,I31) + COUNTIF(MachineINV2,I31))</f>
        <v/>
      </c>
      <c r="N31" s="20"/>
      <c r="U31" s="110"/>
      <c r="V31" s="110"/>
    </row>
    <row r="32" spans="1:25" ht="18" customHeight="1">
      <c r="E32" s="51" t="s">
        <v>18</v>
      </c>
      <c r="F32" s="114">
        <f>SUM(F27:F31)+SUM(H27:H31)+SUM(J27:J31)</f>
        <v>0</v>
      </c>
      <c r="G32" s="115"/>
      <c r="H32" s="115"/>
      <c r="I32" s="115"/>
      <c r="J32" s="116"/>
      <c r="N32" s="20"/>
      <c r="Q32" s="108" t="s">
        <v>47</v>
      </c>
      <c r="R32" s="109"/>
      <c r="S32" s="109"/>
      <c r="T32" s="38"/>
      <c r="U32" s="111"/>
      <c r="V32" s="111"/>
    </row>
    <row r="33" spans="1:22" ht="18" customHeight="1">
      <c r="N33" s="20"/>
      <c r="T33" s="37"/>
      <c r="U33" s="21"/>
      <c r="V33" s="21"/>
    </row>
    <row r="34" spans="1:22" ht="16.5" customHeight="1">
      <c r="U34" s="117"/>
      <c r="V34" s="117"/>
    </row>
    <row r="35" spans="1:22" ht="18" customHeight="1" thickBot="1">
      <c r="Q35" s="108" t="s">
        <v>48</v>
      </c>
      <c r="R35" s="109"/>
      <c r="S35" s="109"/>
      <c r="T35" s="38"/>
      <c r="U35" s="118"/>
      <c r="V35" s="118"/>
    </row>
    <row r="36" spans="1:22" ht="18" customHeight="1">
      <c r="A36" s="87" t="s">
        <v>34</v>
      </c>
      <c r="B36" s="88"/>
      <c r="C36" s="88"/>
      <c r="D36" s="89"/>
      <c r="E36" s="90"/>
      <c r="F36" s="91"/>
      <c r="T36" s="37"/>
      <c r="U36" s="21"/>
      <c r="V36" s="21"/>
    </row>
    <row r="37" spans="1:22" ht="18" customHeight="1">
      <c r="A37" s="66"/>
      <c r="B37" s="65"/>
      <c r="C37" s="65"/>
      <c r="D37" s="84"/>
      <c r="E37" s="85"/>
      <c r="F37" s="86"/>
      <c r="U37" s="101"/>
      <c r="V37" s="101"/>
    </row>
    <row r="38" spans="1:22" ht="13.5" customHeight="1">
      <c r="A38" s="64" t="s">
        <v>35</v>
      </c>
      <c r="B38" s="65"/>
      <c r="C38" s="65"/>
      <c r="D38" s="81"/>
      <c r="E38" s="82"/>
      <c r="F38" s="83"/>
      <c r="Q38" s="108" t="s">
        <v>49</v>
      </c>
      <c r="R38" s="109"/>
      <c r="S38" s="109"/>
      <c r="T38" s="38"/>
      <c r="U38" s="102"/>
      <c r="V38" s="102"/>
    </row>
    <row r="39" spans="1:22" ht="13.5" customHeight="1">
      <c r="A39" s="66"/>
      <c r="B39" s="65"/>
      <c r="C39" s="65"/>
      <c r="D39" s="84"/>
      <c r="E39" s="85"/>
      <c r="F39" s="86"/>
      <c r="T39" s="37"/>
    </row>
    <row r="40" spans="1:22" ht="13.5" customHeight="1">
      <c r="A40" s="64" t="s">
        <v>36</v>
      </c>
      <c r="B40" s="65"/>
      <c r="C40" s="65"/>
      <c r="D40" s="81"/>
      <c r="E40" s="82"/>
      <c r="F40" s="83"/>
    </row>
    <row r="41" spans="1:22" ht="13.5" customHeight="1">
      <c r="A41" s="66"/>
      <c r="B41" s="65"/>
      <c r="C41" s="65"/>
      <c r="D41" s="84"/>
      <c r="E41" s="85"/>
      <c r="F41" s="86"/>
    </row>
    <row r="42" spans="1:22" ht="13.5" customHeight="1">
      <c r="A42" s="64" t="s">
        <v>37</v>
      </c>
      <c r="B42" s="65"/>
      <c r="C42" s="65"/>
      <c r="D42" s="81" t="e">
        <f>IF(TtlGSD=0,0,ROUND(3600*D40/TtlGSD,0))</f>
        <v>#NAME?</v>
      </c>
      <c r="E42" s="82"/>
      <c r="F42" s="83"/>
    </row>
    <row r="43" spans="1:22" ht="13.5" customHeight="1">
      <c r="A43" s="66"/>
      <c r="B43" s="65"/>
      <c r="C43" s="65"/>
      <c r="D43" s="84"/>
      <c r="E43" s="85"/>
      <c r="F43" s="86"/>
    </row>
    <row r="44" spans="1:22">
      <c r="A44" s="64" t="s">
        <v>38</v>
      </c>
      <c r="B44" s="65"/>
      <c r="C44" s="65"/>
      <c r="D44" s="81" t="e">
        <f>ROUND(D42*D38,0)</f>
        <v>#NAME?</v>
      </c>
      <c r="E44" s="82"/>
      <c r="F44" s="83"/>
    </row>
    <row r="45" spans="1:22" ht="13.5" customHeight="1">
      <c r="A45" s="66"/>
      <c r="B45" s="65"/>
      <c r="C45" s="65"/>
      <c r="D45" s="84"/>
      <c r="E45" s="85"/>
      <c r="F45" s="86"/>
    </row>
    <row r="46" spans="1:22" ht="13.5" customHeight="1">
      <c r="A46" s="64" t="s">
        <v>39</v>
      </c>
      <c r="B46" s="65"/>
      <c r="C46" s="65"/>
      <c r="D46" s="81" t="e">
        <f>IF(D44=0,0,ROUND(D38*3600/D44,0))</f>
        <v>#NAME?</v>
      </c>
      <c r="E46" s="82"/>
      <c r="F46" s="83"/>
    </row>
    <row r="47" spans="1:22" ht="13.5" customHeight="1">
      <c r="A47" s="66"/>
      <c r="B47" s="65"/>
      <c r="C47" s="65"/>
      <c r="D47" s="84"/>
      <c r="E47" s="85"/>
      <c r="F47" s="86"/>
    </row>
    <row r="48" spans="1:22" ht="13.5" customHeight="1">
      <c r="A48" s="64" t="s">
        <v>26</v>
      </c>
      <c r="B48" s="65"/>
      <c r="C48" s="65"/>
      <c r="D48" s="81" t="e">
        <f>ROUND(3600/MaxTMS,2)</f>
        <v>#NAME?</v>
      </c>
      <c r="E48" s="82"/>
      <c r="F48" s="83"/>
    </row>
    <row r="49" spans="1:6" ht="13.5" customHeight="1">
      <c r="A49" s="66"/>
      <c r="B49" s="65"/>
      <c r="C49" s="65"/>
      <c r="D49" s="84"/>
      <c r="E49" s="85"/>
      <c r="F49" s="86"/>
    </row>
    <row r="50" spans="1:6" ht="13.5" customHeight="1">
      <c r="A50" s="64" t="s">
        <v>27</v>
      </c>
      <c r="B50" s="65"/>
      <c r="C50" s="65"/>
      <c r="D50" s="81" t="e">
        <f>TtlTMS</f>
        <v>#NAME?</v>
      </c>
      <c r="E50" s="82"/>
      <c r="F50" s="83"/>
    </row>
    <row r="51" spans="1:6" ht="13.5" customHeight="1">
      <c r="A51" s="66"/>
      <c r="B51" s="65"/>
      <c r="C51" s="65"/>
      <c r="D51" s="84"/>
      <c r="E51" s="85"/>
      <c r="F51" s="86"/>
    </row>
    <row r="52" spans="1:6" ht="13.5" customHeight="1">
      <c r="A52" s="64" t="s">
        <v>28</v>
      </c>
      <c r="B52" s="65"/>
      <c r="C52" s="65"/>
      <c r="D52" s="81" t="e">
        <f>TtlGSD</f>
        <v>#NAME?</v>
      </c>
      <c r="E52" s="82"/>
      <c r="F52" s="83"/>
    </row>
    <row r="53" spans="1:6" ht="13.5" customHeight="1">
      <c r="A53" s="66"/>
      <c r="B53" s="65"/>
      <c r="C53" s="65"/>
      <c r="D53" s="84"/>
      <c r="E53" s="85"/>
      <c r="F53" s="86"/>
    </row>
    <row r="54" spans="1:6">
      <c r="A54" s="64" t="s">
        <v>29</v>
      </c>
      <c r="B54" s="65"/>
      <c r="C54" s="65"/>
      <c r="D54" s="67" t="e">
        <f>IF(D52=0,0,(D52-D50)/D52)</f>
        <v>#NAME?</v>
      </c>
      <c r="E54" s="68"/>
      <c r="F54" s="69"/>
    </row>
    <row r="55" spans="1:6">
      <c r="A55" s="66"/>
      <c r="B55" s="65"/>
      <c r="C55" s="65"/>
      <c r="D55" s="70"/>
      <c r="E55" s="71"/>
      <c r="F55" s="72"/>
    </row>
    <row r="56" spans="1:6">
      <c r="A56" s="64" t="s">
        <v>30</v>
      </c>
      <c r="B56" s="65"/>
      <c r="C56" s="65"/>
      <c r="D56" s="67" t="e">
        <f>IF(OR(D40=0,MaxTMS=0),0,D50/MaxTMS/D40)</f>
        <v>#NAME?</v>
      </c>
      <c r="E56" s="68"/>
      <c r="F56" s="69"/>
    </row>
    <row r="57" spans="1:6">
      <c r="A57" s="66"/>
      <c r="B57" s="65"/>
      <c r="C57" s="65"/>
      <c r="D57" s="70"/>
      <c r="E57" s="71"/>
      <c r="F57" s="72"/>
    </row>
    <row r="58" spans="1:6" ht="16.5" customHeight="1">
      <c r="A58" s="64" t="s">
        <v>31</v>
      </c>
      <c r="B58" s="65"/>
      <c r="C58" s="65"/>
      <c r="D58" s="67" t="e">
        <f>IF(OR(D46=0,D40=0),0,D50/D46/D40)</f>
        <v>#NAME?</v>
      </c>
      <c r="E58" s="68"/>
      <c r="F58" s="69"/>
    </row>
    <row r="59" spans="1:6" ht="16.5" customHeight="1">
      <c r="A59" s="66"/>
      <c r="B59" s="65"/>
      <c r="C59" s="65"/>
      <c r="D59" s="70"/>
      <c r="E59" s="71"/>
      <c r="F59" s="72"/>
    </row>
    <row r="60" spans="1:6" ht="16.5" customHeight="1">
      <c r="A60" s="64" t="s">
        <v>32</v>
      </c>
      <c r="B60" s="65"/>
      <c r="C60" s="65"/>
      <c r="D60" s="67" t="e">
        <f>IF(OR(MaxTMS=0,D40=0),0,D52/MaxTMS/D40)</f>
        <v>#NAME?</v>
      </c>
      <c r="E60" s="68"/>
      <c r="F60" s="69"/>
    </row>
    <row r="61" spans="1:6" ht="16.5" customHeight="1">
      <c r="A61" s="66"/>
      <c r="B61" s="65"/>
      <c r="C61" s="65"/>
      <c r="D61" s="70"/>
      <c r="E61" s="71"/>
      <c r="F61" s="72"/>
    </row>
    <row r="62" spans="1:6" ht="16.5" customHeight="1">
      <c r="A62" s="64" t="s">
        <v>33</v>
      </c>
      <c r="B62" s="65"/>
      <c r="C62" s="65"/>
      <c r="D62" s="75" t="e">
        <f>IF(OR(MaxTMS=0,D40=0),0,ROUND(3600/MaxTMS,2)*F9/D40)</f>
        <v>#NAME?</v>
      </c>
      <c r="E62" s="76"/>
      <c r="F62" s="77"/>
    </row>
    <row r="63" spans="1:6" ht="16.5" customHeight="1" thickBot="1">
      <c r="A63" s="73"/>
      <c r="B63" s="74"/>
      <c r="C63" s="74"/>
      <c r="D63" s="78"/>
      <c r="E63" s="79"/>
      <c r="F63" s="8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89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U28:V29"/>
    <mergeCell ref="A29:B30"/>
    <mergeCell ref="C29:D30"/>
    <mergeCell ref="Q29:S29"/>
    <mergeCell ref="T17:T18"/>
    <mergeCell ref="U17:V18"/>
    <mergeCell ref="A40:C41"/>
    <mergeCell ref="D40:F41"/>
    <mergeCell ref="A42:C43"/>
    <mergeCell ref="E26:J26"/>
    <mergeCell ref="A27:B28"/>
    <mergeCell ref="C27:D28"/>
    <mergeCell ref="A36:C37"/>
    <mergeCell ref="D36:F37"/>
    <mergeCell ref="U37:V38"/>
    <mergeCell ref="A38:C39"/>
    <mergeCell ref="D38:F39"/>
    <mergeCell ref="Q38:S38"/>
    <mergeCell ref="U31:V32"/>
    <mergeCell ref="F32:J32"/>
    <mergeCell ref="Q32:S32"/>
    <mergeCell ref="U34:V35"/>
    <mergeCell ref="Q35:S35"/>
    <mergeCell ref="D42:F43"/>
    <mergeCell ref="A46:C47"/>
    <mergeCell ref="D46:F47"/>
    <mergeCell ref="A48:C49"/>
    <mergeCell ref="D48:F49"/>
    <mergeCell ref="A44:C45"/>
    <mergeCell ref="D44:F45"/>
    <mergeCell ref="A50:C51"/>
    <mergeCell ref="D50:F51"/>
    <mergeCell ref="A52:C53"/>
    <mergeCell ref="D52:F53"/>
    <mergeCell ref="A54:C55"/>
    <mergeCell ref="D54:F55"/>
    <mergeCell ref="A62:C63"/>
    <mergeCell ref="D62:F63"/>
    <mergeCell ref="A56:C57"/>
    <mergeCell ref="D56:F57"/>
    <mergeCell ref="A58:C59"/>
    <mergeCell ref="D58:F59"/>
    <mergeCell ref="A60:C61"/>
    <mergeCell ref="D60:F6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8.875" bestFit="1" customWidth="1"/>
    <col min="4" max="4" width="22.375" style="29" bestFit="1" customWidth="1"/>
  </cols>
  <sheetData>
    <row r="1" spans="1:5">
      <c r="A1" s="29" t="s">
        <v>23</v>
      </c>
      <c r="B1" s="29" t="s">
        <v>21</v>
      </c>
      <c r="C1" s="29" t="s">
        <v>22</v>
      </c>
      <c r="D1" s="29" t="s">
        <v>51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29" t="s">
        <v>23</v>
      </c>
      <c r="B1" s="29" t="s">
        <v>24</v>
      </c>
      <c r="C1" s="29" t="s">
        <v>25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topLeftCell="A40" zoomScale="65" zoomScaleNormal="65" workbookViewId="0">
      <selection activeCell="J57" sqref="J57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hidden="1" customWidth="1"/>
    <col min="27" max="27" width="6.75" style="15" hidden="1" customWidth="1"/>
    <col min="28" max="28" width="0.25" style="15" hidden="1" customWidth="1"/>
    <col min="29" max="29" width="8" style="15" hidden="1" customWidth="1"/>
    <col min="30" max="31" width="9" style="15" hidden="1" customWidth="1"/>
    <col min="32" max="16384" width="9" style="15"/>
  </cols>
  <sheetData>
    <row r="1" spans="1:25" ht="13.5" customHeight="1">
      <c r="A1" s="199" t="s">
        <v>10</v>
      </c>
      <c r="B1" s="200"/>
      <c r="C1" s="200"/>
      <c r="D1" s="200"/>
      <c r="E1" s="201"/>
      <c r="F1" s="202"/>
      <c r="G1" s="203"/>
    </row>
    <row r="2" spans="1:25" ht="13.5" customHeight="1">
      <c r="A2" s="186"/>
      <c r="B2" s="187"/>
      <c r="C2" s="187"/>
      <c r="D2" s="187"/>
      <c r="E2" s="188"/>
      <c r="F2" s="189"/>
      <c r="G2" s="190"/>
    </row>
    <row r="3" spans="1:25" ht="13.5" customHeight="1">
      <c r="A3" s="183" t="s">
        <v>0</v>
      </c>
      <c r="B3" s="184"/>
      <c r="C3" s="184"/>
      <c r="D3" s="184"/>
      <c r="E3" s="185"/>
      <c r="F3" s="204"/>
      <c r="G3" s="205"/>
    </row>
    <row r="4" spans="1:25" ht="13.5" customHeight="1">
      <c r="A4" s="186"/>
      <c r="B4" s="187"/>
      <c r="C4" s="187"/>
      <c r="D4" s="187"/>
      <c r="E4" s="188"/>
      <c r="F4" s="204"/>
      <c r="G4" s="205"/>
    </row>
    <row r="5" spans="1:25" ht="13.5" customHeight="1">
      <c r="A5" s="183" t="s">
        <v>11</v>
      </c>
      <c r="B5" s="184"/>
      <c r="C5" s="184"/>
      <c r="D5" s="184"/>
      <c r="E5" s="185"/>
      <c r="F5" s="189"/>
      <c r="G5" s="190"/>
    </row>
    <row r="6" spans="1:25" ht="13.5" customHeight="1">
      <c r="A6" s="186"/>
      <c r="B6" s="187"/>
      <c r="C6" s="187"/>
      <c r="D6" s="187"/>
      <c r="E6" s="188"/>
      <c r="F6" s="189"/>
      <c r="G6" s="190"/>
    </row>
    <row r="7" spans="1:25" ht="13.5" customHeight="1">
      <c r="A7" s="183" t="s">
        <v>1</v>
      </c>
      <c r="B7" s="184"/>
      <c r="C7" s="184"/>
      <c r="D7" s="184"/>
      <c r="E7" s="185"/>
      <c r="F7" s="189"/>
      <c r="G7" s="190"/>
    </row>
    <row r="8" spans="1:25" ht="26.25" customHeight="1">
      <c r="A8" s="186"/>
      <c r="B8" s="187"/>
      <c r="C8" s="187"/>
      <c r="D8" s="187"/>
      <c r="E8" s="188"/>
      <c r="F8" s="189"/>
      <c r="G8" s="190"/>
    </row>
    <row r="9" spans="1:25" ht="13.5" customHeight="1">
      <c r="A9" s="191" t="s">
        <v>12</v>
      </c>
      <c r="B9" s="184"/>
      <c r="C9" s="184"/>
      <c r="D9" s="184"/>
      <c r="E9" s="185"/>
      <c r="F9" s="195"/>
      <c r="G9" s="196"/>
    </row>
    <row r="10" spans="1:25" ht="13.5" customHeight="1" thickBot="1">
      <c r="A10" s="192"/>
      <c r="B10" s="193"/>
      <c r="C10" s="193"/>
      <c r="D10" s="193"/>
      <c r="E10" s="194"/>
      <c r="F10" s="197"/>
      <c r="G10" s="198"/>
    </row>
    <row r="11" spans="1:25" ht="17.25" thickBot="1"/>
    <row r="12" spans="1:25" ht="12.75" customHeight="1">
      <c r="A12" s="146" t="s">
        <v>13</v>
      </c>
      <c r="B12" s="149" t="s">
        <v>56</v>
      </c>
      <c r="C12" s="152" t="s">
        <v>2</v>
      </c>
      <c r="D12" s="152" t="s">
        <v>43</v>
      </c>
      <c r="E12" s="155" t="s">
        <v>15</v>
      </c>
      <c r="F12" s="155"/>
      <c r="G12" s="155"/>
      <c r="H12" s="155"/>
      <c r="I12" s="156"/>
      <c r="J12" s="174" t="s">
        <v>52</v>
      </c>
      <c r="K12" s="175"/>
      <c r="L12" s="180" t="s">
        <v>55</v>
      </c>
      <c r="N12" s="41"/>
      <c r="P12" s="146" t="s">
        <v>55</v>
      </c>
      <c r="Q12" s="155" t="s">
        <v>52</v>
      </c>
      <c r="R12" s="175"/>
      <c r="S12" s="152" t="s">
        <v>43</v>
      </c>
      <c r="T12" s="155" t="s">
        <v>15</v>
      </c>
      <c r="U12" s="155"/>
      <c r="V12" s="156"/>
      <c r="W12" s="152" t="s">
        <v>2</v>
      </c>
      <c r="X12" s="149" t="s">
        <v>56</v>
      </c>
      <c r="Y12" s="161" t="s">
        <v>13</v>
      </c>
    </row>
    <row r="13" spans="1:25" ht="12.75" customHeight="1">
      <c r="A13" s="147"/>
      <c r="B13" s="150"/>
      <c r="C13" s="153"/>
      <c r="D13" s="153"/>
      <c r="E13" s="157"/>
      <c r="F13" s="157"/>
      <c r="G13" s="157"/>
      <c r="H13" s="157"/>
      <c r="I13" s="158"/>
      <c r="J13" s="176"/>
      <c r="K13" s="177"/>
      <c r="L13" s="181"/>
      <c r="N13" s="41"/>
      <c r="P13" s="147"/>
      <c r="Q13" s="157"/>
      <c r="R13" s="177"/>
      <c r="S13" s="153"/>
      <c r="T13" s="157"/>
      <c r="U13" s="157"/>
      <c r="V13" s="158"/>
      <c r="W13" s="153"/>
      <c r="X13" s="150"/>
      <c r="Y13" s="162"/>
    </row>
    <row r="14" spans="1:25" ht="12.75" customHeight="1">
      <c r="A14" s="147"/>
      <c r="B14" s="150"/>
      <c r="C14" s="153"/>
      <c r="D14" s="153"/>
      <c r="E14" s="157"/>
      <c r="F14" s="157"/>
      <c r="G14" s="157"/>
      <c r="H14" s="157"/>
      <c r="I14" s="158"/>
      <c r="J14" s="176"/>
      <c r="K14" s="177"/>
      <c r="L14" s="181"/>
      <c r="N14" s="41"/>
      <c r="P14" s="147"/>
      <c r="Q14" s="157"/>
      <c r="R14" s="177"/>
      <c r="S14" s="153"/>
      <c r="T14" s="157"/>
      <c r="U14" s="157"/>
      <c r="V14" s="158"/>
      <c r="W14" s="153"/>
      <c r="X14" s="150"/>
      <c r="Y14" s="162"/>
    </row>
    <row r="15" spans="1:25" ht="12.75" customHeight="1" thickBot="1">
      <c r="A15" s="148"/>
      <c r="B15" s="151"/>
      <c r="C15" s="154"/>
      <c r="D15" s="154"/>
      <c r="E15" s="159"/>
      <c r="F15" s="159"/>
      <c r="G15" s="159"/>
      <c r="H15" s="159"/>
      <c r="I15" s="160"/>
      <c r="J15" s="178"/>
      <c r="K15" s="179"/>
      <c r="L15" s="182"/>
      <c r="N15" s="41"/>
      <c r="P15" s="148"/>
      <c r="Q15" s="159"/>
      <c r="R15" s="179"/>
      <c r="S15" s="154"/>
      <c r="T15" s="159"/>
      <c r="U15" s="159"/>
      <c r="V15" s="160"/>
      <c r="W15" s="154"/>
      <c r="X15" s="151"/>
      <c r="Y15" s="163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2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64" t="str">
        <f>IF(ISERROR((C17-B17)/C17),"",(C17-B17)/C17)</f>
        <v/>
      </c>
      <c r="B17" s="166">
        <f>SUM(B19:B21)</f>
        <v>0</v>
      </c>
      <c r="C17" s="168">
        <f>SUM(C19:C21)</f>
        <v>0</v>
      </c>
      <c r="D17" s="132"/>
      <c r="E17" s="138" t="s">
        <v>14</v>
      </c>
      <c r="F17" s="140"/>
      <c r="G17" s="170"/>
      <c r="H17" s="170"/>
      <c r="I17" s="141"/>
      <c r="J17" s="172"/>
      <c r="K17" s="122"/>
      <c r="L17" s="124"/>
      <c r="N17" s="41"/>
      <c r="P17" s="126"/>
      <c r="Q17" s="128"/>
      <c r="R17" s="130"/>
      <c r="S17" s="132"/>
      <c r="T17" s="138" t="s">
        <v>14</v>
      </c>
      <c r="U17" s="140"/>
      <c r="V17" s="141"/>
      <c r="W17" s="144">
        <f>SUM(W19:W21)</f>
        <v>0</v>
      </c>
      <c r="X17" s="134">
        <f>SUM(X19:X21)</f>
        <v>0</v>
      </c>
      <c r="Y17" s="136" t="str">
        <f>IF(ISERROR((W17-X17)/W17),"",(W17-X17)/W17)</f>
        <v/>
      </c>
    </row>
    <row r="18" spans="1:25" s="17" customFormat="1" ht="13.5" customHeight="1">
      <c r="A18" s="165"/>
      <c r="B18" s="167"/>
      <c r="C18" s="169"/>
      <c r="D18" s="133"/>
      <c r="E18" s="139"/>
      <c r="F18" s="142"/>
      <c r="G18" s="171"/>
      <c r="H18" s="171"/>
      <c r="I18" s="143"/>
      <c r="J18" s="173"/>
      <c r="K18" s="123"/>
      <c r="L18" s="125"/>
      <c r="N18" s="41"/>
      <c r="P18" s="127"/>
      <c r="Q18" s="129"/>
      <c r="R18" s="131"/>
      <c r="S18" s="133"/>
      <c r="T18" s="139"/>
      <c r="U18" s="142"/>
      <c r="V18" s="143"/>
      <c r="W18" s="145"/>
      <c r="X18" s="135"/>
      <c r="Y18" s="137"/>
    </row>
    <row r="19" spans="1:25" s="17" customFormat="1" ht="26.25" customHeight="1">
      <c r="A19" s="92" t="str">
        <f>IF(ISERROR(IF(B17="",3600/C17,3600/B17)),"",IF(B17="",3600/C17,3600/B17))</f>
        <v/>
      </c>
      <c r="B19" s="22"/>
      <c r="C19" s="23"/>
      <c r="D19" s="31"/>
      <c r="E19" s="95"/>
      <c r="F19" s="96"/>
      <c r="G19" s="96"/>
      <c r="H19" s="96"/>
      <c r="I19" s="97"/>
      <c r="J19" s="35"/>
      <c r="K19" s="39"/>
      <c r="L19" s="43"/>
      <c r="N19" s="41"/>
      <c r="P19" s="45"/>
      <c r="Q19" s="39"/>
      <c r="R19" s="33"/>
      <c r="S19" s="31"/>
      <c r="T19" s="53"/>
      <c r="U19" s="54"/>
      <c r="V19" s="54"/>
      <c r="W19" s="23"/>
      <c r="X19" s="22"/>
      <c r="Y19" s="119" t="str">
        <f>IF(ISERROR(IF(X17="",3600/W17,3600/X17)),"",IF(X17="",3600/W17,3600/X17))</f>
        <v/>
      </c>
    </row>
    <row r="20" spans="1:25" s="17" customFormat="1" ht="22.5">
      <c r="A20" s="93"/>
      <c r="B20" s="22"/>
      <c r="C20" s="23"/>
      <c r="D20" s="31"/>
      <c r="E20" s="95"/>
      <c r="F20" s="96"/>
      <c r="G20" s="96"/>
      <c r="H20" s="96"/>
      <c r="I20" s="97"/>
      <c r="J20" s="35"/>
      <c r="K20" s="39"/>
      <c r="L20" s="43"/>
      <c r="N20" s="41"/>
      <c r="P20" s="45"/>
      <c r="Q20" s="39"/>
      <c r="R20" s="33"/>
      <c r="S20" s="31"/>
      <c r="T20" s="53"/>
      <c r="U20" s="54"/>
      <c r="V20" s="54"/>
      <c r="W20" s="23"/>
      <c r="X20" s="22"/>
      <c r="Y20" s="120"/>
    </row>
    <row r="21" spans="1:25" s="17" customFormat="1" ht="26.25" customHeight="1" thickBot="1">
      <c r="A21" s="94"/>
      <c r="B21" s="24"/>
      <c r="C21" s="25"/>
      <c r="D21" s="32"/>
      <c r="E21" s="95"/>
      <c r="F21" s="96"/>
      <c r="G21" s="96"/>
      <c r="H21" s="96"/>
      <c r="I21" s="97"/>
      <c r="J21" s="34"/>
      <c r="K21" s="40"/>
      <c r="L21" s="44"/>
      <c r="N21" s="41"/>
      <c r="P21" s="46"/>
      <c r="Q21" s="40"/>
      <c r="R21" s="36"/>
      <c r="S21" s="32"/>
      <c r="T21" s="53"/>
      <c r="U21" s="54"/>
      <c r="V21" s="54"/>
      <c r="W21" s="23" t="s">
        <v>3</v>
      </c>
      <c r="X21" s="24"/>
      <c r="Y21" s="121"/>
    </row>
    <row r="24" spans="1:25" ht="18" customHeight="1">
      <c r="N24" s="19"/>
    </row>
    <row r="25" spans="1:25" ht="18" customHeight="1">
      <c r="N25" s="18"/>
    </row>
    <row r="26" spans="1:25" ht="18" customHeight="1">
      <c r="E26" s="98" t="s">
        <v>19</v>
      </c>
      <c r="F26" s="99"/>
      <c r="G26" s="99"/>
      <c r="H26" s="99"/>
      <c r="I26" s="99"/>
      <c r="J26" s="100"/>
      <c r="N26" s="20"/>
    </row>
    <row r="27" spans="1:25" ht="18" customHeight="1">
      <c r="A27" s="103" t="s">
        <v>41</v>
      </c>
      <c r="B27" s="103"/>
      <c r="C27" s="104" t="e">
        <f>COUNTIF(MachineAttachmentTemplateL,"*"&amp;A27&amp;"*")+COUNTIF(MachineAttachmentTemplateR,"*"&amp;A27&amp;"*")</f>
        <v>#NAME?</v>
      </c>
      <c r="D27" s="105"/>
      <c r="E27" s="52"/>
      <c r="F27" s="26" t="str">
        <f>IF(E27="","",COUNTIF(MachineINV1,E27) + COUNTIF(MachineINV2,E27))</f>
        <v/>
      </c>
      <c r="G27" s="52"/>
      <c r="H27" s="26" t="str">
        <f>IF(G27="","",COUNTIF(MachineINV1,G27) + COUNTIF(MachineINV2,G27))</f>
        <v/>
      </c>
      <c r="I27" s="27"/>
      <c r="J27" s="26" t="str">
        <f>IF(I27="","",COUNTIF(MachineINV1,I27) + COUNTIF(MachineINV2,I27))</f>
        <v/>
      </c>
      <c r="N27" s="20"/>
    </row>
    <row r="28" spans="1:25" ht="18" customHeight="1">
      <c r="A28" s="103"/>
      <c r="B28" s="103"/>
      <c r="C28" s="106"/>
      <c r="D28" s="107"/>
      <c r="E28" s="52"/>
      <c r="F28" s="26" t="str">
        <f>IF(E28="","",COUNTIF(MachineINV1,E28) + COUNTIF(MachineINV2,E28))</f>
        <v/>
      </c>
      <c r="G28" s="52"/>
      <c r="H28" s="26" t="str">
        <f>IF(G28="","",COUNTIF(MachineINV1,G28) + COUNTIF(MachineINV2,G28))</f>
        <v/>
      </c>
      <c r="I28" s="27"/>
      <c r="J28" s="26" t="str">
        <f>IF(I28="","",COUNTIF(MachineINV1,I28) + COUNTIF(MachineINV2,I28))</f>
        <v/>
      </c>
      <c r="N28" s="20"/>
      <c r="U28" s="112"/>
      <c r="V28" s="112"/>
    </row>
    <row r="29" spans="1:25" ht="18" customHeight="1">
      <c r="A29" s="103" t="s">
        <v>20</v>
      </c>
      <c r="B29" s="103"/>
      <c r="C29" s="104" t="e">
        <f>COUNTIF(MachineAttachmentTemplateL,"*"&amp;A29&amp;"*")+COUNTIF(MachineAttachmentTemplateR,"*"&amp;A29&amp;"*")</f>
        <v>#NAME?</v>
      </c>
      <c r="D29" s="105"/>
      <c r="E29" s="52"/>
      <c r="F29" s="26" t="str">
        <f>IF(E29="","",COUNTIF(MachineINV1,E29) + COUNTIF(MachineINV2,E29))</f>
        <v/>
      </c>
      <c r="G29" s="52"/>
      <c r="H29" s="26" t="str">
        <f>IF(G29="","",COUNTIF(MachineINV1,G29) + COUNTIF(MachineINV2,G29))</f>
        <v/>
      </c>
      <c r="I29" s="27"/>
      <c r="J29" s="26" t="str">
        <f>IF(I29="","",COUNTIF(MachineINV1,I29) + COUNTIF(MachineINV2,I29))</f>
        <v/>
      </c>
      <c r="N29" s="20"/>
      <c r="Q29" s="108" t="s">
        <v>46</v>
      </c>
      <c r="R29" s="109"/>
      <c r="S29" s="109"/>
      <c r="T29" s="38"/>
      <c r="U29" s="113"/>
      <c r="V29" s="113"/>
    </row>
    <row r="30" spans="1:25" ht="18" customHeight="1">
      <c r="A30" s="103"/>
      <c r="B30" s="103"/>
      <c r="C30" s="106"/>
      <c r="D30" s="107"/>
      <c r="E30" s="52"/>
      <c r="F30" s="26" t="str">
        <f>IF(E30="","",COUNTIF(MachineINV1,E30) + COUNTIF(MachineINV2,E30))</f>
        <v/>
      </c>
      <c r="G30" s="27"/>
      <c r="H30" s="26" t="str">
        <f>IF(G30="","",COUNTIF(MachineINV1,G30) + COUNTIF(MachineINV2,G30))</f>
        <v/>
      </c>
      <c r="I30" s="27"/>
      <c r="J30" s="26" t="str">
        <f>IF(I30="","",COUNTIF(MachineINV1,I30) + COUNTIF(MachineINV2,I30))</f>
        <v/>
      </c>
      <c r="N30" s="20"/>
      <c r="T30" s="37"/>
    </row>
    <row r="31" spans="1:25" ht="18" customHeight="1">
      <c r="E31" s="52"/>
      <c r="F31" s="26" t="str">
        <f>IF(E31="","",COUNTIF(MachineINV1,E31) + COUNTIF(MachineINV2,E31))</f>
        <v/>
      </c>
      <c r="G31" s="27"/>
      <c r="H31" s="26" t="str">
        <f>IF(G31="","",COUNTIF(MachineINV1,G31) + COUNTIF(MachineINV2,G31))</f>
        <v/>
      </c>
      <c r="I31" s="27"/>
      <c r="J31" s="26" t="str">
        <f>IF(I31="","",COUNTIF(MachineINV1,I31) + COUNTIF(MachineINV2,I31))</f>
        <v/>
      </c>
      <c r="N31" s="20"/>
      <c r="U31" s="110"/>
      <c r="V31" s="110"/>
    </row>
    <row r="32" spans="1:25" ht="18" customHeight="1">
      <c r="E32" s="51" t="s">
        <v>18</v>
      </c>
      <c r="F32" s="114">
        <f>SUM(F27:F31)+SUM(H27:H31)+SUM(J27:J31)</f>
        <v>0</v>
      </c>
      <c r="G32" s="115"/>
      <c r="H32" s="115"/>
      <c r="I32" s="115"/>
      <c r="J32" s="116"/>
      <c r="N32" s="20"/>
      <c r="Q32" s="108" t="s">
        <v>47</v>
      </c>
      <c r="R32" s="109"/>
      <c r="S32" s="109"/>
      <c r="T32" s="38"/>
      <c r="U32" s="111"/>
      <c r="V32" s="111"/>
    </row>
    <row r="33" spans="1:22" ht="18" customHeight="1">
      <c r="N33" s="20"/>
      <c r="T33" s="37"/>
      <c r="U33" s="21"/>
      <c r="V33" s="21"/>
    </row>
    <row r="34" spans="1:22" ht="16.5" customHeight="1">
      <c r="U34" s="117"/>
      <c r="V34" s="117"/>
    </row>
    <row r="35" spans="1:22" ht="18" customHeight="1" thickBot="1">
      <c r="Q35" s="108" t="s">
        <v>48</v>
      </c>
      <c r="R35" s="109"/>
      <c r="S35" s="109"/>
      <c r="T35" s="38"/>
      <c r="U35" s="118"/>
      <c r="V35" s="118"/>
    </row>
    <row r="36" spans="1:22" ht="18" customHeight="1">
      <c r="A36" s="87" t="s">
        <v>34</v>
      </c>
      <c r="B36" s="88"/>
      <c r="C36" s="88"/>
      <c r="D36" s="89"/>
      <c r="E36" s="90"/>
      <c r="F36" s="91"/>
      <c r="T36" s="37"/>
      <c r="U36" s="21"/>
      <c r="V36" s="21"/>
    </row>
    <row r="37" spans="1:22" ht="18" customHeight="1">
      <c r="A37" s="66"/>
      <c r="B37" s="65"/>
      <c r="C37" s="65"/>
      <c r="D37" s="84"/>
      <c r="E37" s="85"/>
      <c r="F37" s="86"/>
      <c r="U37" s="101"/>
      <c r="V37" s="101"/>
    </row>
    <row r="38" spans="1:22" ht="13.5" customHeight="1">
      <c r="A38" s="64" t="s">
        <v>35</v>
      </c>
      <c r="B38" s="65"/>
      <c r="C38" s="65"/>
      <c r="D38" s="81"/>
      <c r="E38" s="82"/>
      <c r="F38" s="83"/>
      <c r="Q38" s="108" t="s">
        <v>49</v>
      </c>
      <c r="R38" s="109"/>
      <c r="S38" s="109"/>
      <c r="T38" s="38"/>
      <c r="U38" s="102"/>
      <c r="V38" s="102"/>
    </row>
    <row r="39" spans="1:22" ht="13.5" customHeight="1">
      <c r="A39" s="66"/>
      <c r="B39" s="65"/>
      <c r="C39" s="65"/>
      <c r="D39" s="84"/>
      <c r="E39" s="85"/>
      <c r="F39" s="86"/>
      <c r="T39" s="37"/>
    </row>
    <row r="40" spans="1:22" ht="13.5" customHeight="1">
      <c r="A40" s="64" t="s">
        <v>36</v>
      </c>
      <c r="B40" s="65"/>
      <c r="C40" s="65"/>
      <c r="D40" s="81"/>
      <c r="E40" s="82"/>
      <c r="F40" s="83"/>
    </row>
    <row r="41" spans="1:22" ht="13.5" customHeight="1">
      <c r="A41" s="66"/>
      <c r="B41" s="65"/>
      <c r="C41" s="65"/>
      <c r="D41" s="84"/>
      <c r="E41" s="85"/>
      <c r="F41" s="86"/>
    </row>
    <row r="42" spans="1:22" ht="13.5" customHeight="1">
      <c r="A42" s="64" t="s">
        <v>37</v>
      </c>
      <c r="B42" s="65"/>
      <c r="C42" s="65"/>
      <c r="D42" s="81" t="e">
        <f>IF(TtlGSD=0,0,ROUND(3600*D40/TtlGSD,0))</f>
        <v>#NAME?</v>
      </c>
      <c r="E42" s="82"/>
      <c r="F42" s="83"/>
    </row>
    <row r="43" spans="1:22" ht="13.5" customHeight="1">
      <c r="A43" s="66"/>
      <c r="B43" s="65"/>
      <c r="C43" s="65"/>
      <c r="D43" s="84"/>
      <c r="E43" s="85"/>
      <c r="F43" s="86"/>
    </row>
    <row r="44" spans="1:22">
      <c r="A44" s="64" t="s">
        <v>38</v>
      </c>
      <c r="B44" s="65"/>
      <c r="C44" s="65"/>
      <c r="D44" s="81" t="e">
        <f>ROUND(D42*D38,0)</f>
        <v>#NAME?</v>
      </c>
      <c r="E44" s="82"/>
      <c r="F44" s="83"/>
    </row>
    <row r="45" spans="1:22" ht="13.5" customHeight="1">
      <c r="A45" s="66"/>
      <c r="B45" s="65"/>
      <c r="C45" s="65"/>
      <c r="D45" s="84"/>
      <c r="E45" s="85"/>
      <c r="F45" s="86"/>
    </row>
    <row r="46" spans="1:22" ht="13.5" customHeight="1">
      <c r="A46" s="64" t="s">
        <v>39</v>
      </c>
      <c r="B46" s="65"/>
      <c r="C46" s="65"/>
      <c r="D46" s="81" t="e">
        <f>IF(D44=0,0,ROUND(D38*3600/D44,0))</f>
        <v>#NAME?</v>
      </c>
      <c r="E46" s="82"/>
      <c r="F46" s="83"/>
    </row>
    <row r="47" spans="1:22" ht="13.5" customHeight="1">
      <c r="A47" s="66"/>
      <c r="B47" s="65"/>
      <c r="C47" s="65"/>
      <c r="D47" s="84"/>
      <c r="E47" s="85"/>
      <c r="F47" s="86"/>
    </row>
    <row r="48" spans="1:22" ht="13.5" customHeight="1">
      <c r="A48" s="64" t="s">
        <v>26</v>
      </c>
      <c r="B48" s="65"/>
      <c r="C48" s="65"/>
      <c r="D48" s="81" t="e">
        <f>ROUND(3600/MaxTMS,2)</f>
        <v>#NAME?</v>
      </c>
      <c r="E48" s="82"/>
      <c r="F48" s="83"/>
    </row>
    <row r="49" spans="1:6" ht="13.5" customHeight="1">
      <c r="A49" s="66"/>
      <c r="B49" s="65"/>
      <c r="C49" s="65"/>
      <c r="D49" s="84"/>
      <c r="E49" s="85"/>
      <c r="F49" s="86"/>
    </row>
    <row r="50" spans="1:6" ht="13.5" customHeight="1">
      <c r="A50" s="64" t="s">
        <v>27</v>
      </c>
      <c r="B50" s="65"/>
      <c r="C50" s="65"/>
      <c r="D50" s="81" t="e">
        <f>TtlTMS</f>
        <v>#NAME?</v>
      </c>
      <c r="E50" s="82"/>
      <c r="F50" s="83"/>
    </row>
    <row r="51" spans="1:6" ht="13.5" customHeight="1">
      <c r="A51" s="66"/>
      <c r="B51" s="65"/>
      <c r="C51" s="65"/>
      <c r="D51" s="84"/>
      <c r="E51" s="85"/>
      <c r="F51" s="86"/>
    </row>
    <row r="52" spans="1:6" ht="13.5" customHeight="1">
      <c r="A52" s="64" t="s">
        <v>28</v>
      </c>
      <c r="B52" s="65"/>
      <c r="C52" s="65"/>
      <c r="D52" s="81" t="e">
        <f>TtlGSD</f>
        <v>#NAME?</v>
      </c>
      <c r="E52" s="82"/>
      <c r="F52" s="83"/>
    </row>
    <row r="53" spans="1:6" ht="13.5" customHeight="1">
      <c r="A53" s="66"/>
      <c r="B53" s="65"/>
      <c r="C53" s="65"/>
      <c r="D53" s="84"/>
      <c r="E53" s="85"/>
      <c r="F53" s="86"/>
    </row>
    <row r="54" spans="1:6">
      <c r="A54" s="64" t="s">
        <v>29</v>
      </c>
      <c r="B54" s="65"/>
      <c r="C54" s="65"/>
      <c r="D54" s="67" t="e">
        <f>IF(D52=0,0,(D52-D50)/D52)</f>
        <v>#NAME?</v>
      </c>
      <c r="E54" s="68"/>
      <c r="F54" s="69"/>
    </row>
    <row r="55" spans="1:6">
      <c r="A55" s="66"/>
      <c r="B55" s="65"/>
      <c r="C55" s="65"/>
      <c r="D55" s="70"/>
      <c r="E55" s="71"/>
      <c r="F55" s="72"/>
    </row>
    <row r="56" spans="1:6">
      <c r="A56" s="64" t="s">
        <v>30</v>
      </c>
      <c r="B56" s="65"/>
      <c r="C56" s="65"/>
      <c r="D56" s="67" t="e">
        <f>IF(OR(D40=0,MaxTMS=0),0,D50/MaxTMS/D40)</f>
        <v>#NAME?</v>
      </c>
      <c r="E56" s="68"/>
      <c r="F56" s="69"/>
    </row>
    <row r="57" spans="1:6">
      <c r="A57" s="66"/>
      <c r="B57" s="65"/>
      <c r="C57" s="65"/>
      <c r="D57" s="70"/>
      <c r="E57" s="71"/>
      <c r="F57" s="72"/>
    </row>
    <row r="58" spans="1:6" ht="16.5" customHeight="1">
      <c r="A58" s="64" t="s">
        <v>31</v>
      </c>
      <c r="B58" s="65"/>
      <c r="C58" s="65"/>
      <c r="D58" s="67" t="e">
        <f>IF(OR(D46=0,D40=0),0,D50/D46/D40)</f>
        <v>#NAME?</v>
      </c>
      <c r="E58" s="68"/>
      <c r="F58" s="69"/>
    </row>
    <row r="59" spans="1:6" ht="16.5" customHeight="1">
      <c r="A59" s="66"/>
      <c r="B59" s="65"/>
      <c r="C59" s="65"/>
      <c r="D59" s="70"/>
      <c r="E59" s="71"/>
      <c r="F59" s="72"/>
    </row>
    <row r="60" spans="1:6" ht="16.5" customHeight="1">
      <c r="A60" s="64" t="s">
        <v>32</v>
      </c>
      <c r="B60" s="65"/>
      <c r="C60" s="65"/>
      <c r="D60" s="67" t="e">
        <f>IF(OR(MaxTMS=0,D40=0),0,D52/MaxTMS/D40)</f>
        <v>#NAME?</v>
      </c>
      <c r="E60" s="68"/>
      <c r="F60" s="69"/>
    </row>
    <row r="61" spans="1:6" ht="16.5" customHeight="1">
      <c r="A61" s="66"/>
      <c r="B61" s="65"/>
      <c r="C61" s="65"/>
      <c r="D61" s="70"/>
      <c r="E61" s="71"/>
      <c r="F61" s="72"/>
    </row>
    <row r="62" spans="1:6" ht="16.5" customHeight="1">
      <c r="A62" s="64" t="s">
        <v>33</v>
      </c>
      <c r="B62" s="65"/>
      <c r="C62" s="65"/>
      <c r="D62" s="75" t="e">
        <f>IF(OR(MaxTMS=0,D40=0),0,ROUND(3600/MaxTMS,2)*F9/D40)</f>
        <v>#NAME?</v>
      </c>
      <c r="E62" s="76"/>
      <c r="F62" s="77"/>
    </row>
    <row r="63" spans="1:6" ht="16.5" customHeight="1" thickBot="1">
      <c r="A63" s="73"/>
      <c r="B63" s="74"/>
      <c r="C63" s="74"/>
      <c r="D63" s="78"/>
      <c r="E63" s="79"/>
      <c r="F63" s="8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11" t="s">
        <v>15</v>
      </c>
      <c r="B92" s="211"/>
      <c r="C92" s="211"/>
      <c r="D92" s="59"/>
      <c r="E92" s="212" t="s">
        <v>16</v>
      </c>
      <c r="F92" s="212"/>
      <c r="G92" s="212"/>
      <c r="H92" s="212"/>
      <c r="I92" s="212"/>
      <c r="J92" s="213" t="s">
        <v>17</v>
      </c>
      <c r="K92" s="213"/>
    </row>
    <row r="93" spans="1:11" ht="20.25">
      <c r="A93" s="206"/>
      <c r="B93" s="207"/>
      <c r="C93" s="208"/>
      <c r="D93" s="60"/>
      <c r="E93" s="209"/>
      <c r="F93" s="209"/>
      <c r="G93" s="209"/>
      <c r="H93" s="209"/>
      <c r="I93" s="209"/>
      <c r="J93" s="210"/>
      <c r="K93" s="210"/>
    </row>
    <row r="94" spans="1:11" ht="20.25">
      <c r="A94" s="206"/>
      <c r="B94" s="207"/>
      <c r="C94" s="208"/>
      <c r="D94" s="60"/>
      <c r="E94" s="209"/>
      <c r="F94" s="209"/>
      <c r="G94" s="209"/>
      <c r="H94" s="209"/>
      <c r="I94" s="209"/>
      <c r="J94" s="210"/>
      <c r="K94" s="210"/>
    </row>
    <row r="95" spans="1:11" ht="20.25">
      <c r="A95" s="206"/>
      <c r="B95" s="207"/>
      <c r="C95" s="208"/>
      <c r="D95" s="60"/>
      <c r="E95" s="209"/>
      <c r="F95" s="209"/>
      <c r="G95" s="209"/>
      <c r="H95" s="209"/>
      <c r="I95" s="209"/>
      <c r="J95" s="210"/>
      <c r="K95" s="210"/>
    </row>
    <row r="96" spans="1:11" ht="20.25">
      <c r="A96" s="206"/>
      <c r="B96" s="207"/>
      <c r="C96" s="208"/>
      <c r="D96" s="60"/>
      <c r="E96" s="209"/>
      <c r="F96" s="209"/>
      <c r="G96" s="209"/>
      <c r="H96" s="209"/>
      <c r="I96" s="209"/>
      <c r="J96" s="210"/>
      <c r="K96" s="210"/>
    </row>
    <row r="97" spans="1:11" ht="20.25">
      <c r="A97" s="206"/>
      <c r="B97" s="207"/>
      <c r="C97" s="208"/>
      <c r="D97" s="60"/>
      <c r="E97" s="209"/>
      <c r="F97" s="209"/>
      <c r="G97" s="209"/>
      <c r="H97" s="209"/>
      <c r="I97" s="209"/>
      <c r="J97" s="210"/>
      <c r="K97" s="210"/>
    </row>
    <row r="98" spans="1:11" ht="20.25">
      <c r="A98" s="206"/>
      <c r="B98" s="207"/>
      <c r="C98" s="208"/>
      <c r="D98" s="60"/>
      <c r="E98" s="209"/>
      <c r="F98" s="209"/>
      <c r="G98" s="209"/>
      <c r="H98" s="209"/>
      <c r="I98" s="209"/>
      <c r="J98" s="210"/>
      <c r="K98" s="210"/>
    </row>
    <row r="99" spans="1:11" ht="20.25">
      <c r="A99" s="206"/>
      <c r="B99" s="207"/>
      <c r="C99" s="208"/>
      <c r="D99" s="60"/>
      <c r="E99" s="214"/>
      <c r="F99" s="215"/>
      <c r="G99" s="215"/>
      <c r="H99" s="215"/>
      <c r="I99" s="216"/>
      <c r="J99" s="217"/>
      <c r="K99" s="218"/>
    </row>
    <row r="100" spans="1:11" ht="20.25">
      <c r="A100" s="206"/>
      <c r="B100" s="207"/>
      <c r="C100" s="208"/>
      <c r="D100" s="60"/>
      <c r="E100" s="214"/>
      <c r="F100" s="215"/>
      <c r="G100" s="215"/>
      <c r="H100" s="215"/>
      <c r="I100" s="216"/>
      <c r="J100" s="217"/>
      <c r="K100" s="218"/>
    </row>
    <row r="101" spans="1:11" ht="20.25">
      <c r="A101" s="206"/>
      <c r="B101" s="207"/>
      <c r="C101" s="208"/>
      <c r="D101" s="60"/>
      <c r="E101" s="214"/>
      <c r="F101" s="215"/>
      <c r="G101" s="215"/>
      <c r="H101" s="215"/>
      <c r="I101" s="216"/>
      <c r="J101" s="217"/>
      <c r="K101" s="218"/>
    </row>
    <row r="102" spans="1:11" ht="20.25">
      <c r="A102" s="206"/>
      <c r="B102" s="207"/>
      <c r="C102" s="208"/>
      <c r="D102" s="60"/>
      <c r="E102" s="214"/>
      <c r="F102" s="215"/>
      <c r="G102" s="215"/>
      <c r="H102" s="215"/>
      <c r="I102" s="216"/>
      <c r="J102" s="217"/>
      <c r="K102" s="218"/>
    </row>
  </sheetData>
  <mergeCells count="122"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U28:V29"/>
    <mergeCell ref="Q29:S29"/>
    <mergeCell ref="U34:V35"/>
    <mergeCell ref="Q35:S35"/>
    <mergeCell ref="E26:J26"/>
    <mergeCell ref="U37:V38"/>
    <mergeCell ref="A27:B28"/>
    <mergeCell ref="C27:D28"/>
    <mergeCell ref="Q38:S38"/>
    <mergeCell ref="U31:V32"/>
    <mergeCell ref="Q32:S32"/>
    <mergeCell ref="A29:B30"/>
    <mergeCell ref="C29:D30"/>
    <mergeCell ref="F32:J32"/>
    <mergeCell ref="A36:C37"/>
    <mergeCell ref="D36:F37"/>
    <mergeCell ref="A38:C39"/>
    <mergeCell ref="D38:F3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D19" sqref="D19"/>
    </sheetView>
  </sheetViews>
  <sheetFormatPr defaultRowHeight="16.5"/>
  <cols>
    <col min="1" max="1" width="9" style="29"/>
    <col min="2" max="2" width="14.125" style="29" bestFit="1" customWidth="1"/>
    <col min="3" max="3" width="9" style="29"/>
    <col min="4" max="4" width="22.375" style="29" bestFit="1" customWidth="1"/>
    <col min="5" max="16384" width="9" style="29"/>
  </cols>
  <sheetData>
    <row r="1" spans="1:5">
      <c r="A1" s="29" t="s">
        <v>23</v>
      </c>
      <c r="B1" s="29" t="s">
        <v>21</v>
      </c>
      <c r="C1" s="29" t="s">
        <v>22</v>
      </c>
      <c r="D1" s="29" t="s">
        <v>51</v>
      </c>
      <c r="E1" s="29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29" bestFit="1" customWidth="1"/>
    <col min="2" max="2" width="9.25" style="29" bestFit="1" customWidth="1"/>
    <col min="3" max="3" width="10" style="29" bestFit="1" customWidth="1"/>
    <col min="4" max="16384" width="9" style="29"/>
  </cols>
  <sheetData>
    <row r="1" spans="1:3">
      <c r="A1" s="29" t="s">
        <v>23</v>
      </c>
      <c r="B1" s="29" t="s">
        <v>24</v>
      </c>
      <c r="C1" s="29" t="s">
        <v>25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tabSelected="1" topLeftCell="A22" zoomScale="65" zoomScaleNormal="65" workbookViewId="0">
      <selection activeCell="L110" sqref="L110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hidden="1" customWidth="1"/>
    <col min="27" max="27" width="6.75" style="15" hidden="1" customWidth="1"/>
    <col min="28" max="28" width="0.25" style="15" hidden="1" customWidth="1"/>
    <col min="29" max="29" width="8" style="15" hidden="1" customWidth="1"/>
    <col min="30" max="31" width="9" style="15" hidden="1" customWidth="1"/>
    <col min="32" max="16384" width="9" style="15"/>
  </cols>
  <sheetData>
    <row r="1" spans="1:25" ht="13.5" customHeight="1">
      <c r="A1" s="199" t="s">
        <v>10</v>
      </c>
      <c r="B1" s="200"/>
      <c r="C1" s="200"/>
      <c r="D1" s="200"/>
      <c r="E1" s="201"/>
      <c r="F1" s="202"/>
      <c r="G1" s="203"/>
    </row>
    <row r="2" spans="1:25" ht="13.5" customHeight="1">
      <c r="A2" s="186"/>
      <c r="B2" s="187"/>
      <c r="C2" s="187"/>
      <c r="D2" s="187"/>
      <c r="E2" s="188"/>
      <c r="F2" s="189"/>
      <c r="G2" s="190"/>
    </row>
    <row r="3" spans="1:25" ht="13.5" customHeight="1">
      <c r="A3" s="183" t="s">
        <v>0</v>
      </c>
      <c r="B3" s="184"/>
      <c r="C3" s="184"/>
      <c r="D3" s="184"/>
      <c r="E3" s="185"/>
      <c r="F3" s="204"/>
      <c r="G3" s="205"/>
    </row>
    <row r="4" spans="1:25" ht="13.5" customHeight="1">
      <c r="A4" s="186"/>
      <c r="B4" s="187"/>
      <c r="C4" s="187"/>
      <c r="D4" s="187"/>
      <c r="E4" s="188"/>
      <c r="F4" s="204"/>
      <c r="G4" s="205"/>
    </row>
    <row r="5" spans="1:25" ht="13.5" customHeight="1">
      <c r="A5" s="183" t="s">
        <v>11</v>
      </c>
      <c r="B5" s="184"/>
      <c r="C5" s="184"/>
      <c r="D5" s="184"/>
      <c r="E5" s="185"/>
      <c r="F5" s="189"/>
      <c r="G5" s="190"/>
    </row>
    <row r="6" spans="1:25" ht="13.5" customHeight="1">
      <c r="A6" s="186"/>
      <c r="B6" s="187"/>
      <c r="C6" s="187"/>
      <c r="D6" s="187"/>
      <c r="E6" s="188"/>
      <c r="F6" s="189"/>
      <c r="G6" s="190"/>
    </row>
    <row r="7" spans="1:25" ht="13.5" customHeight="1">
      <c r="A7" s="183" t="s">
        <v>1</v>
      </c>
      <c r="B7" s="184"/>
      <c r="C7" s="184"/>
      <c r="D7" s="184"/>
      <c r="E7" s="185"/>
      <c r="F7" s="189"/>
      <c r="G7" s="190"/>
    </row>
    <row r="8" spans="1:25" ht="26.25" customHeight="1">
      <c r="A8" s="186"/>
      <c r="B8" s="187"/>
      <c r="C8" s="187"/>
      <c r="D8" s="187"/>
      <c r="E8" s="188"/>
      <c r="F8" s="189"/>
      <c r="G8" s="190"/>
    </row>
    <row r="9" spans="1:25" ht="13.5" customHeight="1">
      <c r="A9" s="191" t="s">
        <v>12</v>
      </c>
      <c r="B9" s="184"/>
      <c r="C9" s="184"/>
      <c r="D9" s="184"/>
      <c r="E9" s="185"/>
      <c r="F9" s="195"/>
      <c r="G9" s="196"/>
    </row>
    <row r="10" spans="1:25" ht="13.5" customHeight="1" thickBot="1">
      <c r="A10" s="192"/>
      <c r="B10" s="193"/>
      <c r="C10" s="193"/>
      <c r="D10" s="193"/>
      <c r="E10" s="194"/>
      <c r="F10" s="197"/>
      <c r="G10" s="198"/>
    </row>
    <row r="11" spans="1:25" ht="17.25" thickBot="1"/>
    <row r="12" spans="1:25" ht="12.75" customHeight="1">
      <c r="A12" s="146" t="s">
        <v>13</v>
      </c>
      <c r="B12" s="149" t="s">
        <v>56</v>
      </c>
      <c r="C12" s="152" t="s">
        <v>2</v>
      </c>
      <c r="D12" s="152" t="s">
        <v>43</v>
      </c>
      <c r="E12" s="155" t="s">
        <v>15</v>
      </c>
      <c r="F12" s="155"/>
      <c r="G12" s="155"/>
      <c r="H12" s="155"/>
      <c r="I12" s="156"/>
      <c r="J12" s="174" t="s">
        <v>52</v>
      </c>
      <c r="K12" s="175"/>
      <c r="L12" s="180" t="s">
        <v>55</v>
      </c>
      <c r="N12" s="41"/>
      <c r="P12" s="146" t="s">
        <v>55</v>
      </c>
      <c r="Q12" s="155" t="s">
        <v>52</v>
      </c>
      <c r="R12" s="175"/>
      <c r="S12" s="152" t="s">
        <v>43</v>
      </c>
      <c r="T12" s="155" t="s">
        <v>15</v>
      </c>
      <c r="U12" s="155"/>
      <c r="V12" s="156"/>
      <c r="W12" s="152" t="s">
        <v>2</v>
      </c>
      <c r="X12" s="149" t="s">
        <v>56</v>
      </c>
      <c r="Y12" s="161" t="s">
        <v>13</v>
      </c>
    </row>
    <row r="13" spans="1:25" ht="12.75" customHeight="1">
      <c r="A13" s="147"/>
      <c r="B13" s="150"/>
      <c r="C13" s="153"/>
      <c r="D13" s="153"/>
      <c r="E13" s="157"/>
      <c r="F13" s="157"/>
      <c r="G13" s="157"/>
      <c r="H13" s="157"/>
      <c r="I13" s="158"/>
      <c r="J13" s="176"/>
      <c r="K13" s="177"/>
      <c r="L13" s="181"/>
      <c r="N13" s="41"/>
      <c r="P13" s="147"/>
      <c r="Q13" s="157"/>
      <c r="R13" s="177"/>
      <c r="S13" s="153"/>
      <c r="T13" s="157"/>
      <c r="U13" s="157"/>
      <c r="V13" s="158"/>
      <c r="W13" s="153"/>
      <c r="X13" s="150"/>
      <c r="Y13" s="162"/>
    </row>
    <row r="14" spans="1:25" ht="12.75" customHeight="1">
      <c r="A14" s="147"/>
      <c r="B14" s="150"/>
      <c r="C14" s="153"/>
      <c r="D14" s="153"/>
      <c r="E14" s="157"/>
      <c r="F14" s="157"/>
      <c r="G14" s="157"/>
      <c r="H14" s="157"/>
      <c r="I14" s="158"/>
      <c r="J14" s="176"/>
      <c r="K14" s="177"/>
      <c r="L14" s="181"/>
      <c r="N14" s="41"/>
      <c r="P14" s="147"/>
      <c r="Q14" s="157"/>
      <c r="R14" s="177"/>
      <c r="S14" s="153"/>
      <c r="T14" s="157"/>
      <c r="U14" s="157"/>
      <c r="V14" s="158"/>
      <c r="W14" s="153"/>
      <c r="X14" s="150"/>
      <c r="Y14" s="162"/>
    </row>
    <row r="15" spans="1:25" ht="12.75" customHeight="1" thickBot="1">
      <c r="A15" s="148"/>
      <c r="B15" s="151"/>
      <c r="C15" s="154"/>
      <c r="D15" s="154"/>
      <c r="E15" s="159"/>
      <c r="F15" s="159"/>
      <c r="G15" s="159"/>
      <c r="H15" s="159"/>
      <c r="I15" s="160"/>
      <c r="J15" s="178"/>
      <c r="K15" s="179"/>
      <c r="L15" s="182"/>
      <c r="N15" s="41"/>
      <c r="P15" s="148"/>
      <c r="Q15" s="159"/>
      <c r="R15" s="179"/>
      <c r="S15" s="154"/>
      <c r="T15" s="159"/>
      <c r="U15" s="159"/>
      <c r="V15" s="160"/>
      <c r="W15" s="154"/>
      <c r="X15" s="151"/>
      <c r="Y15" s="163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2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64" t="str">
        <f>IF(ISERROR((C17-B17)/C17),"",(C17-B17)/C17)</f>
        <v/>
      </c>
      <c r="B17" s="166">
        <f>SUM(B19:B21)</f>
        <v>0</v>
      </c>
      <c r="C17" s="168">
        <f>SUM(C19:C21)</f>
        <v>0</v>
      </c>
      <c r="D17" s="132"/>
      <c r="E17" s="138" t="s">
        <v>14</v>
      </c>
      <c r="F17" s="140"/>
      <c r="G17" s="170"/>
      <c r="H17" s="170"/>
      <c r="I17" s="141"/>
      <c r="J17" s="172"/>
      <c r="K17" s="122"/>
      <c r="L17" s="124"/>
      <c r="N17" s="41"/>
      <c r="P17" s="126"/>
      <c r="Q17" s="128"/>
      <c r="R17" s="130"/>
      <c r="S17" s="132"/>
      <c r="T17" s="138" t="s">
        <v>14</v>
      </c>
      <c r="U17" s="140"/>
      <c r="V17" s="141"/>
      <c r="W17" s="144">
        <f>SUM(W19:W21)</f>
        <v>0</v>
      </c>
      <c r="X17" s="134">
        <f>SUM(X19:X21)</f>
        <v>0</v>
      </c>
      <c r="Y17" s="136" t="str">
        <f>IF(ISERROR((W17-X17)/W17),"",(W17-X17)/W17)</f>
        <v/>
      </c>
    </row>
    <row r="18" spans="1:25" s="17" customFormat="1" ht="13.5" customHeight="1">
      <c r="A18" s="165"/>
      <c r="B18" s="167"/>
      <c r="C18" s="169"/>
      <c r="D18" s="133"/>
      <c r="E18" s="139"/>
      <c r="F18" s="142"/>
      <c r="G18" s="171"/>
      <c r="H18" s="171"/>
      <c r="I18" s="143"/>
      <c r="J18" s="173"/>
      <c r="K18" s="123"/>
      <c r="L18" s="125"/>
      <c r="N18" s="41"/>
      <c r="P18" s="127"/>
      <c r="Q18" s="129"/>
      <c r="R18" s="131"/>
      <c r="S18" s="133"/>
      <c r="T18" s="139"/>
      <c r="U18" s="142"/>
      <c r="V18" s="143"/>
      <c r="W18" s="145"/>
      <c r="X18" s="135"/>
      <c r="Y18" s="137"/>
    </row>
    <row r="19" spans="1:25" s="17" customFormat="1" ht="26.25" customHeight="1">
      <c r="A19" s="92" t="str">
        <f>IF(ISERROR(IF(B17="",3600/C17,3600/B17)),"",IF(B17="",3600/C17,3600/B17))</f>
        <v/>
      </c>
      <c r="B19" s="22"/>
      <c r="C19" s="23"/>
      <c r="D19" s="31"/>
      <c r="E19" s="95"/>
      <c r="F19" s="96"/>
      <c r="G19" s="96"/>
      <c r="H19" s="96"/>
      <c r="I19" s="97"/>
      <c r="J19" s="35"/>
      <c r="K19" s="39"/>
      <c r="L19" s="43"/>
      <c r="N19" s="41"/>
      <c r="P19" s="45"/>
      <c r="Q19" s="39"/>
      <c r="R19" s="33"/>
      <c r="S19" s="31"/>
      <c r="T19" s="53"/>
      <c r="U19" s="54"/>
      <c r="V19" s="54"/>
      <c r="W19" s="23"/>
      <c r="X19" s="22"/>
      <c r="Y19" s="119" t="str">
        <f>IF(ISERROR(IF(X17="",3600/W17,3600/X17)),"",IF(X17="",3600/W17,3600/X17))</f>
        <v/>
      </c>
    </row>
    <row r="20" spans="1:25" s="17" customFormat="1" ht="22.5">
      <c r="A20" s="93"/>
      <c r="B20" s="22"/>
      <c r="C20" s="23"/>
      <c r="D20" s="31"/>
      <c r="E20" s="95"/>
      <c r="F20" s="96"/>
      <c r="G20" s="96"/>
      <c r="H20" s="96"/>
      <c r="I20" s="97"/>
      <c r="J20" s="35"/>
      <c r="K20" s="39"/>
      <c r="L20" s="43"/>
      <c r="N20" s="41"/>
      <c r="P20" s="45"/>
      <c r="Q20" s="39"/>
      <c r="R20" s="33"/>
      <c r="S20" s="31"/>
      <c r="T20" s="53"/>
      <c r="U20" s="54"/>
      <c r="V20" s="54"/>
      <c r="W20" s="23"/>
      <c r="X20" s="22"/>
      <c r="Y20" s="120"/>
    </row>
    <row r="21" spans="1:25" s="17" customFormat="1" ht="26.25" customHeight="1" thickBot="1">
      <c r="A21" s="94"/>
      <c r="B21" s="24"/>
      <c r="C21" s="25"/>
      <c r="D21" s="32"/>
      <c r="E21" s="95"/>
      <c r="F21" s="96"/>
      <c r="G21" s="96"/>
      <c r="H21" s="96"/>
      <c r="I21" s="97"/>
      <c r="J21" s="34"/>
      <c r="K21" s="40"/>
      <c r="L21" s="44"/>
      <c r="N21" s="41"/>
      <c r="P21" s="46"/>
      <c r="Q21" s="40"/>
      <c r="R21" s="36"/>
      <c r="S21" s="32"/>
      <c r="T21" s="53"/>
      <c r="U21" s="54"/>
      <c r="V21" s="54"/>
      <c r="W21" s="23" t="s">
        <v>3</v>
      </c>
      <c r="X21" s="24"/>
      <c r="Y21" s="121"/>
    </row>
    <row r="24" spans="1:25" ht="18" customHeight="1">
      <c r="N24" s="19"/>
    </row>
    <row r="25" spans="1:25" ht="18" customHeight="1">
      <c r="N25" s="18"/>
    </row>
    <row r="26" spans="1:25" ht="18" customHeight="1">
      <c r="E26" s="98" t="s">
        <v>19</v>
      </c>
      <c r="F26" s="99"/>
      <c r="G26" s="99"/>
      <c r="H26" s="99"/>
      <c r="I26" s="99"/>
      <c r="J26" s="100"/>
      <c r="N26" s="20"/>
    </row>
    <row r="27" spans="1:25" ht="18" customHeight="1">
      <c r="A27" s="103" t="s">
        <v>41</v>
      </c>
      <c r="B27" s="103"/>
      <c r="C27" s="104" t="e">
        <f>COUNTIF(MachineAttachmentTemplateL,"*"&amp;A27&amp;"*")+COUNTIF(MachineAttachmentTemplateR,"*"&amp;A27&amp;"*")</f>
        <v>#NAME?</v>
      </c>
      <c r="D27" s="105"/>
      <c r="E27" s="52"/>
      <c r="F27" s="26" t="str">
        <f>IF(E27="","",COUNTIF(MachineINV1,E27) + COUNTIF(MachineINV2,E27))</f>
        <v/>
      </c>
      <c r="G27" s="52"/>
      <c r="H27" s="26" t="str">
        <f>IF(G27="","",COUNTIF(MachineINV1,G27) + COUNTIF(MachineINV2,G27))</f>
        <v/>
      </c>
      <c r="I27" s="27"/>
      <c r="J27" s="26" t="str">
        <f>IF(I27="","",COUNTIF(MachineINV1,I27) + COUNTIF(MachineINV2,I27))</f>
        <v/>
      </c>
      <c r="N27" s="20"/>
    </row>
    <row r="28" spans="1:25" ht="18" customHeight="1">
      <c r="A28" s="103"/>
      <c r="B28" s="103"/>
      <c r="C28" s="106"/>
      <c r="D28" s="107"/>
      <c r="E28" s="52"/>
      <c r="F28" s="26" t="str">
        <f>IF(E28="","",COUNTIF(MachineINV1,E28) + COUNTIF(MachineINV2,E28))</f>
        <v/>
      </c>
      <c r="G28" s="52"/>
      <c r="H28" s="26" t="str">
        <f>IF(G28="","",COUNTIF(MachineINV1,G28) + COUNTIF(MachineINV2,G28))</f>
        <v/>
      </c>
      <c r="I28" s="27"/>
      <c r="J28" s="26" t="str">
        <f>IF(I28="","",COUNTIF(MachineINV1,I28) + COUNTIF(MachineINV2,I28))</f>
        <v/>
      </c>
      <c r="N28" s="20"/>
      <c r="U28" s="112"/>
      <c r="V28" s="112"/>
    </row>
    <row r="29" spans="1:25" ht="18" customHeight="1">
      <c r="A29" s="103" t="s">
        <v>20</v>
      </c>
      <c r="B29" s="103"/>
      <c r="C29" s="104" t="e">
        <f>COUNTIF(MachineAttachmentTemplateL,"*"&amp;A29&amp;"*")+COUNTIF(MachineAttachmentTemplateR,"*"&amp;A29&amp;"*")</f>
        <v>#NAME?</v>
      </c>
      <c r="D29" s="105"/>
      <c r="E29" s="52"/>
      <c r="F29" s="26" t="str">
        <f>IF(E29="","",COUNTIF(MachineINV1,E29) + COUNTIF(MachineINV2,E29))</f>
        <v/>
      </c>
      <c r="G29" s="52"/>
      <c r="H29" s="26" t="str">
        <f>IF(G29="","",COUNTIF(MachineINV1,G29) + COUNTIF(MachineINV2,G29))</f>
        <v/>
      </c>
      <c r="I29" s="27"/>
      <c r="J29" s="26" t="str">
        <f>IF(I29="","",COUNTIF(MachineINV1,I29) + COUNTIF(MachineINV2,I29))</f>
        <v/>
      </c>
      <c r="N29" s="20"/>
      <c r="Q29" s="108" t="s">
        <v>46</v>
      </c>
      <c r="R29" s="109"/>
      <c r="S29" s="109"/>
      <c r="T29" s="38"/>
      <c r="U29" s="113"/>
      <c r="V29" s="113"/>
    </row>
    <row r="30" spans="1:25" ht="18" customHeight="1">
      <c r="A30" s="103"/>
      <c r="B30" s="103"/>
      <c r="C30" s="106"/>
      <c r="D30" s="107"/>
      <c r="E30" s="52"/>
      <c r="F30" s="26" t="str">
        <f>IF(E30="","",COUNTIF(MachineINV1,E30) + COUNTIF(MachineINV2,E30))</f>
        <v/>
      </c>
      <c r="G30" s="27"/>
      <c r="H30" s="26" t="str">
        <f>IF(G30="","",COUNTIF(MachineINV1,G30) + COUNTIF(MachineINV2,G30))</f>
        <v/>
      </c>
      <c r="I30" s="27"/>
      <c r="J30" s="26" t="str">
        <f>IF(I30="","",COUNTIF(MachineINV1,I30) + COUNTIF(MachineINV2,I30))</f>
        <v/>
      </c>
      <c r="N30" s="20"/>
      <c r="T30" s="37"/>
    </row>
    <row r="31" spans="1:25" ht="18" customHeight="1">
      <c r="E31" s="52"/>
      <c r="F31" s="26" t="str">
        <f>IF(E31="","",COUNTIF(MachineINV1,E31) + COUNTIF(MachineINV2,E31))</f>
        <v/>
      </c>
      <c r="G31" s="27"/>
      <c r="H31" s="26" t="str">
        <f>IF(G31="","",COUNTIF(MachineINV1,G31) + COUNTIF(MachineINV2,G31))</f>
        <v/>
      </c>
      <c r="I31" s="27"/>
      <c r="J31" s="26" t="str">
        <f>IF(I31="","",COUNTIF(MachineINV1,I31) + COUNTIF(MachineINV2,I31))</f>
        <v/>
      </c>
      <c r="N31" s="20"/>
      <c r="U31" s="110"/>
      <c r="V31" s="110"/>
    </row>
    <row r="32" spans="1:25" ht="18" customHeight="1">
      <c r="E32" s="51" t="s">
        <v>18</v>
      </c>
      <c r="F32" s="114">
        <f>SUM(F27:F31)+SUM(H27:H31)+SUM(J27:J31)</f>
        <v>0</v>
      </c>
      <c r="G32" s="115"/>
      <c r="H32" s="115"/>
      <c r="I32" s="115"/>
      <c r="J32" s="116"/>
      <c r="N32" s="20"/>
      <c r="Q32" s="108" t="s">
        <v>47</v>
      </c>
      <c r="R32" s="109"/>
      <c r="S32" s="109"/>
      <c r="T32" s="38"/>
      <c r="U32" s="111"/>
      <c r="V32" s="111"/>
    </row>
    <row r="33" spans="1:22" ht="18" customHeight="1">
      <c r="N33" s="20"/>
      <c r="T33" s="37"/>
      <c r="U33" s="21"/>
      <c r="V33" s="21"/>
    </row>
    <row r="34" spans="1:22" ht="16.5" customHeight="1">
      <c r="U34" s="117"/>
      <c r="V34" s="117"/>
    </row>
    <row r="35" spans="1:22" ht="18" customHeight="1" thickBot="1">
      <c r="Q35" s="108" t="s">
        <v>48</v>
      </c>
      <c r="R35" s="109"/>
      <c r="S35" s="109"/>
      <c r="T35" s="38"/>
      <c r="U35" s="118"/>
      <c r="V35" s="118"/>
    </row>
    <row r="36" spans="1:22" ht="18" customHeight="1">
      <c r="A36" s="87" t="s">
        <v>34</v>
      </c>
      <c r="B36" s="88"/>
      <c r="C36" s="88"/>
      <c r="D36" s="89"/>
      <c r="E36" s="90"/>
      <c r="F36" s="91"/>
      <c r="T36" s="37"/>
      <c r="U36" s="21"/>
      <c r="V36" s="21"/>
    </row>
    <row r="37" spans="1:22" ht="18" customHeight="1">
      <c r="A37" s="66"/>
      <c r="B37" s="65"/>
      <c r="C37" s="65"/>
      <c r="D37" s="84"/>
      <c r="E37" s="85"/>
      <c r="F37" s="86"/>
      <c r="U37" s="101"/>
      <c r="V37" s="101"/>
    </row>
    <row r="38" spans="1:22" ht="13.5" customHeight="1">
      <c r="A38" s="64" t="s">
        <v>35</v>
      </c>
      <c r="B38" s="65"/>
      <c r="C38" s="65"/>
      <c r="D38" s="81"/>
      <c r="E38" s="82"/>
      <c r="F38" s="83"/>
      <c r="Q38" s="108" t="s">
        <v>49</v>
      </c>
      <c r="R38" s="109"/>
      <c r="S38" s="109"/>
      <c r="T38" s="38"/>
      <c r="U38" s="102"/>
      <c r="V38" s="102"/>
    </row>
    <row r="39" spans="1:22" ht="13.5" customHeight="1">
      <c r="A39" s="66"/>
      <c r="B39" s="65"/>
      <c r="C39" s="65"/>
      <c r="D39" s="84"/>
      <c r="E39" s="85"/>
      <c r="F39" s="86"/>
      <c r="T39" s="37"/>
    </row>
    <row r="40" spans="1:22" ht="13.5" customHeight="1">
      <c r="A40" s="64" t="s">
        <v>36</v>
      </c>
      <c r="B40" s="65"/>
      <c r="C40" s="65"/>
      <c r="D40" s="81"/>
      <c r="E40" s="82"/>
      <c r="F40" s="83"/>
    </row>
    <row r="41" spans="1:22" ht="13.5" customHeight="1">
      <c r="A41" s="66"/>
      <c r="B41" s="65"/>
      <c r="C41" s="65"/>
      <c r="D41" s="84"/>
      <c r="E41" s="85"/>
      <c r="F41" s="86"/>
    </row>
    <row r="42" spans="1:22" ht="13.5" customHeight="1">
      <c r="A42" s="64" t="s">
        <v>37</v>
      </c>
      <c r="B42" s="65"/>
      <c r="C42" s="65"/>
      <c r="D42" s="81" t="e">
        <f>IF(TtlGSD=0,0,ROUND(3600*D40/TtlGSD,0))</f>
        <v>#NAME?</v>
      </c>
      <c r="E42" s="82"/>
      <c r="F42" s="83"/>
    </row>
    <row r="43" spans="1:22" ht="13.5" customHeight="1">
      <c r="A43" s="66"/>
      <c r="B43" s="65"/>
      <c r="C43" s="65"/>
      <c r="D43" s="84"/>
      <c r="E43" s="85"/>
      <c r="F43" s="86"/>
    </row>
    <row r="44" spans="1:22">
      <c r="A44" s="64" t="s">
        <v>38</v>
      </c>
      <c r="B44" s="65"/>
      <c r="C44" s="65"/>
      <c r="D44" s="81" t="e">
        <f>ROUND(D42*D38,0)</f>
        <v>#NAME?</v>
      </c>
      <c r="E44" s="82"/>
      <c r="F44" s="83"/>
    </row>
    <row r="45" spans="1:22" ht="13.5" customHeight="1">
      <c r="A45" s="66"/>
      <c r="B45" s="65"/>
      <c r="C45" s="65"/>
      <c r="D45" s="84"/>
      <c r="E45" s="85"/>
      <c r="F45" s="86"/>
    </row>
    <row r="46" spans="1:22" ht="13.5" customHeight="1">
      <c r="A46" s="64" t="s">
        <v>39</v>
      </c>
      <c r="B46" s="65"/>
      <c r="C46" s="65"/>
      <c r="D46" s="81" t="e">
        <f>IF(D44=0,0,ROUND(D38*3600/D44,0))</f>
        <v>#NAME?</v>
      </c>
      <c r="E46" s="82"/>
      <c r="F46" s="83"/>
    </row>
    <row r="47" spans="1:22" ht="13.5" customHeight="1">
      <c r="A47" s="66"/>
      <c r="B47" s="65"/>
      <c r="C47" s="65"/>
      <c r="D47" s="84"/>
      <c r="E47" s="85"/>
      <c r="F47" s="86"/>
    </row>
    <row r="48" spans="1:22" ht="13.5" customHeight="1">
      <c r="A48" s="64" t="s">
        <v>26</v>
      </c>
      <c r="B48" s="65"/>
      <c r="C48" s="65"/>
      <c r="D48" s="81" t="e">
        <f>ROUND(3600/MaxTMS,2)</f>
        <v>#NAME?</v>
      </c>
      <c r="E48" s="82"/>
      <c r="F48" s="83"/>
    </row>
    <row r="49" spans="1:6" ht="13.5" customHeight="1">
      <c r="A49" s="66"/>
      <c r="B49" s="65"/>
      <c r="C49" s="65"/>
      <c r="D49" s="84"/>
      <c r="E49" s="85"/>
      <c r="F49" s="86"/>
    </row>
    <row r="50" spans="1:6" ht="13.5" customHeight="1">
      <c r="A50" s="64" t="s">
        <v>27</v>
      </c>
      <c r="B50" s="65"/>
      <c r="C50" s="65"/>
      <c r="D50" s="81" t="e">
        <f>TtlTMS</f>
        <v>#NAME?</v>
      </c>
      <c r="E50" s="82"/>
      <c r="F50" s="83"/>
    </row>
    <row r="51" spans="1:6" ht="13.5" customHeight="1">
      <c r="A51" s="66"/>
      <c r="B51" s="65"/>
      <c r="C51" s="65"/>
      <c r="D51" s="84"/>
      <c r="E51" s="85"/>
      <c r="F51" s="86"/>
    </row>
    <row r="52" spans="1:6" ht="13.5" customHeight="1">
      <c r="A52" s="64" t="s">
        <v>28</v>
      </c>
      <c r="B52" s="65"/>
      <c r="C52" s="65"/>
      <c r="D52" s="81" t="e">
        <f>TtlGSD</f>
        <v>#NAME?</v>
      </c>
      <c r="E52" s="82"/>
      <c r="F52" s="83"/>
    </row>
    <row r="53" spans="1:6" ht="13.5" customHeight="1">
      <c r="A53" s="66"/>
      <c r="B53" s="65"/>
      <c r="C53" s="65"/>
      <c r="D53" s="84"/>
      <c r="E53" s="85"/>
      <c r="F53" s="86"/>
    </row>
    <row r="54" spans="1:6">
      <c r="A54" s="64" t="s">
        <v>29</v>
      </c>
      <c r="B54" s="65"/>
      <c r="C54" s="65"/>
      <c r="D54" s="67" t="e">
        <f>IF(D52=0,0,(D52-D50)/D52)</f>
        <v>#NAME?</v>
      </c>
      <c r="E54" s="68"/>
      <c r="F54" s="69"/>
    </row>
    <row r="55" spans="1:6">
      <c r="A55" s="66"/>
      <c r="B55" s="65"/>
      <c r="C55" s="65"/>
      <c r="D55" s="70"/>
      <c r="E55" s="71"/>
      <c r="F55" s="72"/>
    </row>
    <row r="56" spans="1:6">
      <c r="A56" s="64" t="s">
        <v>30</v>
      </c>
      <c r="B56" s="65"/>
      <c r="C56" s="65"/>
      <c r="D56" s="67" t="e">
        <f>IF(OR(D40=0,MaxTMS=0),0,D50/MaxTMS/D40)</f>
        <v>#NAME?</v>
      </c>
      <c r="E56" s="68"/>
      <c r="F56" s="69"/>
    </row>
    <row r="57" spans="1:6">
      <c r="A57" s="66"/>
      <c r="B57" s="65"/>
      <c r="C57" s="65"/>
      <c r="D57" s="70"/>
      <c r="E57" s="71"/>
      <c r="F57" s="72"/>
    </row>
    <row r="58" spans="1:6" ht="16.5" customHeight="1">
      <c r="A58" s="64" t="s">
        <v>31</v>
      </c>
      <c r="B58" s="65"/>
      <c r="C58" s="65"/>
      <c r="D58" s="67" t="e">
        <f>IF(OR(D46=0,D40=0),0,D50/D46/D40)</f>
        <v>#NAME?</v>
      </c>
      <c r="E58" s="68"/>
      <c r="F58" s="69"/>
    </row>
    <row r="59" spans="1:6" ht="16.5" customHeight="1">
      <c r="A59" s="66"/>
      <c r="B59" s="65"/>
      <c r="C59" s="65"/>
      <c r="D59" s="70"/>
      <c r="E59" s="71"/>
      <c r="F59" s="72"/>
    </row>
    <row r="60" spans="1:6" ht="16.5" customHeight="1">
      <c r="A60" s="64" t="s">
        <v>32</v>
      </c>
      <c r="B60" s="65"/>
      <c r="C60" s="65"/>
      <c r="D60" s="67" t="e">
        <f>IF(OR(MaxTMS=0,D40=0),0,D52/MaxTMS/D40)</f>
        <v>#NAME?</v>
      </c>
      <c r="E60" s="68"/>
      <c r="F60" s="69"/>
    </row>
    <row r="61" spans="1:6" ht="16.5" customHeight="1">
      <c r="A61" s="66"/>
      <c r="B61" s="65"/>
      <c r="C61" s="65"/>
      <c r="D61" s="70"/>
      <c r="E61" s="71"/>
      <c r="F61" s="72"/>
    </row>
    <row r="62" spans="1:6" ht="16.5" customHeight="1">
      <c r="A62" s="64" t="s">
        <v>33</v>
      </c>
      <c r="B62" s="65"/>
      <c r="C62" s="65"/>
      <c r="D62" s="75" t="e">
        <f>IF(OR(MaxTMS=0,D40=0),0,ROUND(3600/MaxTMS,2)*F9/D40)</f>
        <v>#NAME?</v>
      </c>
      <c r="E62" s="76"/>
      <c r="F62" s="77"/>
    </row>
    <row r="63" spans="1:6" ht="16.5" customHeight="1" thickBot="1">
      <c r="A63" s="73"/>
      <c r="B63" s="74"/>
      <c r="C63" s="74"/>
      <c r="D63" s="78"/>
      <c r="E63" s="79"/>
      <c r="F63" s="8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11" t="s">
        <v>15</v>
      </c>
      <c r="B92" s="211"/>
      <c r="C92" s="211"/>
      <c r="D92" s="56"/>
      <c r="E92" s="212" t="s">
        <v>16</v>
      </c>
      <c r="F92" s="212"/>
      <c r="G92" s="212"/>
      <c r="H92" s="212"/>
      <c r="I92" s="212"/>
      <c r="J92" s="213" t="s">
        <v>17</v>
      </c>
      <c r="K92" s="213"/>
    </row>
    <row r="93" spans="1:11" ht="20.25">
      <c r="A93" s="206"/>
      <c r="B93" s="207"/>
      <c r="C93" s="208"/>
      <c r="D93" s="55"/>
      <c r="E93" s="209"/>
      <c r="F93" s="209"/>
      <c r="G93" s="209"/>
      <c r="H93" s="209"/>
      <c r="I93" s="209"/>
      <c r="J93" s="210"/>
      <c r="K93" s="210"/>
    </row>
    <row r="94" spans="1:11" ht="20.25">
      <c r="A94" s="206"/>
      <c r="B94" s="207"/>
      <c r="C94" s="208"/>
      <c r="D94" s="55"/>
      <c r="E94" s="209"/>
      <c r="F94" s="209"/>
      <c r="G94" s="209"/>
      <c r="H94" s="209"/>
      <c r="I94" s="209"/>
      <c r="J94" s="210"/>
      <c r="K94" s="210"/>
    </row>
    <row r="95" spans="1:11" ht="20.25">
      <c r="A95" s="206"/>
      <c r="B95" s="207"/>
      <c r="C95" s="208"/>
      <c r="D95" s="55"/>
      <c r="E95" s="209"/>
      <c r="F95" s="209"/>
      <c r="G95" s="209"/>
      <c r="H95" s="209"/>
      <c r="I95" s="209"/>
      <c r="J95" s="210"/>
      <c r="K95" s="210"/>
    </row>
    <row r="96" spans="1:11" ht="20.25">
      <c r="A96" s="206"/>
      <c r="B96" s="207"/>
      <c r="C96" s="208"/>
      <c r="D96" s="55"/>
      <c r="E96" s="209"/>
      <c r="F96" s="209"/>
      <c r="G96" s="209"/>
      <c r="H96" s="209"/>
      <c r="I96" s="209"/>
      <c r="J96" s="210"/>
      <c r="K96" s="210"/>
    </row>
    <row r="97" spans="1:11" ht="20.25">
      <c r="A97" s="206"/>
      <c r="B97" s="207"/>
      <c r="C97" s="208"/>
      <c r="D97" s="55"/>
      <c r="E97" s="209"/>
      <c r="F97" s="209"/>
      <c r="G97" s="209"/>
      <c r="H97" s="209"/>
      <c r="I97" s="209"/>
      <c r="J97" s="210"/>
      <c r="K97" s="210"/>
    </row>
    <row r="98" spans="1:11" ht="20.25">
      <c r="A98" s="206"/>
      <c r="B98" s="207"/>
      <c r="C98" s="208"/>
      <c r="D98" s="55"/>
      <c r="E98" s="209"/>
      <c r="F98" s="209"/>
      <c r="G98" s="209"/>
      <c r="H98" s="209"/>
      <c r="I98" s="209"/>
      <c r="J98" s="210"/>
      <c r="K98" s="210"/>
    </row>
    <row r="99" spans="1:11" ht="20.25">
      <c r="A99" s="206"/>
      <c r="B99" s="207"/>
      <c r="C99" s="208"/>
      <c r="D99" s="60"/>
      <c r="E99" s="214"/>
      <c r="F99" s="215"/>
      <c r="G99" s="215"/>
      <c r="H99" s="215"/>
      <c r="I99" s="216"/>
      <c r="J99" s="217"/>
      <c r="K99" s="218"/>
    </row>
    <row r="100" spans="1:11" ht="20.25">
      <c r="A100" s="206"/>
      <c r="B100" s="207"/>
      <c r="C100" s="208"/>
      <c r="D100" s="60"/>
      <c r="E100" s="214"/>
      <c r="F100" s="215"/>
      <c r="G100" s="215"/>
      <c r="H100" s="215"/>
      <c r="I100" s="216"/>
      <c r="J100" s="217"/>
      <c r="K100" s="218"/>
    </row>
    <row r="101" spans="1:11" ht="20.25">
      <c r="A101" s="206"/>
      <c r="B101" s="207"/>
      <c r="C101" s="208"/>
      <c r="D101" s="60"/>
      <c r="E101" s="214"/>
      <c r="F101" s="215"/>
      <c r="G101" s="215"/>
      <c r="H101" s="215"/>
      <c r="I101" s="216"/>
      <c r="J101" s="217"/>
      <c r="K101" s="218"/>
    </row>
    <row r="102" spans="1:11" ht="20.25">
      <c r="A102" s="206"/>
      <c r="B102" s="207"/>
      <c r="C102" s="208"/>
      <c r="D102" s="60"/>
      <c r="E102" s="214"/>
      <c r="F102" s="215"/>
      <c r="G102" s="215"/>
      <c r="H102" s="215"/>
      <c r="I102" s="216"/>
      <c r="J102" s="217"/>
      <c r="K102" s="218"/>
    </row>
  </sheetData>
  <mergeCells count="122"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D46:F47"/>
    <mergeCell ref="U28:V29"/>
    <mergeCell ref="Q29:S29"/>
    <mergeCell ref="U34:V35"/>
    <mergeCell ref="Q35:S35"/>
    <mergeCell ref="E26:J26"/>
    <mergeCell ref="U37:V38"/>
    <mergeCell ref="A27:B28"/>
    <mergeCell ref="C27:D28"/>
    <mergeCell ref="Q38:S38"/>
    <mergeCell ref="U31:V32"/>
    <mergeCell ref="Q32:S32"/>
    <mergeCell ref="A29:B30"/>
    <mergeCell ref="C29:D30"/>
    <mergeCell ref="F32:J32"/>
    <mergeCell ref="A36:C37"/>
    <mergeCell ref="D36:F37"/>
    <mergeCell ref="A38:C39"/>
    <mergeCell ref="D38:F39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29"/>
    <col min="2" max="2" width="14.125" style="29" bestFit="1" customWidth="1"/>
    <col min="3" max="3" width="9" style="29"/>
    <col min="4" max="4" width="22.375" style="29" bestFit="1" customWidth="1"/>
    <col min="5" max="16384" width="9" style="29"/>
  </cols>
  <sheetData>
    <row r="1" spans="1:5">
      <c r="A1" s="29" t="s">
        <v>23</v>
      </c>
      <c r="B1" s="29" t="s">
        <v>21</v>
      </c>
      <c r="C1" s="29" t="s">
        <v>22</v>
      </c>
      <c r="D1" s="29" t="s">
        <v>51</v>
      </c>
      <c r="E1" s="29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29" bestFit="1" customWidth="1"/>
    <col min="2" max="2" width="9.25" style="29" bestFit="1" customWidth="1"/>
    <col min="3" max="3" width="10" style="29" bestFit="1" customWidth="1"/>
    <col min="4" max="16384" width="9" style="29"/>
  </cols>
  <sheetData>
    <row r="1" spans="1:3">
      <c r="A1" s="29" t="s">
        <v>23</v>
      </c>
      <c r="B1" s="29" t="s">
        <v>24</v>
      </c>
      <c r="C1" s="29" t="s">
        <v>25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JackHsu許弘彬7269</cp:lastModifiedBy>
  <cp:lastPrinted>2017-03-10T02:00:17Z</cp:lastPrinted>
  <dcterms:created xsi:type="dcterms:W3CDTF">2016-01-18T12:26:28Z</dcterms:created>
  <dcterms:modified xsi:type="dcterms:W3CDTF">2020-09-04T01:25:04Z</dcterms:modified>
</cp:coreProperties>
</file>