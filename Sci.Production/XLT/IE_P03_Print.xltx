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tabRatio="945" firstSheet="2" activeTab="1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  <sheet name="Line Mapping_Simplify" sheetId="18" r:id="rId14"/>
    <sheet name="PPA &amp; non-sewing line Op._S" sheetId="19" r:id="rId15"/>
    <sheet name="Line Mapping2_Simplify" sheetId="20" r:id="rId16"/>
    <sheet name="PPA &amp; non-sewing line2 Op._S" sheetId="21" r:id="rId17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 calcOnSave="0" concurrentCalc="0"/>
  <fileRecoveryPr autoRecover="0"/>
</workbook>
</file>

<file path=xl/calcChain.xml><?xml version="1.0" encoding="utf-8"?>
<calcChain xmlns="http://schemas.openxmlformats.org/spreadsheetml/2006/main">
  <c r="D62" i="21" l="1"/>
  <c r="D60" i="21"/>
  <c r="D56" i="21"/>
  <c r="D54" i="21"/>
  <c r="D52" i="21"/>
  <c r="D50" i="21"/>
  <c r="D48" i="21"/>
  <c r="D44" i="21"/>
  <c r="D46" i="21"/>
  <c r="D58" i="21"/>
  <c r="D42" i="21"/>
  <c r="M27" i="21"/>
  <c r="M24" i="21"/>
  <c r="Y17" i="21"/>
  <c r="X17" i="21"/>
  <c r="Y19" i="21"/>
  <c r="W17" i="21"/>
  <c r="C17" i="21"/>
  <c r="B17" i="21"/>
  <c r="A19" i="21"/>
  <c r="A17" i="21"/>
  <c r="D62" i="20"/>
  <c r="D60" i="20"/>
  <c r="D56" i="20"/>
  <c r="D52" i="20"/>
  <c r="D54" i="20"/>
  <c r="D50" i="20"/>
  <c r="D48" i="20"/>
  <c r="D42" i="20"/>
  <c r="D44" i="20"/>
  <c r="D46" i="20"/>
  <c r="D58" i="20"/>
  <c r="M24" i="20"/>
  <c r="Y17" i="20"/>
  <c r="X17" i="20"/>
  <c r="Y19" i="20"/>
  <c r="W17" i="20"/>
  <c r="C17" i="20"/>
  <c r="A17" i="20"/>
  <c r="B17" i="20"/>
  <c r="A19" i="20"/>
  <c r="S20" i="17"/>
  <c r="S21" i="17"/>
  <c r="S19" i="17"/>
  <c r="D20" i="17"/>
  <c r="D21" i="17"/>
  <c r="D19" i="17"/>
  <c r="D62" i="19"/>
  <c r="D60" i="19"/>
  <c r="D56" i="19"/>
  <c r="D52" i="19"/>
  <c r="D54" i="19"/>
  <c r="D50" i="19"/>
  <c r="D48" i="19"/>
  <c r="D42" i="19"/>
  <c r="D44" i="19"/>
  <c r="D46" i="19"/>
  <c r="D58" i="19"/>
  <c r="M27" i="19"/>
  <c r="M24" i="19"/>
  <c r="X17" i="19"/>
  <c r="Y19" i="19"/>
  <c r="W17" i="19"/>
  <c r="Y17" i="19"/>
  <c r="C17" i="19"/>
  <c r="A17" i="19"/>
  <c r="B17" i="19"/>
  <c r="A19" i="19"/>
  <c r="D62" i="18"/>
  <c r="D60" i="18"/>
  <c r="D56" i="18"/>
  <c r="D52" i="18"/>
  <c r="D54" i="18"/>
  <c r="D50" i="18"/>
  <c r="D48" i="18"/>
  <c r="D42" i="18"/>
  <c r="D44" i="18"/>
  <c r="D46" i="18"/>
  <c r="D58" i="18"/>
  <c r="M24" i="18"/>
  <c r="X17" i="18"/>
  <c r="Y19" i="18"/>
  <c r="W17" i="18"/>
  <c r="Y17" i="18"/>
  <c r="C17" i="18"/>
  <c r="A17" i="18"/>
  <c r="B17" i="18"/>
  <c r="A19" i="18"/>
  <c r="S20" i="9"/>
  <c r="S21" i="9"/>
  <c r="S19" i="9"/>
  <c r="D19" i="9"/>
  <c r="D20" i="9"/>
  <c r="D21" i="9"/>
  <c r="M27" i="14"/>
  <c r="M27" i="11"/>
  <c r="M27" i="17"/>
  <c r="M24" i="17"/>
  <c r="M24" i="9"/>
  <c r="M24" i="11"/>
  <c r="M24" i="14"/>
  <c r="D62" i="17"/>
  <c r="D60" i="17"/>
  <c r="D56" i="17"/>
  <c r="D52" i="17"/>
  <c r="D54" i="17"/>
  <c r="D50" i="17"/>
  <c r="D48" i="17"/>
  <c r="D42" i="17"/>
  <c r="D44" i="17"/>
  <c r="D46" i="17"/>
  <c r="Y19" i="17"/>
  <c r="X17" i="17"/>
  <c r="W17" i="17"/>
  <c r="Y17" i="17"/>
  <c r="C17" i="17"/>
  <c r="B17" i="17"/>
  <c r="A19" i="17"/>
  <c r="A17" i="17"/>
  <c r="D58" i="17"/>
  <c r="E1" i="6"/>
  <c r="D62" i="14"/>
  <c r="D60" i="14"/>
  <c r="D56" i="14"/>
  <c r="D52" i="14"/>
  <c r="D54" i="14"/>
  <c r="D50" i="14"/>
  <c r="D48" i="14"/>
  <c r="D42" i="14"/>
  <c r="D44" i="14"/>
  <c r="D46" i="14"/>
  <c r="X17" i="14"/>
  <c r="Y19" i="14"/>
  <c r="W17" i="14"/>
  <c r="C17" i="14"/>
  <c r="B17" i="14"/>
  <c r="A19" i="14"/>
  <c r="D58" i="14"/>
  <c r="E1" i="15"/>
  <c r="Y17" i="14"/>
  <c r="A17" i="14"/>
  <c r="D62" i="11"/>
  <c r="D60" i="11"/>
  <c r="D56" i="11"/>
  <c r="D52" i="11"/>
  <c r="D54" i="11"/>
  <c r="D50" i="11"/>
  <c r="D48" i="11"/>
  <c r="D42" i="11"/>
  <c r="D44" i="11"/>
  <c r="D46" i="11"/>
  <c r="X17" i="11"/>
  <c r="Y19" i="11"/>
  <c r="W17" i="11"/>
  <c r="C17" i="11"/>
  <c r="B17" i="11"/>
  <c r="A19" i="11"/>
  <c r="Y17" i="11"/>
  <c r="D58" i="11"/>
  <c r="E1" i="12"/>
  <c r="A17" i="11"/>
  <c r="D62" i="9"/>
  <c r="D60" i="9"/>
  <c r="D56" i="9"/>
  <c r="D52" i="9"/>
  <c r="D54" i="9"/>
  <c r="D50" i="9"/>
  <c r="D48" i="9"/>
  <c r="D42" i="9"/>
  <c r="D44" i="9"/>
  <c r="D46" i="9"/>
  <c r="E1" i="3"/>
  <c r="X17" i="9"/>
  <c r="Y19" i="9"/>
  <c r="W17" i="9"/>
  <c r="C17" i="9"/>
  <c r="B17" i="9"/>
  <c r="A19" i="9"/>
  <c r="Y17" i="9"/>
  <c r="A17" i="9"/>
  <c r="D58" i="9"/>
</calcChain>
</file>

<file path=xl/sharedStrings.xml><?xml version="1.0" encoding="utf-8"?>
<sst xmlns="http://schemas.openxmlformats.org/spreadsheetml/2006/main" count="432" uniqueCount="69">
  <si>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</si>
  <si>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</si>
  <si>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</si>
  <si>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</si>
  <si>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</si>
  <si>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</si>
  <si>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</si>
  <si>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</si>
  <si>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</si>
  <si>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</si>
  <si>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</si>
  <si>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</si>
  <si>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</si>
  <si>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</si>
  <si>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</si>
  <si>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</si>
  <si>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</si>
  <si>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</si>
  <si>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</si>
  <si>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</si>
  <si>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</si>
  <si>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</si>
  <si>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</si>
  <si>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</si>
  <si>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</si>
  <si>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</si>
  <si>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</si>
  <si>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</si>
  <si>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</si>
  <si>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</si>
  <si>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</si>
  <si>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</si>
  <si>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</si>
  <si>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</si>
  <si>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</si>
  <si>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</si>
  <si>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</si>
  <si>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</si>
  <si>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</si>
  <si>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</si>
  <si>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</si>
  <si>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</si>
  <si>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</si>
  <si>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</si>
  <si>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</si>
  <si>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</si>
  <si>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</si>
  <si>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</si>
  <si>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</si>
  <si>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</si>
  <si>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</si>
  <si>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</si>
  <si>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</si>
  <si>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</si>
  <si>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</si>
  <si>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</si>
  <si>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</si>
  <si>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</si>
  <si>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</si>
  <si>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</si>
  <si>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</si>
  <si>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</si>
  <si>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</si>
  <si>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</si>
  <si>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</si>
  <si>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</si>
  <si>
    <t>PMS CPU/pc</t>
  </si>
  <si>
    <t>Operator Name</t>
    <phoneticPr fontId="1" type="noConversion"/>
  </si>
  <si>
    <t>EFT%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</si>
</sst>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5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  <font>
      <b/>
      <sz val="11"/>
      <color indexed="9"/>
      <name val="Tahoma"/>
      <family val="2"/>
    </font>
    <font>
      <sz val="10"/>
      <color theme="1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  <font>
      <b/>
      <sz val="16"/>
      <color indexed="18"/>
      <name val="Tahoma"/>
      <family val="2"/>
    </font>
    <font>
      <b/>
      <sz val="11"/>
      <name val="Tahoma"/>
      <family val="2"/>
    </font>
    <font>
      <sz val="11"/>
      <color indexed="9"/>
      <name val="Tahoma"/>
      <family val="2"/>
    </font>
    <font>
      <sz val="11"/>
      <color theme="1"/>
      <name val="Tahoma"/>
      <family val="2"/>
    </font>
    <font>
      <b/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440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52" fillId="0" borderId="73" xfId="23" applyFont="1" applyFill="1" applyBorder="1" applyAlignment="1" applyProtection="1">
      <alignment horizontal="center" vertical="center" wrapText="1"/>
      <protection hidden="1"/>
    </xf>
    <xf numFmtId="0" fontId="52" fillId="0" borderId="51" xfId="23" applyFont="1" applyFill="1" applyBorder="1" applyAlignment="1" applyProtection="1">
      <alignment horizontal="center" vertical="center" wrapText="1"/>
      <protection hidden="1"/>
    </xf>
    <xf numFmtId="0" fontId="52" fillId="0" borderId="32" xfId="23" applyFont="1" applyFill="1" applyBorder="1" applyAlignment="1" applyProtection="1">
      <alignment horizontal="center" vertical="center" wrapText="1"/>
      <protection hidden="1"/>
    </xf>
    <xf numFmtId="0" fontId="52" fillId="0" borderId="52" xfId="23" applyFont="1" applyFill="1" applyBorder="1" applyAlignment="1" applyProtection="1">
      <alignment horizontal="center" vertical="center" wrapText="1"/>
      <protection hidden="1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52" fillId="0" borderId="100" xfId="23" applyFont="1" applyFill="1" applyBorder="1" applyAlignment="1" applyProtection="1">
      <alignment horizontal="center" vertical="center" wrapText="1"/>
      <protection hidden="1"/>
    </xf>
    <xf numFmtId="0" fontId="52" fillId="0" borderId="101" xfId="23" applyFont="1" applyFill="1" applyBorder="1" applyAlignment="1" applyProtection="1">
      <alignment horizontal="center" vertical="center" wrapText="1"/>
      <protection hidden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5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52" fillId="0" borderId="50" xfId="23" applyFont="1" applyFill="1" applyBorder="1" applyAlignment="1" applyProtection="1">
      <alignment horizontal="center" vertical="center" wrapText="1"/>
      <protection hidden="1"/>
    </xf>
    <xf numFmtId="0" fontId="52" fillId="0" borderId="54" xfId="23" applyFont="1" applyFill="1" applyBorder="1" applyAlignment="1" applyProtection="1">
      <alignment horizontal="center" vertical="center" wrapText="1"/>
      <protection hidden="1"/>
    </xf>
    <xf numFmtId="180" fontId="28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34" fillId="0" borderId="100" xfId="23" applyFont="1" applyFill="1" applyBorder="1" applyAlignment="1" applyProtection="1">
      <alignment horizontal="center" vertical="center" wrapText="1"/>
      <protection hidden="1"/>
    </xf>
    <xf numFmtId="0" fontId="34" fillId="0" borderId="101" xfId="23" applyFont="1" applyFill="1" applyBorder="1" applyAlignment="1" applyProtection="1">
      <alignment horizontal="center" vertical="center" wrapText="1"/>
      <protection hidden="1"/>
    </xf>
    <xf numFmtId="0" fontId="34" fillId="0" borderId="50" xfId="23" applyFont="1" applyFill="1" applyBorder="1" applyAlignment="1" applyProtection="1">
      <alignment horizontal="center" vertical="center" wrapText="1"/>
      <protection hidden="1"/>
    </xf>
    <xf numFmtId="0" fontId="34" fillId="0" borderId="54" xfId="23" applyFont="1" applyFill="1" applyBorder="1" applyAlignment="1" applyProtection="1">
      <alignment horizontal="center" vertical="center" wrapText="1"/>
      <protection hidden="1"/>
    </xf>
    <xf numFmtId="180" fontId="41" fillId="0" borderId="10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33" xfId="23" applyNumberFormat="1" applyFont="1" applyFill="1" applyBorder="1" applyAlignment="1" applyProtection="1">
      <alignment horizontal="center" vertical="center" wrapText="1"/>
      <protection locked="0"/>
    </xf>
    <xf numFmtId="180" fontId="21" fillId="0" borderId="48" xfId="23" applyNumberFormat="1" applyFont="1" applyFill="1" applyBorder="1" applyAlignment="1" applyProtection="1">
      <alignment horizontal="center" vertical="center" wrapText="1"/>
      <protection locked="0"/>
    </xf>
    <xf numFmtId="0" fontId="0" fillId="0" borderId="104" xfId="0" applyFill="1" applyBorder="1">
      <alignment vertical="center"/>
    </xf>
    <xf numFmtId="0" fontId="3" fillId="3" borderId="4" xfId="23" applyFill="1" applyBorder="1"/>
    <xf numFmtId="180" fontId="43" fillId="0" borderId="103" xfId="23" applyNumberFormat="1" applyFont="1" applyBorder="1" applyAlignment="1" applyProtection="1">
      <alignment horizontal="center" vertical="center" wrapText="1"/>
      <protection locked="0"/>
    </xf>
    <xf numFmtId="180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9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110" xfId="23" applyNumberFormat="1" applyFont="1" applyBorder="1" applyAlignment="1" applyProtection="1">
      <alignment horizontal="center" vertical="center" wrapText="1"/>
      <protection locked="0"/>
    </xf>
    <xf numFmtId="180" fontId="21" fillId="0" borderId="111" xfId="23" applyNumberFormat="1" applyFont="1" applyBorder="1" applyAlignment="1" applyProtection="1">
      <alignment horizontal="center" vertical="center" wrapText="1"/>
      <protection locked="0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48" xfId="23" applyNumberFormat="1" applyFont="1" applyFill="1" applyBorder="1" applyAlignment="1" applyProtection="1">
      <alignment horizontal="center" vertical="center" wrapText="1"/>
      <protection locked="0"/>
    </xf>
    <xf numFmtId="180" fontId="41" fillId="0" borderId="48" xfId="23" applyNumberFormat="1" applyFont="1" applyFill="1" applyBorder="1" applyAlignment="1" applyProtection="1">
      <alignment horizontal="center" vertical="center" wrapText="1"/>
      <protection hidden="1"/>
    </xf>
    <xf numFmtId="180" fontId="55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56" fillId="0" borderId="48" xfId="23" applyNumberFormat="1" applyFont="1" applyBorder="1" applyAlignment="1" applyProtection="1">
      <alignment horizontal="center" vertical="center" wrapText="1"/>
      <protection locked="0"/>
    </xf>
    <xf numFmtId="180" fontId="55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52" xfId="18" applyNumberFormat="1" applyFont="1" applyFill="1" applyBorder="1" applyAlignment="1" applyProtection="1">
      <alignment horizontal="left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49" fillId="4" borderId="70" xfId="23" applyFont="1" applyFill="1" applyBorder="1" applyAlignment="1" applyProtection="1">
      <alignment horizontal="center" vertical="center" wrapText="1"/>
      <protection locked="0"/>
    </xf>
    <xf numFmtId="0" fontId="49" fillId="4" borderId="17" xfId="23" applyFont="1" applyFill="1" applyBorder="1" applyAlignment="1" applyProtection="1">
      <alignment horizontal="center" vertical="center" wrapText="1"/>
      <protection locked="0"/>
    </xf>
    <xf numFmtId="0" fontId="49" fillId="4" borderId="18" xfId="23" applyFont="1" applyFill="1" applyBorder="1" applyAlignment="1" applyProtection="1">
      <alignment horizontal="center" vertical="center" wrapText="1"/>
      <protection locked="0"/>
    </xf>
    <xf numFmtId="0" fontId="49" fillId="4" borderId="62" xfId="23" applyFont="1" applyFill="1" applyBorder="1" applyAlignment="1" applyProtection="1">
      <alignment horizontal="center" vertical="center" wrapText="1"/>
      <protection locked="0"/>
    </xf>
    <xf numFmtId="0" fontId="49" fillId="4" borderId="2" xfId="23" applyFont="1" applyFill="1" applyBorder="1" applyAlignment="1" applyProtection="1">
      <alignment horizontal="center" vertical="center" wrapText="1"/>
      <protection locked="0"/>
    </xf>
    <xf numFmtId="0" fontId="49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25" xfId="23" applyFont="1" applyFill="1" applyBorder="1" applyAlignment="1" applyProtection="1">
      <alignment horizontal="center" vertical="center" wrapText="1"/>
      <protection locked="0"/>
    </xf>
    <xf numFmtId="0" fontId="49" fillId="4" borderId="1" xfId="23" applyFont="1" applyFill="1" applyBorder="1" applyAlignment="1" applyProtection="1">
      <alignment horizontal="center" vertical="center" wrapText="1"/>
      <protection locked="0"/>
    </xf>
    <xf numFmtId="0" fontId="49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49" fillId="4" borderId="9" xfId="23" applyFont="1" applyFill="1" applyBorder="1" applyAlignment="1" applyProtection="1">
      <alignment horizontal="center" vertical="center" wrapText="1"/>
      <protection locked="0"/>
    </xf>
    <xf numFmtId="0" fontId="49" fillId="4" borderId="4" xfId="23" applyFont="1" applyFill="1" applyBorder="1" applyAlignment="1" applyProtection="1">
      <alignment horizontal="center" vertical="center" wrapText="1"/>
      <protection locked="0"/>
    </xf>
    <xf numFmtId="0" fontId="49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56" xfId="23" applyFont="1" applyFill="1" applyBorder="1" applyAlignment="1" applyProtection="1">
      <alignment horizontal="center" vertical="center" wrapText="1"/>
      <protection locked="0"/>
    </xf>
    <xf numFmtId="0" fontId="54" fillId="4" borderId="57" xfId="23" applyFont="1" applyFill="1" applyBorder="1" applyAlignment="1" applyProtection="1">
      <alignment horizontal="center" vertical="center" wrapText="1"/>
      <protection locked="0"/>
    </xf>
    <xf numFmtId="0" fontId="54" fillId="4" borderId="58" xfId="23" applyFont="1" applyFill="1" applyBorder="1" applyAlignment="1" applyProtection="1">
      <alignment horizontal="center" vertical="center" wrapText="1"/>
      <protection locked="0"/>
    </xf>
    <xf numFmtId="0" fontId="49" fillId="4" borderId="41" xfId="23" applyFont="1" applyFill="1" applyBorder="1" applyAlignment="1" applyProtection="1">
      <alignment horizontal="center" vertical="center" wrapText="1"/>
      <protection locked="0"/>
    </xf>
    <xf numFmtId="0" fontId="49" fillId="4" borderId="42" xfId="23" applyFont="1" applyFill="1" applyBorder="1" applyAlignment="1" applyProtection="1">
      <alignment horizontal="center" vertical="center" wrapText="1"/>
      <protection locked="0"/>
    </xf>
    <xf numFmtId="0" fontId="49" fillId="4" borderId="43" xfId="23" applyFont="1" applyFill="1" applyBorder="1" applyAlignment="1" applyProtection="1">
      <alignment horizontal="center" vertical="center" wrapText="1"/>
      <protection locked="0"/>
    </xf>
    <xf numFmtId="0" fontId="49" fillId="4" borderId="27" xfId="23" applyFont="1" applyFill="1" applyBorder="1" applyAlignment="1" applyProtection="1">
      <alignment horizontal="center" vertical="center" wrapText="1"/>
      <protection locked="0"/>
    </xf>
    <xf numFmtId="0" fontId="49" fillId="4" borderId="55" xfId="23" applyFont="1" applyFill="1" applyBorder="1" applyAlignment="1" applyProtection="1">
      <alignment horizontal="center" vertical="center" wrapText="1"/>
      <protection locked="0"/>
    </xf>
    <xf numFmtId="0" fontId="49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46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33" fillId="0" borderId="38" xfId="23" applyNumberFormat="1" applyFont="1" applyBorder="1" applyAlignment="1" applyProtection="1">
      <alignment horizontal="center" vertical="center" wrapText="1"/>
      <protection locked="0"/>
    </xf>
    <xf numFmtId="49" fontId="33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49" fillId="4" borderId="28" xfId="23" applyFont="1" applyFill="1" applyBorder="1" applyAlignment="1" applyProtection="1">
      <alignment horizontal="center" vertical="center" wrapText="1"/>
      <protection locked="0"/>
    </xf>
    <xf numFmtId="0" fontId="49" fillId="4" borderId="23" xfId="23" applyFont="1" applyFill="1" applyBorder="1" applyAlignment="1" applyProtection="1">
      <alignment horizontal="center" vertical="center" wrapText="1"/>
      <protection locked="0"/>
    </xf>
    <xf numFmtId="0" fontId="49" fillId="4" borderId="29" xfId="23" applyFont="1" applyFill="1" applyBorder="1" applyAlignment="1" applyProtection="1">
      <alignment horizontal="center" vertical="center" wrapText="1"/>
      <protection locked="0"/>
    </xf>
    <xf numFmtId="0" fontId="49" fillId="4" borderId="24" xfId="23" applyFont="1" applyFill="1" applyBorder="1" applyAlignment="1" applyProtection="1">
      <alignment horizontal="center" vertical="center" wrapText="1"/>
      <protection locked="0"/>
    </xf>
    <xf numFmtId="0" fontId="49" fillId="4" borderId="30" xfId="23" applyFont="1" applyFill="1" applyBorder="1" applyAlignment="1" applyProtection="1">
      <alignment horizontal="center" vertical="center" wrapText="1"/>
      <protection locked="0"/>
    </xf>
    <xf numFmtId="0" fontId="49" fillId="4" borderId="26" xfId="23" applyFont="1" applyFill="1" applyBorder="1" applyAlignment="1" applyProtection="1">
      <alignment horizontal="center" vertical="center" wrapText="1"/>
      <protection locked="0"/>
    </xf>
    <xf numFmtId="0" fontId="49" fillId="4" borderId="5" xfId="23" applyFont="1" applyFill="1" applyBorder="1" applyAlignment="1" applyProtection="1">
      <alignment horizontal="center" vertical="center" wrapText="1"/>
      <protection locked="0"/>
    </xf>
    <xf numFmtId="0" fontId="49" fillId="4" borderId="21" xfId="23" applyFont="1" applyFill="1" applyBorder="1" applyAlignment="1" applyProtection="1">
      <alignment horizontal="center" vertical="center" wrapText="1"/>
      <protection locked="0"/>
    </xf>
    <xf numFmtId="0" fontId="49" fillId="4" borderId="22" xfId="23" applyFont="1" applyFill="1" applyBorder="1" applyAlignment="1" applyProtection="1">
      <alignment horizontal="center" vertical="center" wrapText="1"/>
      <protection locked="0"/>
    </xf>
    <xf numFmtId="0" fontId="49" fillId="4" borderId="66" xfId="23" applyFont="1" applyFill="1" applyBorder="1" applyAlignment="1" applyProtection="1">
      <alignment horizontal="center" vertical="center" wrapText="1"/>
      <protection locked="0"/>
    </xf>
    <xf numFmtId="0" fontId="49" fillId="4" borderId="67" xfId="23" applyFont="1" applyFill="1" applyBorder="1" applyAlignment="1" applyProtection="1">
      <alignment horizontal="center" vertical="center" wrapText="1"/>
      <protection locked="0"/>
    </xf>
    <xf numFmtId="0" fontId="49" fillId="4" borderId="68" xfId="23" applyFont="1" applyFill="1" applyBorder="1" applyAlignment="1" applyProtection="1">
      <alignment horizontal="center" vertical="center" wrapText="1"/>
      <protection locked="0"/>
    </xf>
    <xf numFmtId="0" fontId="49" fillId="4" borderId="0" xfId="23" applyFont="1" applyFill="1" applyBorder="1" applyAlignment="1" applyProtection="1">
      <alignment horizontal="center" vertical="center" wrapText="1"/>
      <protection locked="0"/>
    </xf>
    <xf numFmtId="0" fontId="49" fillId="4" borderId="34" xfId="23" applyFont="1" applyFill="1" applyBorder="1" applyAlignment="1" applyProtection="1">
      <alignment horizontal="center" vertical="center" wrapText="1"/>
      <protection locked="0"/>
    </xf>
    <xf numFmtId="0" fontId="49" fillId="4" borderId="35" xfId="23" applyFont="1" applyFill="1" applyBorder="1" applyAlignment="1" applyProtection="1">
      <alignment horizontal="center" vertical="center" wrapText="1"/>
      <protection locked="0"/>
    </xf>
    <xf numFmtId="0" fontId="49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53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53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19" fillId="0" borderId="5" xfId="23" applyNumberFormat="1" applyFont="1" applyFill="1" applyBorder="1" applyAlignment="1" applyProtection="1">
      <alignment horizontal="center" vertical="center"/>
      <protection hidden="1"/>
    </xf>
    <xf numFmtId="9" fontId="19" fillId="0" borderId="8" xfId="23" applyNumberFormat="1" applyFont="1" applyFill="1" applyBorder="1" applyAlignment="1" applyProtection="1">
      <alignment horizontal="center" vertical="center"/>
      <protection hidden="1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left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2" fillId="4" borderId="77" xfId="23" applyFont="1" applyFill="1" applyBorder="1" applyAlignment="1" applyProtection="1">
      <alignment horizontal="center" vertical="center" wrapText="1"/>
      <protection locked="0"/>
    </xf>
    <xf numFmtId="0" fontId="50" fillId="0" borderId="63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47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50" fillId="0" borderId="80" xfId="0" applyFont="1" applyBorder="1" applyAlignment="1">
      <alignment horizontal="center" vertical="center" wrapText="1"/>
    </xf>
    <xf numFmtId="0" fontId="50" fillId="0" borderId="60" xfId="0" applyFont="1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9" fontId="19" fillId="0" borderId="15" xfId="23" applyNumberFormat="1" applyFont="1" applyFill="1" applyBorder="1" applyAlignment="1" applyProtection="1">
      <alignment horizontal="center" vertical="center"/>
      <protection hidden="1"/>
    </xf>
    <xf numFmtId="9" fontId="19" fillId="0" borderId="79" xfId="23" applyNumberFormat="1" applyFont="1" applyFill="1" applyBorder="1" applyAlignment="1" applyProtection="1">
      <alignment horizontal="center" vertical="center"/>
      <protection hidden="1"/>
    </xf>
    <xf numFmtId="1" fontId="55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30" fillId="0" borderId="51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52" xfId="18" applyNumberFormat="1" applyFont="1" applyFill="1" applyBorder="1" applyAlignment="1" applyProtection="1">
      <alignment horizontal="center" vertical="center" wrapText="1"/>
      <protection hidden="1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9" fontId="25" fillId="0" borderId="9" xfId="23" applyNumberFormat="1" applyFont="1" applyFill="1" applyBorder="1" applyAlignment="1" applyProtection="1">
      <alignment horizontal="center" vertical="center"/>
      <protection hidden="1"/>
    </xf>
    <xf numFmtId="9" fontId="25" fillId="0" borderId="11" xfId="23" applyNumberFormat="1" applyFont="1" applyFill="1" applyBorder="1" applyAlignment="1" applyProtection="1">
      <alignment horizontal="center" vertical="center"/>
      <protection hidden="1"/>
    </xf>
    <xf numFmtId="1" fontId="46" fillId="0" borderId="15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79" xfId="23" applyNumberFormat="1" applyFont="1" applyFill="1" applyBorder="1" applyAlignment="1" applyProtection="1">
      <alignment horizontal="center" vertical="center" wrapText="1"/>
      <protection hidden="1"/>
    </xf>
    <xf numFmtId="0" fontId="33" fillId="2" borderId="98" xfId="18" applyFont="1" applyFill="1" applyBorder="1" applyAlignment="1" applyProtection="1">
      <alignment horizontal="center" vertical="center" wrapText="1"/>
      <protection locked="0"/>
    </xf>
    <xf numFmtId="0" fontId="33" fillId="2" borderId="99" xfId="18" applyFont="1" applyFill="1" applyBorder="1" applyAlignment="1" applyProtection="1">
      <alignment horizontal="center" vertical="center" wrapText="1"/>
      <protection locked="0"/>
    </xf>
    <xf numFmtId="0" fontId="22" fillId="0" borderId="102" xfId="23" applyFont="1" applyFill="1" applyBorder="1" applyAlignment="1" applyProtection="1">
      <alignment horizontal="center" vertical="center" wrapText="1"/>
      <protection locked="0"/>
    </xf>
    <xf numFmtId="0" fontId="22" fillId="0" borderId="106" xfId="23" applyFont="1" applyFill="1" applyBorder="1" applyAlignment="1" applyProtection="1">
      <alignment horizontal="center" vertical="center" wrapText="1"/>
      <protection locked="0"/>
    </xf>
    <xf numFmtId="0" fontId="22" fillId="0" borderId="107" xfId="23" applyFont="1" applyFill="1" applyBorder="1" applyAlignment="1" applyProtection="1">
      <alignment horizontal="center" vertical="center" wrapText="1"/>
      <protection locked="0"/>
    </xf>
    <xf numFmtId="0" fontId="22" fillId="0" borderId="108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102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1" fontId="21" fillId="0" borderId="109" xfId="23" applyNumberFormat="1" applyFont="1" applyFill="1" applyBorder="1" applyAlignment="1" applyProtection="1">
      <alignment horizontal="center" vertical="center"/>
      <protection hidden="1"/>
    </xf>
    <xf numFmtId="1" fontId="21" fillId="0" borderId="102" xfId="23" applyNumberFormat="1" applyFont="1" applyFill="1" applyBorder="1" applyAlignment="1" applyProtection="1">
      <alignment horizontal="center" vertical="center"/>
      <protection hidden="1"/>
    </xf>
    <xf numFmtId="1" fontId="21" fillId="0" borderId="25" xfId="23" applyNumberFormat="1" applyFont="1" applyFill="1" applyBorder="1" applyAlignment="1" applyProtection="1">
      <alignment horizontal="center" vertical="center"/>
      <protection hidden="1"/>
    </xf>
    <xf numFmtId="1" fontId="41" fillId="0" borderId="0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0" applyFont="1" applyBorder="1" applyAlignment="1">
      <alignment horizontal="center" vertical="center" wrapText="1"/>
    </xf>
    <xf numFmtId="1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08" xfId="0" applyFont="1" applyFill="1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48" xfId="18" applyNumberFormat="1" applyFont="1" applyFill="1" applyBorder="1" applyAlignment="1" applyProtection="1">
      <alignment horizontal="center" vertical="center" wrapText="1"/>
      <protection hidden="1"/>
    </xf>
    <xf numFmtId="49" fontId="27" fillId="0" borderId="3" xfId="23" applyNumberFormat="1" applyFont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48" xfId="18" applyNumberFormat="1" applyFont="1" applyFill="1" applyBorder="1" applyAlignment="1" applyProtection="1">
      <alignment horizontal="left" vertical="center" wrapText="1"/>
      <protection hidden="1"/>
    </xf>
    <xf numFmtId="0" fontId="22" fillId="0" borderId="0" xfId="23" applyFont="1" applyFill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Fill="1" applyBorder="1" applyAlignment="1" applyProtection="1">
      <alignment horizontal="center" vertical="center" wrapText="1"/>
      <protection locked="0"/>
    </xf>
    <xf numFmtId="1" fontId="41" fillId="0" borderId="10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>
      <alignment horizontal="center" vertical="center" wrapText="1"/>
    </xf>
    <xf numFmtId="0" fontId="33" fillId="0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>
      <alignment horizontal="center" vertical="center" wrapText="1"/>
    </xf>
    <xf numFmtId="0" fontId="33" fillId="0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>
      <alignment horizontal="center" vertical="center" wrapText="1"/>
    </xf>
    <xf numFmtId="0" fontId="0" fillId="0" borderId="99" xfId="0" applyBorder="1" applyAlignment="1">
      <alignment horizontal="center" vertical="center" wrapText="1"/>
    </xf>
    <xf numFmtId="0" fontId="22" fillId="0" borderId="105" xfId="23" applyFont="1" applyFill="1" applyBorder="1" applyAlignment="1" applyProtection="1">
      <alignment horizontal="center" vertical="center" wrapText="1"/>
      <protection locked="0"/>
    </xf>
    <xf numFmtId="0" fontId="49" fillId="4" borderId="102" xfId="23" applyFont="1" applyFill="1" applyBorder="1" applyAlignment="1" applyProtection="1">
      <alignment horizontal="center" vertical="center" wrapText="1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22518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zoomScale="85" zoomScaleNormal="85" workbookViewId="0">
      <pane ySplit="5" topLeftCell="A15" activePane="bottomLeft" state="frozen"/>
      <selection pane="bottomLeft" sqref="A1:C1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43" t="s">
        <v>53</v>
      </c>
      <c r="B1" s="143"/>
      <c r="C1" s="144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13" zoomScale="65" zoomScaleNormal="65" workbookViewId="0">
      <selection activeCell="D17" sqref="D17:D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" style="5" customWidth="1"/>
    <col min="35" max="36" width="9" style="5" hidden="1" customWidth="1"/>
    <col min="37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219" t="s">
        <v>13</v>
      </c>
      <c r="B12" s="187" t="s">
        <v>51</v>
      </c>
      <c r="C12" s="184" t="s">
        <v>2</v>
      </c>
      <c r="D12" s="184" t="s">
        <v>39</v>
      </c>
      <c r="E12" s="178" t="s">
        <v>15</v>
      </c>
      <c r="F12" s="178"/>
      <c r="G12" s="178"/>
      <c r="H12" s="178"/>
      <c r="I12" s="223"/>
      <c r="J12" s="210" t="s">
        <v>49</v>
      </c>
      <c r="K12" s="211"/>
      <c r="L12" s="216" t="s">
        <v>50</v>
      </c>
      <c r="N12" s="24"/>
      <c r="P12" s="219" t="s">
        <v>50</v>
      </c>
      <c r="Q12" s="178" t="s">
        <v>49</v>
      </c>
      <c r="R12" s="211"/>
      <c r="S12" s="184" t="s">
        <v>39</v>
      </c>
      <c r="T12" s="178" t="s">
        <v>15</v>
      </c>
      <c r="U12" s="178"/>
      <c r="V12" s="223"/>
      <c r="W12" s="184" t="s">
        <v>2</v>
      </c>
      <c r="X12" s="187" t="s">
        <v>51</v>
      </c>
      <c r="Y12" s="190" t="s">
        <v>13</v>
      </c>
    </row>
    <row r="13" spans="1:25" ht="12.75" customHeight="1">
      <c r="A13" s="220"/>
      <c r="B13" s="188"/>
      <c r="C13" s="185"/>
      <c r="D13" s="185"/>
      <c r="E13" s="222"/>
      <c r="F13" s="222"/>
      <c r="G13" s="222"/>
      <c r="H13" s="222"/>
      <c r="I13" s="224"/>
      <c r="J13" s="212"/>
      <c r="K13" s="213"/>
      <c r="L13" s="217"/>
      <c r="N13" s="24"/>
      <c r="P13" s="220"/>
      <c r="Q13" s="222"/>
      <c r="R13" s="213"/>
      <c r="S13" s="185"/>
      <c r="T13" s="222"/>
      <c r="U13" s="222"/>
      <c r="V13" s="224"/>
      <c r="W13" s="185"/>
      <c r="X13" s="188"/>
      <c r="Y13" s="191"/>
    </row>
    <row r="14" spans="1:25" ht="12.75" customHeight="1">
      <c r="A14" s="220"/>
      <c r="B14" s="188"/>
      <c r="C14" s="185"/>
      <c r="D14" s="185"/>
      <c r="E14" s="222"/>
      <c r="F14" s="222"/>
      <c r="G14" s="222"/>
      <c r="H14" s="222"/>
      <c r="I14" s="224"/>
      <c r="J14" s="212"/>
      <c r="K14" s="213"/>
      <c r="L14" s="217"/>
      <c r="N14" s="24"/>
      <c r="P14" s="220"/>
      <c r="Q14" s="222"/>
      <c r="R14" s="213"/>
      <c r="S14" s="185"/>
      <c r="T14" s="222"/>
      <c r="U14" s="222"/>
      <c r="V14" s="224"/>
      <c r="W14" s="185"/>
      <c r="X14" s="188"/>
      <c r="Y14" s="191"/>
    </row>
    <row r="15" spans="1:25" ht="12.75" customHeight="1" thickBot="1">
      <c r="A15" s="221"/>
      <c r="B15" s="189"/>
      <c r="C15" s="186"/>
      <c r="D15" s="186"/>
      <c r="E15" s="171"/>
      <c r="F15" s="171"/>
      <c r="G15" s="171"/>
      <c r="H15" s="171"/>
      <c r="I15" s="225"/>
      <c r="J15" s="214"/>
      <c r="K15" s="215"/>
      <c r="L15" s="218"/>
      <c r="N15" s="24"/>
      <c r="P15" s="221"/>
      <c r="Q15" s="171"/>
      <c r="R15" s="215"/>
      <c r="S15" s="186"/>
      <c r="T15" s="171"/>
      <c r="U15" s="171"/>
      <c r="V15" s="225"/>
      <c r="W15" s="186"/>
      <c r="X15" s="189"/>
      <c r="Y15" s="19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193" t="str">
        <f>IF(ISERROR((C17-B17)/C17),"",(C17-B17)/C17)</f>
        <v/>
      </c>
      <c r="B17" s="195">
        <f>SUM(B19:B21)</f>
        <v>0</v>
      </c>
      <c r="C17" s="197">
        <f>SUM(C19:C21)</f>
        <v>0</v>
      </c>
      <c r="D17" s="197"/>
      <c r="E17" s="200" t="s">
        <v>67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197"/>
      <c r="T17" s="200" t="s">
        <v>14</v>
      </c>
      <c r="U17" s="202"/>
      <c r="V17" s="204"/>
      <c r="W17" s="248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194"/>
      <c r="B18" s="196"/>
      <c r="C18" s="198"/>
      <c r="D18" s="199"/>
      <c r="E18" s="201"/>
      <c r="F18" s="205"/>
      <c r="G18" s="206"/>
      <c r="H18" s="206"/>
      <c r="I18" s="207"/>
      <c r="J18" s="209"/>
      <c r="K18" s="235"/>
      <c r="L18" s="237"/>
      <c r="N18" s="24"/>
      <c r="P18" s="239"/>
      <c r="Q18" s="241"/>
      <c r="R18" s="243"/>
      <c r="S18" s="199"/>
      <c r="T18" s="201"/>
      <c r="U18" s="205"/>
      <c r="V18" s="207"/>
      <c r="W18" s="249"/>
      <c r="X18" s="245"/>
      <c r="Y18" s="247"/>
    </row>
    <row r="19" spans="1:25" s="7" customFormat="1" ht="36" customHeight="1">
      <c r="A19" s="251" t="str">
        <f>IF(ISERROR(IF(B17="",3600/C17,3600/B17)),"",IF(B17="",3600/C17,3600/B17))</f>
        <v/>
      </c>
      <c r="B19" s="10"/>
      <c r="C19" s="137"/>
      <c r="D19" s="117">
        <f>AI19</f>
        <v>0</v>
      </c>
      <c r="E19" s="229"/>
      <c r="F19" s="230"/>
      <c r="G19" s="230"/>
      <c r="H19" s="230"/>
      <c r="I19" s="231"/>
      <c r="J19" s="101"/>
      <c r="K19" s="22"/>
      <c r="L19" s="26"/>
      <c r="N19" s="24"/>
      <c r="P19" s="28"/>
      <c r="Q19" s="103"/>
      <c r="R19" s="18"/>
      <c r="S19" s="117">
        <f>AJ19</f>
        <v>0</v>
      </c>
      <c r="T19" s="229"/>
      <c r="U19" s="250"/>
      <c r="V19" s="250"/>
      <c r="W19" s="137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252"/>
      <c r="B20" s="10"/>
      <c r="C20" s="137"/>
      <c r="D20" s="117">
        <f t="shared" ref="D20:D21" si="0">AI20</f>
        <v>0</v>
      </c>
      <c r="E20" s="229"/>
      <c r="F20" s="230"/>
      <c r="G20" s="230"/>
      <c r="H20" s="230"/>
      <c r="I20" s="231"/>
      <c r="J20" s="101"/>
      <c r="K20" s="22"/>
      <c r="L20" s="26"/>
      <c r="N20" s="24"/>
      <c r="P20" s="28"/>
      <c r="Q20" s="103"/>
      <c r="R20" s="18"/>
      <c r="S20" s="117">
        <f t="shared" ref="S20:S21" si="1">AJ20</f>
        <v>0</v>
      </c>
      <c r="T20" s="229"/>
      <c r="U20" s="250"/>
      <c r="V20" s="250"/>
      <c r="W20" s="137"/>
      <c r="X20" s="10"/>
      <c r="Y20" s="227"/>
    </row>
    <row r="21" spans="1:25" s="7" customFormat="1" ht="36" customHeight="1" thickBot="1">
      <c r="A21" s="253"/>
      <c r="B21" s="12"/>
      <c r="C21" s="138"/>
      <c r="D21" s="118">
        <f t="shared" si="0"/>
        <v>0</v>
      </c>
      <c r="E21" s="145"/>
      <c r="F21" s="232"/>
      <c r="G21" s="232"/>
      <c r="H21" s="232"/>
      <c r="I21" s="233"/>
      <c r="J21" s="102"/>
      <c r="K21" s="23"/>
      <c r="L21" s="27"/>
      <c r="N21" s="24"/>
      <c r="P21" s="29"/>
      <c r="Q21" s="104"/>
      <c r="R21" s="21"/>
      <c r="S21" s="118">
        <f t="shared" si="1"/>
        <v>0</v>
      </c>
      <c r="T21" s="145"/>
      <c r="U21" s="146"/>
      <c r="V21" s="146"/>
      <c r="W21" s="139" t="s">
        <v>3</v>
      </c>
      <c r="X21" s="12"/>
      <c r="Y21" s="22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H25" s="68"/>
      <c r="I25" s="51"/>
      <c r="J25" s="276"/>
      <c r="K25" s="276"/>
      <c r="L25" s="276"/>
      <c r="M25" s="277"/>
      <c r="N25" s="278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7" t="s">
        <v>61</v>
      </c>
      <c r="N26" s="148"/>
      <c r="P26" s="75" t="s">
        <v>62</v>
      </c>
      <c r="Q26" s="75" t="s">
        <v>63</v>
      </c>
      <c r="R26" s="83"/>
      <c r="S26" s="149" t="s">
        <v>64</v>
      </c>
      <c r="T26" s="150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1"/>
      <c r="N27" s="152"/>
      <c r="P27" s="79"/>
      <c r="Q27" s="79"/>
      <c r="R27" s="82"/>
      <c r="S27" s="153"/>
      <c r="T27" s="154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6"/>
      <c r="V31" s="256"/>
      <c r="W31" s="67"/>
      <c r="X31" s="67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O32" s="67"/>
      <c r="P32" s="67"/>
      <c r="Q32" s="257"/>
      <c r="R32" s="257"/>
      <c r="S32" s="257"/>
      <c r="T32" s="70"/>
      <c r="U32" s="256"/>
      <c r="V32" s="25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O34" s="67"/>
      <c r="P34" s="67"/>
      <c r="Q34" s="67"/>
      <c r="R34" s="67"/>
      <c r="S34" s="67"/>
      <c r="T34" s="67"/>
      <c r="U34" s="261"/>
      <c r="V34" s="261"/>
      <c r="W34" s="67"/>
      <c r="X34" s="67"/>
    </row>
    <row r="35" spans="1:24" ht="18" customHeight="1" thickBot="1">
      <c r="H35" s="67"/>
      <c r="O35" s="67"/>
      <c r="P35" s="67"/>
      <c r="Q35" s="255"/>
      <c r="R35" s="255"/>
      <c r="S35" s="255"/>
      <c r="T35" s="72"/>
      <c r="U35" s="261"/>
      <c r="V35" s="261"/>
      <c r="W35" s="67"/>
      <c r="X35" s="67"/>
    </row>
    <row r="36" spans="1:24" ht="15" customHeight="1">
      <c r="A36" s="262" t="s">
        <v>30</v>
      </c>
      <c r="B36" s="263"/>
      <c r="C36" s="263"/>
      <c r="D36" s="266"/>
      <c r="E36" s="267"/>
      <c r="F36" s="268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4"/>
      <c r="B37" s="265"/>
      <c r="C37" s="265"/>
      <c r="D37" s="269"/>
      <c r="E37" s="270"/>
      <c r="F37" s="271"/>
      <c r="O37" s="67"/>
      <c r="P37" s="67"/>
      <c r="Q37" s="65"/>
      <c r="R37" s="65"/>
      <c r="S37" s="65"/>
      <c r="T37" s="65"/>
      <c r="U37" s="254"/>
      <c r="V37" s="254"/>
      <c r="W37" s="67"/>
      <c r="X37" s="67"/>
    </row>
    <row r="38" spans="1:24" ht="15" customHeight="1">
      <c r="A38" s="272" t="s">
        <v>31</v>
      </c>
      <c r="B38" s="265"/>
      <c r="C38" s="265"/>
      <c r="D38" s="273"/>
      <c r="E38" s="274"/>
      <c r="F38" s="275"/>
      <c r="O38" s="67"/>
      <c r="P38" s="67"/>
      <c r="Q38" s="255"/>
      <c r="R38" s="255"/>
      <c r="S38" s="255"/>
      <c r="T38" s="72"/>
      <c r="U38" s="254"/>
      <c r="V38" s="254"/>
      <c r="W38" s="67"/>
      <c r="X38" s="67"/>
    </row>
    <row r="39" spans="1:24" ht="15" customHeight="1">
      <c r="A39" s="264"/>
      <c r="B39" s="265"/>
      <c r="C39" s="265"/>
      <c r="D39" s="269"/>
      <c r="E39" s="270"/>
      <c r="F39" s="27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2" t="s">
        <v>32</v>
      </c>
      <c r="B40" s="265"/>
      <c r="C40" s="265"/>
      <c r="D40" s="273"/>
      <c r="E40" s="274"/>
      <c r="F40" s="275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4"/>
      <c r="B41" s="265"/>
      <c r="C41" s="265"/>
      <c r="D41" s="269"/>
      <c r="E41" s="270"/>
      <c r="F41" s="27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4"/>
      <c r="B43" s="265"/>
      <c r="C43" s="265"/>
      <c r="D43" s="269"/>
      <c r="E43" s="270"/>
      <c r="F43" s="27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4"/>
      <c r="B45" s="265"/>
      <c r="C45" s="265"/>
      <c r="D45" s="269"/>
      <c r="E45" s="270"/>
      <c r="F45" s="27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4"/>
      <c r="B47" s="265"/>
      <c r="C47" s="265"/>
      <c r="D47" s="269"/>
      <c r="E47" s="270"/>
      <c r="F47" s="271"/>
    </row>
    <row r="48" spans="1:24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</row>
    <row r="49" spans="1:6" ht="15" customHeight="1">
      <c r="A49" s="264"/>
      <c r="B49" s="265"/>
      <c r="C49" s="265"/>
      <c r="D49" s="269"/>
      <c r="E49" s="270"/>
      <c r="F49" s="271"/>
    </row>
    <row r="50" spans="1:6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</row>
    <row r="51" spans="1:6" ht="15" customHeight="1">
      <c r="A51" s="264"/>
      <c r="B51" s="265"/>
      <c r="C51" s="265"/>
      <c r="D51" s="269"/>
      <c r="E51" s="270"/>
      <c r="F51" s="271"/>
    </row>
    <row r="52" spans="1:6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6" ht="15" customHeight="1">
      <c r="A53" s="264"/>
      <c r="B53" s="265"/>
      <c r="C53" s="265"/>
      <c r="D53" s="269"/>
      <c r="E53" s="270"/>
      <c r="F53" s="271"/>
    </row>
    <row r="54" spans="1:6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6" ht="15" customHeight="1">
      <c r="A55" s="264"/>
      <c r="B55" s="265"/>
      <c r="C55" s="265"/>
      <c r="D55" s="282"/>
      <c r="E55" s="283"/>
      <c r="F55" s="284"/>
    </row>
    <row r="56" spans="1:6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6" ht="15" customHeight="1">
      <c r="A57" s="264"/>
      <c r="B57" s="265"/>
      <c r="C57" s="265"/>
      <c r="D57" s="282"/>
      <c r="E57" s="283"/>
      <c r="F57" s="284"/>
    </row>
    <row r="58" spans="1:6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6" ht="15" customHeight="1">
      <c r="A59" s="264"/>
      <c r="B59" s="265"/>
      <c r="C59" s="265"/>
      <c r="D59" s="282"/>
      <c r="E59" s="283"/>
      <c r="F59" s="284"/>
    </row>
    <row r="60" spans="1:6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6" ht="15" customHeight="1">
      <c r="A61" s="264"/>
      <c r="B61" s="265"/>
      <c r="C61" s="265"/>
      <c r="D61" s="282"/>
      <c r="E61" s="283"/>
      <c r="F61" s="284"/>
    </row>
    <row r="62" spans="1:6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6" ht="15" customHeight="1" thickBot="1">
      <c r="A63" s="285"/>
      <c r="B63" s="286"/>
      <c r="C63" s="286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A34:C34"/>
    <mergeCell ref="D34:G34"/>
    <mergeCell ref="A28:C28"/>
    <mergeCell ref="D28:G28"/>
    <mergeCell ref="A30:C30"/>
    <mergeCell ref="D30:G30"/>
    <mergeCell ref="A32:C32"/>
    <mergeCell ref="D32:G32"/>
    <mergeCell ref="T21:V21"/>
    <mergeCell ref="M26:N26"/>
    <mergeCell ref="S26:T26"/>
    <mergeCell ref="M27:N27"/>
    <mergeCell ref="S27:T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7" zoomScale="65" zoomScaleNormal="65" workbookViewId="0">
      <selection activeCell="W17" sqref="W17:W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375" style="5" customWidth="1"/>
    <col min="35" max="36" width="9" style="5" hidden="1" customWidth="1"/>
    <col min="37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219" t="s">
        <v>68</v>
      </c>
      <c r="B12" s="187" t="s">
        <v>51</v>
      </c>
      <c r="C12" s="184" t="s">
        <v>2</v>
      </c>
      <c r="D12" s="184" t="s">
        <v>39</v>
      </c>
      <c r="E12" s="178" t="s">
        <v>15</v>
      </c>
      <c r="F12" s="178"/>
      <c r="G12" s="178"/>
      <c r="H12" s="178"/>
      <c r="I12" s="223"/>
      <c r="J12" s="210" t="s">
        <v>47</v>
      </c>
      <c r="K12" s="211"/>
      <c r="L12" s="216" t="s">
        <v>50</v>
      </c>
      <c r="N12" s="24"/>
      <c r="P12" s="219" t="s">
        <v>50</v>
      </c>
      <c r="Q12" s="178" t="s">
        <v>47</v>
      </c>
      <c r="R12" s="211"/>
      <c r="S12" s="184" t="s">
        <v>39</v>
      </c>
      <c r="T12" s="178" t="s">
        <v>15</v>
      </c>
      <c r="U12" s="178"/>
      <c r="V12" s="223"/>
      <c r="W12" s="184" t="s">
        <v>2</v>
      </c>
      <c r="X12" s="187" t="s">
        <v>51</v>
      </c>
      <c r="Y12" s="190" t="s">
        <v>13</v>
      </c>
    </row>
    <row r="13" spans="1:25" ht="12.75" customHeight="1">
      <c r="A13" s="220"/>
      <c r="B13" s="188"/>
      <c r="C13" s="185"/>
      <c r="D13" s="185"/>
      <c r="E13" s="222"/>
      <c r="F13" s="222"/>
      <c r="G13" s="222"/>
      <c r="H13" s="222"/>
      <c r="I13" s="224"/>
      <c r="J13" s="212"/>
      <c r="K13" s="213"/>
      <c r="L13" s="217"/>
      <c r="N13" s="24"/>
      <c r="P13" s="220"/>
      <c r="Q13" s="222"/>
      <c r="R13" s="213"/>
      <c r="S13" s="185"/>
      <c r="T13" s="222"/>
      <c r="U13" s="222"/>
      <c r="V13" s="224"/>
      <c r="W13" s="185"/>
      <c r="X13" s="188"/>
      <c r="Y13" s="191"/>
    </row>
    <row r="14" spans="1:25" ht="12.75" customHeight="1">
      <c r="A14" s="220"/>
      <c r="B14" s="188"/>
      <c r="C14" s="185"/>
      <c r="D14" s="185"/>
      <c r="E14" s="222"/>
      <c r="F14" s="222"/>
      <c r="G14" s="222"/>
      <c r="H14" s="222"/>
      <c r="I14" s="224"/>
      <c r="J14" s="212"/>
      <c r="K14" s="213"/>
      <c r="L14" s="217"/>
      <c r="N14" s="24"/>
      <c r="P14" s="220"/>
      <c r="Q14" s="222"/>
      <c r="R14" s="213"/>
      <c r="S14" s="185"/>
      <c r="T14" s="222"/>
      <c r="U14" s="222"/>
      <c r="V14" s="224"/>
      <c r="W14" s="185"/>
      <c r="X14" s="188"/>
      <c r="Y14" s="191"/>
    </row>
    <row r="15" spans="1:25" ht="12.75" customHeight="1" thickBot="1">
      <c r="A15" s="221"/>
      <c r="B15" s="189"/>
      <c r="C15" s="186"/>
      <c r="D15" s="186"/>
      <c r="E15" s="171"/>
      <c r="F15" s="171"/>
      <c r="G15" s="171"/>
      <c r="H15" s="171"/>
      <c r="I15" s="225"/>
      <c r="J15" s="214"/>
      <c r="K15" s="215"/>
      <c r="L15" s="218"/>
      <c r="N15" s="24"/>
      <c r="P15" s="221"/>
      <c r="Q15" s="171"/>
      <c r="R15" s="215"/>
      <c r="S15" s="186"/>
      <c r="T15" s="171"/>
      <c r="U15" s="171"/>
      <c r="V15" s="225"/>
      <c r="W15" s="186"/>
      <c r="X15" s="189"/>
      <c r="Y15" s="19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293" t="str">
        <f>IF(ISERROR((C17-B17)/C17),"",(C17-B17)/C17)</f>
        <v/>
      </c>
      <c r="B17" s="195">
        <f>SUM(B19:B21)</f>
        <v>0</v>
      </c>
      <c r="C17" s="295">
        <f>SUM(C19:C21)</f>
        <v>0</v>
      </c>
      <c r="D17" s="197"/>
      <c r="E17" s="200" t="s">
        <v>14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197"/>
      <c r="T17" s="200" t="s">
        <v>14</v>
      </c>
      <c r="U17" s="202"/>
      <c r="V17" s="204"/>
      <c r="W17" s="297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294"/>
      <c r="B18" s="196"/>
      <c r="C18" s="296"/>
      <c r="D18" s="199"/>
      <c r="E18" s="201"/>
      <c r="F18" s="205"/>
      <c r="G18" s="206"/>
      <c r="H18" s="206"/>
      <c r="I18" s="207"/>
      <c r="J18" s="209"/>
      <c r="K18" s="235"/>
      <c r="L18" s="299"/>
      <c r="N18" s="24"/>
      <c r="P18" s="239"/>
      <c r="Q18" s="241"/>
      <c r="R18" s="243"/>
      <c r="S18" s="199"/>
      <c r="T18" s="201"/>
      <c r="U18" s="205"/>
      <c r="V18" s="207"/>
      <c r="W18" s="298"/>
      <c r="X18" s="245"/>
      <c r="Y18" s="247"/>
    </row>
    <row r="19" spans="1:25" s="7" customFormat="1" ht="36" customHeight="1">
      <c r="A19" s="251" t="str">
        <f>IF(ISERROR(IF(B17="",3600/C17,3600/B17)),"",IF(B17="",3600/C17,3600/B17))</f>
        <v/>
      </c>
      <c r="B19" s="10"/>
      <c r="C19" s="140"/>
      <c r="D19" s="117">
        <f>AI19</f>
        <v>0</v>
      </c>
      <c r="E19" s="229"/>
      <c r="F19" s="230"/>
      <c r="G19" s="230"/>
      <c r="H19" s="230"/>
      <c r="I19" s="231"/>
      <c r="J19" s="101"/>
      <c r="K19" s="22"/>
      <c r="L19" s="26"/>
      <c r="N19" s="24"/>
      <c r="P19" s="28"/>
      <c r="Q19" s="103"/>
      <c r="R19" s="18"/>
      <c r="S19" s="117">
        <f>AJ19</f>
        <v>0</v>
      </c>
      <c r="T19" s="300"/>
      <c r="U19" s="301"/>
      <c r="V19" s="301"/>
      <c r="W19" s="140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252"/>
      <c r="B20" s="10"/>
      <c r="C20" s="140"/>
      <c r="D20" s="117">
        <f t="shared" ref="D20:D21" si="0">AI20</f>
        <v>0</v>
      </c>
      <c r="E20" s="229"/>
      <c r="F20" s="230"/>
      <c r="G20" s="230"/>
      <c r="H20" s="230"/>
      <c r="I20" s="231"/>
      <c r="J20" s="101"/>
      <c r="K20" s="22"/>
      <c r="L20" s="26"/>
      <c r="N20" s="24"/>
      <c r="P20" s="28"/>
      <c r="Q20" s="103"/>
      <c r="R20" s="18"/>
      <c r="S20" s="117">
        <f t="shared" ref="S20:S21" si="1">AJ20</f>
        <v>0</v>
      </c>
      <c r="T20" s="300"/>
      <c r="U20" s="301"/>
      <c r="V20" s="301"/>
      <c r="W20" s="140"/>
      <c r="X20" s="10"/>
      <c r="Y20" s="227"/>
    </row>
    <row r="21" spans="1:25" s="7" customFormat="1" ht="36" customHeight="1" thickBot="1">
      <c r="A21" s="253"/>
      <c r="B21" s="12"/>
      <c r="C21" s="141"/>
      <c r="D21" s="118">
        <f t="shared" si="0"/>
        <v>0</v>
      </c>
      <c r="E21" s="145"/>
      <c r="F21" s="232"/>
      <c r="G21" s="232"/>
      <c r="H21" s="232"/>
      <c r="I21" s="233"/>
      <c r="J21" s="102"/>
      <c r="K21" s="23"/>
      <c r="L21" s="27"/>
      <c r="N21" s="24"/>
      <c r="P21" s="29"/>
      <c r="Q21" s="104"/>
      <c r="R21" s="21"/>
      <c r="S21" s="118">
        <f t="shared" si="1"/>
        <v>0</v>
      </c>
      <c r="T21" s="304"/>
      <c r="U21" s="305"/>
      <c r="V21" s="305"/>
      <c r="W21" s="142" t="s">
        <v>3</v>
      </c>
      <c r="X21" s="12"/>
      <c r="Y21" s="228"/>
    </row>
    <row r="24" spans="1:25" ht="18" customHeight="1">
      <c r="D24" s="67"/>
      <c r="E24" s="67"/>
      <c r="F24" s="67"/>
      <c r="G24" s="67"/>
      <c r="H24" s="67"/>
      <c r="I24" s="88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276"/>
      <c r="K25" s="276"/>
      <c r="L25" s="276"/>
      <c r="M25" s="277"/>
      <c r="N25" s="278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7" t="s">
        <v>61</v>
      </c>
      <c r="N26" s="148"/>
      <c r="P26" s="75" t="s">
        <v>62</v>
      </c>
      <c r="Q26" s="75" t="s">
        <v>63</v>
      </c>
      <c r="R26" s="89"/>
      <c r="S26" s="147" t="s">
        <v>64</v>
      </c>
      <c r="T26" s="148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151" t="str">
        <f>IF(J27="","",COUNTIFS(MachineINV1,J27,MachineINV3,K27) + COUNTIFS(MachineINV2,J27,MachineINV4,K27))</f>
        <v/>
      </c>
      <c r="N27" s="152"/>
      <c r="P27" s="79"/>
      <c r="Q27" s="7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306"/>
      <c r="E28" s="307"/>
      <c r="F28" s="307"/>
      <c r="G28" s="307"/>
      <c r="H28" s="62"/>
      <c r="I28" s="62"/>
      <c r="J28" s="53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257"/>
      <c r="R29" s="257"/>
      <c r="S29" s="257"/>
      <c r="T29" s="70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310"/>
      <c r="V31" s="310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2"/>
      <c r="J32" s="64"/>
      <c r="K32" s="67"/>
      <c r="L32" s="67"/>
      <c r="M32" s="67"/>
      <c r="N32" s="86"/>
      <c r="O32" s="65"/>
      <c r="P32" s="65"/>
      <c r="Q32" s="255"/>
      <c r="R32" s="255"/>
      <c r="S32" s="255"/>
      <c r="T32" s="72"/>
      <c r="U32" s="311"/>
      <c r="V32" s="311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312"/>
      <c r="V34" s="312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255"/>
      <c r="R35" s="255"/>
      <c r="S35" s="255"/>
      <c r="T35" s="72"/>
      <c r="U35" s="313"/>
      <c r="V35" s="313"/>
    </row>
    <row r="36" spans="1:22" ht="15" customHeight="1">
      <c r="A36" s="262" t="s">
        <v>30</v>
      </c>
      <c r="B36" s="263"/>
      <c r="C36" s="263"/>
      <c r="D36" s="266"/>
      <c r="E36" s="267"/>
      <c r="F36" s="268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5" customHeight="1">
      <c r="A37" s="264"/>
      <c r="B37" s="265"/>
      <c r="C37" s="265"/>
      <c r="D37" s="269"/>
      <c r="E37" s="270"/>
      <c r="F37" s="271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308"/>
      <c r="V37" s="308"/>
    </row>
    <row r="38" spans="1:22" ht="15" customHeight="1">
      <c r="A38" s="272" t="s">
        <v>31</v>
      </c>
      <c r="B38" s="265"/>
      <c r="C38" s="265"/>
      <c r="D38" s="273"/>
      <c r="E38" s="274"/>
      <c r="F38" s="275"/>
      <c r="H38" s="67"/>
      <c r="I38" s="67"/>
      <c r="J38" s="67"/>
      <c r="K38" s="67"/>
      <c r="L38" s="67"/>
      <c r="M38" s="67"/>
      <c r="N38" s="67"/>
      <c r="O38" s="65"/>
      <c r="P38" s="65"/>
      <c r="Q38" s="255"/>
      <c r="R38" s="255"/>
      <c r="S38" s="255"/>
      <c r="T38" s="72"/>
      <c r="U38" s="309"/>
      <c r="V38" s="309"/>
    </row>
    <row r="39" spans="1:22" ht="15" customHeight="1">
      <c r="A39" s="264"/>
      <c r="B39" s="265"/>
      <c r="C39" s="265"/>
      <c r="D39" s="269"/>
      <c r="E39" s="270"/>
      <c r="F39" s="271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5" customHeight="1">
      <c r="A40" s="272" t="s">
        <v>32</v>
      </c>
      <c r="B40" s="265"/>
      <c r="C40" s="265"/>
      <c r="D40" s="273"/>
      <c r="E40" s="274"/>
      <c r="F40" s="275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5" customHeight="1">
      <c r="A41" s="264"/>
      <c r="B41" s="265"/>
      <c r="C41" s="265"/>
      <c r="D41" s="269"/>
      <c r="E41" s="270"/>
      <c r="F41" s="271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5" customHeight="1">
      <c r="A43" s="264"/>
      <c r="B43" s="265"/>
      <c r="C43" s="265"/>
      <c r="D43" s="269"/>
      <c r="E43" s="270"/>
      <c r="F43" s="271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5" customHeight="1">
      <c r="A45" s="264"/>
      <c r="B45" s="265"/>
      <c r="C45" s="265"/>
      <c r="D45" s="269"/>
      <c r="E45" s="270"/>
      <c r="F45" s="271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5" customHeight="1">
      <c r="A47" s="264"/>
      <c r="B47" s="265"/>
      <c r="C47" s="265"/>
      <c r="D47" s="269"/>
      <c r="E47" s="270"/>
      <c r="F47" s="271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5" customHeight="1">
      <c r="A49" s="264"/>
      <c r="B49" s="265"/>
      <c r="C49" s="265"/>
      <c r="D49" s="269"/>
      <c r="E49" s="270"/>
      <c r="F49" s="271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5" customHeight="1">
      <c r="A51" s="264"/>
      <c r="B51" s="265"/>
      <c r="C51" s="265"/>
      <c r="D51" s="269"/>
      <c r="E51" s="270"/>
      <c r="F51" s="271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20" ht="15" customHeight="1">
      <c r="A53" s="264"/>
      <c r="B53" s="265"/>
      <c r="C53" s="265"/>
      <c r="D53" s="269"/>
      <c r="E53" s="270"/>
      <c r="F53" s="271"/>
    </row>
    <row r="54" spans="1:20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20" ht="15" customHeight="1">
      <c r="A55" s="264"/>
      <c r="B55" s="265"/>
      <c r="C55" s="265"/>
      <c r="D55" s="282"/>
      <c r="E55" s="283"/>
      <c r="F55" s="284"/>
    </row>
    <row r="56" spans="1:20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20" ht="15" customHeight="1">
      <c r="A57" s="264"/>
      <c r="B57" s="265"/>
      <c r="C57" s="265"/>
      <c r="D57" s="282"/>
      <c r="E57" s="283"/>
      <c r="F57" s="284"/>
    </row>
    <row r="58" spans="1:20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20" ht="15" customHeight="1">
      <c r="A59" s="264"/>
      <c r="B59" s="265"/>
      <c r="C59" s="265"/>
      <c r="D59" s="282"/>
      <c r="E59" s="283"/>
      <c r="F59" s="284"/>
    </row>
    <row r="60" spans="1:20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20" ht="15" customHeight="1">
      <c r="A61" s="264"/>
      <c r="B61" s="265"/>
      <c r="C61" s="265"/>
      <c r="D61" s="282"/>
      <c r="E61" s="283"/>
      <c r="F61" s="284"/>
    </row>
    <row r="62" spans="1:20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20" ht="15" customHeight="1" thickBot="1">
      <c r="A63" s="285"/>
      <c r="B63" s="286"/>
      <c r="C63" s="286"/>
      <c r="D63" s="290"/>
      <c r="E63" s="291"/>
      <c r="F63" s="292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T19" sqref="T19:V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36" t="s">
        <v>39</v>
      </c>
      <c r="E12" s="361" t="s">
        <v>15</v>
      </c>
      <c r="F12" s="361"/>
      <c r="G12" s="361"/>
      <c r="H12" s="361"/>
      <c r="I12" s="368"/>
      <c r="J12" s="349" t="s">
        <v>47</v>
      </c>
      <c r="K12" s="350"/>
      <c r="L12" s="355" t="s">
        <v>50</v>
      </c>
      <c r="N12" s="24"/>
      <c r="P12" s="358" t="s">
        <v>50</v>
      </c>
      <c r="Q12" s="361" t="s">
        <v>47</v>
      </c>
      <c r="R12" s="350"/>
      <c r="S12" s="336" t="s">
        <v>39</v>
      </c>
      <c r="T12" s="361" t="s">
        <v>15</v>
      </c>
      <c r="U12" s="361"/>
      <c r="V12" s="94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37"/>
      <c r="E13" s="362"/>
      <c r="F13" s="362"/>
      <c r="G13" s="362"/>
      <c r="H13" s="362"/>
      <c r="I13" s="369"/>
      <c r="J13" s="351"/>
      <c r="K13" s="352"/>
      <c r="L13" s="356"/>
      <c r="N13" s="24"/>
      <c r="P13" s="359"/>
      <c r="Q13" s="362"/>
      <c r="R13" s="352"/>
      <c r="S13" s="337"/>
      <c r="T13" s="362"/>
      <c r="U13" s="362"/>
      <c r="V13" s="95"/>
      <c r="W13" s="337"/>
      <c r="X13" s="340"/>
      <c r="Y13" s="343"/>
    </row>
    <row r="14" spans="1:25" ht="12.75" customHeight="1">
      <c r="A14" s="359"/>
      <c r="B14" s="340"/>
      <c r="C14" s="337"/>
      <c r="D14" s="337"/>
      <c r="E14" s="362"/>
      <c r="F14" s="362"/>
      <c r="G14" s="362"/>
      <c r="H14" s="362"/>
      <c r="I14" s="369"/>
      <c r="J14" s="351"/>
      <c r="K14" s="352"/>
      <c r="L14" s="356"/>
      <c r="N14" s="24"/>
      <c r="P14" s="359"/>
      <c r="Q14" s="362"/>
      <c r="R14" s="352"/>
      <c r="S14" s="337"/>
      <c r="T14" s="362"/>
      <c r="U14" s="362"/>
      <c r="V14" s="95"/>
      <c r="W14" s="337"/>
      <c r="X14" s="340"/>
      <c r="Y14" s="343"/>
    </row>
    <row r="15" spans="1:25" ht="12.75" customHeight="1" thickBot="1">
      <c r="A15" s="360"/>
      <c r="B15" s="341"/>
      <c r="C15" s="338"/>
      <c r="D15" s="338"/>
      <c r="E15" s="363"/>
      <c r="F15" s="363"/>
      <c r="G15" s="363"/>
      <c r="H15" s="363"/>
      <c r="I15" s="370"/>
      <c r="J15" s="353"/>
      <c r="K15" s="354"/>
      <c r="L15" s="357"/>
      <c r="N15" s="24"/>
      <c r="P15" s="360"/>
      <c r="Q15" s="363"/>
      <c r="R15" s="354"/>
      <c r="S15" s="338"/>
      <c r="T15" s="363"/>
      <c r="U15" s="363"/>
      <c r="V15" s="96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197"/>
      <c r="E17" s="332" t="s">
        <v>14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248"/>
      <c r="T17" s="332" t="s">
        <v>14</v>
      </c>
      <c r="U17" s="202"/>
      <c r="V17" s="203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194"/>
      <c r="B18" s="346"/>
      <c r="C18" s="348"/>
      <c r="D18" s="199"/>
      <c r="E18" s="333"/>
      <c r="F18" s="205"/>
      <c r="G18" s="206"/>
      <c r="H18" s="206"/>
      <c r="I18" s="207"/>
      <c r="J18" s="209"/>
      <c r="K18" s="235"/>
      <c r="L18" s="299"/>
      <c r="N18" s="24"/>
      <c r="P18" s="239"/>
      <c r="Q18" s="241"/>
      <c r="R18" s="243"/>
      <c r="S18" s="331"/>
      <c r="T18" s="333"/>
      <c r="U18" s="205"/>
      <c r="V18" s="206"/>
      <c r="W18" s="335"/>
      <c r="X18" s="365"/>
      <c r="Y18" s="367"/>
    </row>
    <row r="19" spans="1:25" s="7" customFormat="1" ht="26.25" customHeight="1">
      <c r="A19" s="251" t="str">
        <f>IF(ISERROR(IF(B17="",3600/C17,3600/B17)),"",IF(B17="",3600/C17,3600/B17))</f>
        <v/>
      </c>
      <c r="B19" s="10"/>
      <c r="C19" s="11"/>
      <c r="D19" s="16"/>
      <c r="E19" s="229"/>
      <c r="F19" s="230"/>
      <c r="G19" s="230"/>
      <c r="H19" s="230"/>
      <c r="I19" s="231"/>
      <c r="J19" s="20"/>
      <c r="K19" s="22"/>
      <c r="L19" s="26"/>
      <c r="N19" s="24"/>
      <c r="P19" s="28"/>
      <c r="Q19" s="22"/>
      <c r="R19" s="18"/>
      <c r="S19" s="16"/>
      <c r="T19" s="229"/>
      <c r="U19" s="230"/>
      <c r="V19" s="230"/>
      <c r="W19" s="20"/>
      <c r="X19" s="10"/>
      <c r="Y19" s="226" t="str">
        <f>IF(ISERROR(IF(X17="",3600/W17,3600/X17)),"",IF(X17="",3600/W17,3600/X17))</f>
        <v/>
      </c>
    </row>
    <row r="20" spans="1:25" s="7" customFormat="1" ht="22.5">
      <c r="A20" s="252"/>
      <c r="B20" s="10"/>
      <c r="C20" s="11"/>
      <c r="D20" s="16"/>
      <c r="E20" s="229"/>
      <c r="F20" s="230"/>
      <c r="G20" s="230"/>
      <c r="H20" s="230"/>
      <c r="I20" s="231"/>
      <c r="J20" s="20"/>
      <c r="K20" s="22"/>
      <c r="L20" s="26"/>
      <c r="N20" s="24"/>
      <c r="P20" s="28"/>
      <c r="Q20" s="22"/>
      <c r="R20" s="18"/>
      <c r="S20" s="16"/>
      <c r="T20" s="229"/>
      <c r="U20" s="230"/>
      <c r="V20" s="230"/>
      <c r="W20" s="20"/>
      <c r="X20" s="10"/>
      <c r="Y20" s="227"/>
    </row>
    <row r="21" spans="1:25" s="7" customFormat="1" ht="26.25" customHeight="1" thickBot="1">
      <c r="A21" s="253"/>
      <c r="B21" s="12"/>
      <c r="C21" s="13"/>
      <c r="D21" s="17"/>
      <c r="E21" s="229"/>
      <c r="F21" s="230"/>
      <c r="G21" s="230"/>
      <c r="H21" s="230"/>
      <c r="I21" s="231"/>
      <c r="J21" s="19"/>
      <c r="K21" s="23"/>
      <c r="L21" s="27"/>
      <c r="N21" s="24"/>
      <c r="P21" s="29"/>
      <c r="Q21" s="23"/>
      <c r="R21" s="21"/>
      <c r="S21" s="17"/>
      <c r="T21" s="229"/>
      <c r="U21" s="230"/>
      <c r="V21" s="230"/>
      <c r="W21" s="11" t="s">
        <v>3</v>
      </c>
      <c r="X21" s="12"/>
      <c r="Y21" s="228"/>
    </row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9" t="s">
        <v>57</v>
      </c>
      <c r="Q24" s="61"/>
    </row>
    <row r="25" spans="1:25" ht="18" customHeight="1">
      <c r="H25" s="68"/>
      <c r="I25" s="51"/>
      <c r="J25" s="276"/>
      <c r="K25" s="276"/>
      <c r="L25" s="276"/>
      <c r="M25" s="278"/>
      <c r="N25" s="278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97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99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P34" s="67"/>
      <c r="Q34" s="67"/>
      <c r="R34" s="67"/>
      <c r="S34" s="67"/>
      <c r="T34" s="67"/>
      <c r="U34" s="312"/>
      <c r="V34" s="100"/>
    </row>
    <row r="35" spans="1:22" ht="18" customHeight="1" thickBot="1">
      <c r="P35" s="67"/>
      <c r="Q35" s="255"/>
      <c r="R35" s="255"/>
      <c r="S35" s="255"/>
      <c r="T35" s="72"/>
      <c r="U35" s="313"/>
      <c r="V35" s="100"/>
    </row>
    <row r="36" spans="1:22" ht="18" customHeight="1">
      <c r="A36" s="329" t="s">
        <v>30</v>
      </c>
      <c r="B36" s="330"/>
      <c r="C36" s="330"/>
      <c r="D36" s="266"/>
      <c r="E36" s="267"/>
      <c r="F36" s="268"/>
      <c r="P36" s="67"/>
      <c r="Q36" s="65"/>
      <c r="R36" s="65"/>
      <c r="S36" s="65"/>
      <c r="T36" s="65"/>
      <c r="U36" s="9"/>
      <c r="V36" s="9"/>
    </row>
    <row r="37" spans="1:22" ht="18" customHeight="1">
      <c r="A37" s="326"/>
      <c r="B37" s="325"/>
      <c r="C37" s="325"/>
      <c r="D37" s="269"/>
      <c r="E37" s="270"/>
      <c r="F37" s="271"/>
      <c r="P37" s="67"/>
      <c r="Q37" s="65"/>
      <c r="R37" s="65"/>
      <c r="S37" s="65"/>
      <c r="T37" s="65"/>
      <c r="U37" s="308"/>
      <c r="V37" s="98"/>
    </row>
    <row r="38" spans="1:22" ht="13.5" customHeight="1">
      <c r="A38" s="324" t="s">
        <v>31</v>
      </c>
      <c r="B38" s="325"/>
      <c r="C38" s="325"/>
      <c r="D38" s="273"/>
      <c r="E38" s="274"/>
      <c r="F38" s="275"/>
      <c r="P38" s="67"/>
      <c r="Q38" s="255"/>
      <c r="R38" s="255"/>
      <c r="S38" s="255"/>
      <c r="T38" s="72"/>
      <c r="U38" s="309"/>
      <c r="V38" s="98"/>
    </row>
    <row r="39" spans="1:22" ht="13.5" customHeight="1">
      <c r="A39" s="326"/>
      <c r="B39" s="325"/>
      <c r="C39" s="325"/>
      <c r="D39" s="269"/>
      <c r="E39" s="270"/>
      <c r="F39" s="271"/>
      <c r="P39" s="67"/>
      <c r="Q39" s="65"/>
      <c r="R39" s="65"/>
      <c r="S39" s="65"/>
      <c r="T39" s="65"/>
    </row>
    <row r="40" spans="1:22" ht="13.5" customHeight="1">
      <c r="A40" s="324" t="s">
        <v>32</v>
      </c>
      <c r="B40" s="325"/>
      <c r="C40" s="325"/>
      <c r="D40" s="273"/>
      <c r="E40" s="274"/>
      <c r="F40" s="275"/>
      <c r="P40" s="67"/>
      <c r="Q40" s="67"/>
      <c r="R40" s="67"/>
      <c r="S40" s="67"/>
      <c r="T40" s="67"/>
    </row>
    <row r="41" spans="1:22" ht="13.5" customHeight="1">
      <c r="A41" s="326"/>
      <c r="B41" s="325"/>
      <c r="C41" s="325"/>
      <c r="D41" s="269"/>
      <c r="E41" s="270"/>
      <c r="F41" s="271"/>
      <c r="P41" s="67"/>
      <c r="Q41" s="67"/>
      <c r="R41" s="67"/>
      <c r="S41" s="67"/>
      <c r="T41" s="67"/>
    </row>
    <row r="42" spans="1:22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  <c r="P42" s="67"/>
      <c r="Q42" s="67"/>
      <c r="R42" s="67"/>
      <c r="S42" s="67"/>
      <c r="T42" s="67"/>
    </row>
    <row r="43" spans="1:22" ht="13.5" customHeight="1">
      <c r="A43" s="326"/>
      <c r="B43" s="325"/>
      <c r="C43" s="325"/>
      <c r="D43" s="269"/>
      <c r="E43" s="270"/>
      <c r="F43" s="271"/>
      <c r="P43" s="67"/>
      <c r="Q43" s="67"/>
      <c r="R43" s="67"/>
      <c r="S43" s="67"/>
      <c r="T43" s="67"/>
    </row>
    <row r="44" spans="1:22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22" ht="13.5" customHeight="1">
      <c r="A45" s="326"/>
      <c r="B45" s="325"/>
      <c r="C45" s="325"/>
      <c r="D45" s="269"/>
      <c r="E45" s="270"/>
      <c r="F45" s="271"/>
    </row>
    <row r="46" spans="1:22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22" ht="13.5" customHeight="1">
      <c r="A47" s="326"/>
      <c r="B47" s="325"/>
      <c r="C47" s="325"/>
      <c r="D47" s="269"/>
      <c r="E47" s="270"/>
      <c r="F47" s="271"/>
    </row>
    <row r="48" spans="1:22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32"/>
      <c r="E92" s="385" t="s">
        <v>55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33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33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33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33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33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33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3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3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3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33"/>
      <c r="E102" s="317"/>
      <c r="F102" s="318"/>
      <c r="G102" s="318"/>
      <c r="H102" s="318"/>
      <c r="I102" s="319"/>
      <c r="J102" s="320"/>
      <c r="K102" s="321"/>
    </row>
  </sheetData>
  <mergeCells count="133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36" t="s">
        <v>39</v>
      </c>
      <c r="E12" s="361" t="s">
        <v>15</v>
      </c>
      <c r="F12" s="361"/>
      <c r="G12" s="361"/>
      <c r="H12" s="361"/>
      <c r="I12" s="368"/>
      <c r="J12" s="349" t="s">
        <v>47</v>
      </c>
      <c r="K12" s="350"/>
      <c r="L12" s="355" t="s">
        <v>50</v>
      </c>
      <c r="N12" s="24"/>
      <c r="P12" s="358" t="s">
        <v>50</v>
      </c>
      <c r="Q12" s="361" t="s">
        <v>47</v>
      </c>
      <c r="R12" s="350"/>
      <c r="S12" s="336" t="s">
        <v>39</v>
      </c>
      <c r="T12" s="361" t="s">
        <v>15</v>
      </c>
      <c r="U12" s="361"/>
      <c r="V12" s="368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37"/>
      <c r="E13" s="362"/>
      <c r="F13" s="362"/>
      <c r="G13" s="362"/>
      <c r="H13" s="362"/>
      <c r="I13" s="369"/>
      <c r="J13" s="351"/>
      <c r="K13" s="352"/>
      <c r="L13" s="356"/>
      <c r="N13" s="24"/>
      <c r="P13" s="359"/>
      <c r="Q13" s="362"/>
      <c r="R13" s="352"/>
      <c r="S13" s="337"/>
      <c r="T13" s="362"/>
      <c r="U13" s="362"/>
      <c r="V13" s="369"/>
      <c r="W13" s="337"/>
      <c r="X13" s="340"/>
      <c r="Y13" s="343"/>
    </row>
    <row r="14" spans="1:25" ht="12.75" customHeight="1">
      <c r="A14" s="359"/>
      <c r="B14" s="340"/>
      <c r="C14" s="337"/>
      <c r="D14" s="337"/>
      <c r="E14" s="362"/>
      <c r="F14" s="362"/>
      <c r="G14" s="362"/>
      <c r="H14" s="362"/>
      <c r="I14" s="369"/>
      <c r="J14" s="351"/>
      <c r="K14" s="352"/>
      <c r="L14" s="356"/>
      <c r="N14" s="24"/>
      <c r="P14" s="359"/>
      <c r="Q14" s="362"/>
      <c r="R14" s="352"/>
      <c r="S14" s="337"/>
      <c r="T14" s="362"/>
      <c r="U14" s="362"/>
      <c r="V14" s="369"/>
      <c r="W14" s="337"/>
      <c r="X14" s="340"/>
      <c r="Y14" s="343"/>
    </row>
    <row r="15" spans="1:25" ht="12.75" customHeight="1" thickBot="1">
      <c r="A15" s="360"/>
      <c r="B15" s="341"/>
      <c r="C15" s="338"/>
      <c r="D15" s="338"/>
      <c r="E15" s="363"/>
      <c r="F15" s="363"/>
      <c r="G15" s="363"/>
      <c r="H15" s="363"/>
      <c r="I15" s="370"/>
      <c r="J15" s="353"/>
      <c r="K15" s="354"/>
      <c r="L15" s="357"/>
      <c r="N15" s="24"/>
      <c r="P15" s="360"/>
      <c r="Q15" s="363"/>
      <c r="R15" s="354"/>
      <c r="S15" s="338"/>
      <c r="T15" s="363"/>
      <c r="U15" s="363"/>
      <c r="V15" s="370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197"/>
      <c r="E17" s="332" t="s">
        <v>14</v>
      </c>
      <c r="F17" s="202"/>
      <c r="G17" s="203"/>
      <c r="H17" s="203"/>
      <c r="I17" s="204"/>
      <c r="J17" s="208"/>
      <c r="K17" s="234"/>
      <c r="L17" s="236"/>
      <c r="N17" s="24"/>
      <c r="P17" s="238"/>
      <c r="Q17" s="240"/>
      <c r="R17" s="242"/>
      <c r="S17" s="197"/>
      <c r="T17" s="332" t="s">
        <v>14</v>
      </c>
      <c r="U17" s="202"/>
      <c r="V17" s="204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43" s="7" customFormat="1" ht="13.5" customHeight="1">
      <c r="A18" s="194"/>
      <c r="B18" s="346"/>
      <c r="C18" s="348"/>
      <c r="D18" s="199"/>
      <c r="E18" s="333"/>
      <c r="F18" s="205"/>
      <c r="G18" s="206"/>
      <c r="H18" s="206"/>
      <c r="I18" s="207"/>
      <c r="J18" s="209"/>
      <c r="K18" s="235"/>
      <c r="L18" s="299"/>
      <c r="N18" s="24"/>
      <c r="P18" s="239"/>
      <c r="Q18" s="241"/>
      <c r="R18" s="243"/>
      <c r="S18" s="199"/>
      <c r="T18" s="333"/>
      <c r="U18" s="205"/>
      <c r="V18" s="207"/>
      <c r="W18" s="335"/>
      <c r="X18" s="365"/>
      <c r="Y18" s="367"/>
    </row>
    <row r="19" spans="1:43" s="7" customFormat="1" ht="26.25" customHeight="1">
      <c r="A19" s="251" t="str">
        <f>IF(ISERROR(IF(B17="",3600/C17,3600/B17)),"",IF(B17="",3600/C17,3600/B17))</f>
        <v/>
      </c>
      <c r="B19" s="10"/>
      <c r="C19" s="11"/>
      <c r="D19" s="16"/>
      <c r="E19" s="229"/>
      <c r="F19" s="230"/>
      <c r="G19" s="230"/>
      <c r="H19" s="230"/>
      <c r="I19" s="231"/>
      <c r="J19" s="20"/>
      <c r="K19" s="22"/>
      <c r="L19" s="26"/>
      <c r="N19" s="24"/>
      <c r="P19" s="28"/>
      <c r="Q19" s="22"/>
      <c r="R19" s="18"/>
      <c r="S19" s="16"/>
      <c r="T19" s="300"/>
      <c r="U19" s="301"/>
      <c r="V19" s="301"/>
      <c r="W19" s="11"/>
      <c r="X19" s="10"/>
      <c r="Y19" s="226" t="str">
        <f>IF(ISERROR(IF(X17="",3600/W17,3600/X17)),"",IF(X17="",3600/W17,3600/X17))</f>
        <v/>
      </c>
    </row>
    <row r="20" spans="1:43" s="7" customFormat="1" ht="22.5">
      <c r="A20" s="252"/>
      <c r="B20" s="10"/>
      <c r="C20" s="11"/>
      <c r="D20" s="16"/>
      <c r="E20" s="229"/>
      <c r="F20" s="230"/>
      <c r="G20" s="230"/>
      <c r="H20" s="230"/>
      <c r="I20" s="231"/>
      <c r="J20" s="20"/>
      <c r="K20" s="22"/>
      <c r="L20" s="26"/>
      <c r="N20" s="24"/>
      <c r="P20" s="28"/>
      <c r="Q20" s="22"/>
      <c r="R20" s="18"/>
      <c r="S20" s="16"/>
      <c r="T20" s="300"/>
      <c r="U20" s="301"/>
      <c r="V20" s="301"/>
      <c r="W20" s="11"/>
      <c r="X20" s="10"/>
      <c r="Y20" s="227"/>
    </row>
    <row r="21" spans="1:43" s="7" customFormat="1" ht="26.25" customHeight="1" thickBot="1">
      <c r="A21" s="253"/>
      <c r="B21" s="12"/>
      <c r="C21" s="13"/>
      <c r="D21" s="17"/>
      <c r="E21" s="229"/>
      <c r="F21" s="230"/>
      <c r="G21" s="230"/>
      <c r="H21" s="230"/>
      <c r="I21" s="231"/>
      <c r="J21" s="19"/>
      <c r="K21" s="23"/>
      <c r="L21" s="27"/>
      <c r="N21" s="24"/>
      <c r="P21" s="29"/>
      <c r="Q21" s="23"/>
      <c r="R21" s="21"/>
      <c r="S21" s="17"/>
      <c r="T21" s="300"/>
      <c r="U21" s="301"/>
      <c r="V21" s="301"/>
      <c r="W21" s="11" t="s">
        <v>3</v>
      </c>
      <c r="X21" s="12"/>
      <c r="Y21" s="228"/>
    </row>
    <row r="24" spans="1:43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8" t="s">
        <v>57</v>
      </c>
      <c r="Q24" s="61"/>
    </row>
    <row r="25" spans="1:43" ht="18" customHeight="1">
      <c r="H25" s="68"/>
      <c r="I25" s="51"/>
      <c r="J25" s="276"/>
      <c r="K25" s="276"/>
      <c r="L25" s="276"/>
      <c r="M25" s="278"/>
      <c r="N25" s="278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43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43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388"/>
      <c r="AM30" s="388"/>
      <c r="AN30" s="388"/>
      <c r="AO30" s="388"/>
      <c r="AP30" s="388"/>
      <c r="AQ30" s="388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310"/>
      <c r="AH31" s="389"/>
      <c r="AI31" s="389"/>
      <c r="AJ31" s="390"/>
      <c r="AK31" s="390"/>
      <c r="AL31" s="52"/>
      <c r="AM31" s="53"/>
      <c r="AN31" s="52"/>
      <c r="AO31" s="53"/>
      <c r="AP31" s="54"/>
      <c r="AQ31" s="53"/>
    </row>
    <row r="32" spans="1:43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311"/>
      <c r="AH32" s="389"/>
      <c r="AI32" s="389"/>
      <c r="AJ32" s="390"/>
      <c r="AK32" s="390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389"/>
      <c r="AI33" s="389"/>
      <c r="AJ33" s="390"/>
      <c r="AK33" s="390"/>
      <c r="AL33" s="52"/>
      <c r="AM33" s="53"/>
      <c r="AN33" s="52"/>
      <c r="AO33" s="53"/>
      <c r="AP33" s="54"/>
      <c r="AQ33" s="53"/>
    </row>
    <row r="34" spans="1:43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Q34" s="55"/>
      <c r="R34" s="55"/>
      <c r="S34" s="55"/>
      <c r="T34" s="55"/>
      <c r="U34" s="312"/>
      <c r="V34" s="312"/>
      <c r="AH34" s="389"/>
      <c r="AI34" s="389"/>
      <c r="AJ34" s="390"/>
      <c r="AK34" s="390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260"/>
      <c r="R35" s="260"/>
      <c r="S35" s="260"/>
      <c r="T35" s="56"/>
      <c r="U35" s="313"/>
      <c r="V35" s="313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329" t="s">
        <v>30</v>
      </c>
      <c r="B36" s="330"/>
      <c r="C36" s="330"/>
      <c r="D36" s="266"/>
      <c r="E36" s="267"/>
      <c r="F36" s="268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391"/>
      <c r="AN36" s="391"/>
      <c r="AO36" s="391"/>
      <c r="AP36" s="391"/>
      <c r="AQ36" s="391"/>
    </row>
    <row r="37" spans="1:43" ht="18" customHeight="1">
      <c r="A37" s="326"/>
      <c r="B37" s="325"/>
      <c r="C37" s="325"/>
      <c r="D37" s="269"/>
      <c r="E37" s="270"/>
      <c r="F37" s="271"/>
      <c r="Q37" s="55"/>
      <c r="R37" s="55"/>
      <c r="S37" s="55"/>
      <c r="T37" s="55"/>
      <c r="U37" s="308"/>
      <c r="V37" s="308"/>
    </row>
    <row r="38" spans="1:43" ht="13.5" customHeight="1">
      <c r="A38" s="324" t="s">
        <v>31</v>
      </c>
      <c r="B38" s="325"/>
      <c r="C38" s="325"/>
      <c r="D38" s="273"/>
      <c r="E38" s="274"/>
      <c r="F38" s="275"/>
      <c r="Q38" s="260"/>
      <c r="R38" s="260"/>
      <c r="S38" s="260"/>
      <c r="T38" s="56"/>
      <c r="U38" s="309"/>
      <c r="V38" s="309"/>
    </row>
    <row r="39" spans="1:43" ht="13.5" customHeight="1">
      <c r="A39" s="326"/>
      <c r="B39" s="325"/>
      <c r="C39" s="325"/>
      <c r="D39" s="269"/>
      <c r="E39" s="270"/>
      <c r="F39" s="271"/>
      <c r="Q39" s="55"/>
      <c r="R39" s="55"/>
      <c r="S39" s="55"/>
      <c r="T39" s="55"/>
    </row>
    <row r="40" spans="1:43" ht="13.5" customHeight="1">
      <c r="A40" s="324" t="s">
        <v>32</v>
      </c>
      <c r="B40" s="325"/>
      <c r="C40" s="325"/>
      <c r="D40" s="273"/>
      <c r="E40" s="274"/>
      <c r="F40" s="275"/>
      <c r="Q40" s="55"/>
      <c r="R40" s="55"/>
      <c r="S40" s="55"/>
      <c r="T40" s="55"/>
    </row>
    <row r="41" spans="1:43" ht="13.5" customHeight="1">
      <c r="A41" s="326"/>
      <c r="B41" s="325"/>
      <c r="C41" s="325"/>
      <c r="D41" s="269"/>
      <c r="E41" s="270"/>
      <c r="F41" s="271"/>
      <c r="Q41" s="55"/>
      <c r="R41" s="55"/>
      <c r="S41" s="55"/>
      <c r="T41" s="55"/>
    </row>
    <row r="42" spans="1:43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</row>
    <row r="43" spans="1:43" ht="13.5" customHeight="1">
      <c r="A43" s="326"/>
      <c r="B43" s="325"/>
      <c r="C43" s="325"/>
      <c r="D43" s="269"/>
      <c r="E43" s="270"/>
      <c r="F43" s="271"/>
    </row>
    <row r="44" spans="1:43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43" ht="13.5" customHeight="1">
      <c r="A45" s="326"/>
      <c r="B45" s="325"/>
      <c r="C45" s="325"/>
      <c r="D45" s="269"/>
      <c r="E45" s="270"/>
      <c r="F45" s="271"/>
    </row>
    <row r="46" spans="1:43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43" ht="13.5" customHeight="1">
      <c r="A47" s="326"/>
      <c r="B47" s="325"/>
      <c r="C47" s="325"/>
      <c r="D47" s="269"/>
      <c r="E47" s="270"/>
      <c r="F47" s="271"/>
    </row>
    <row r="48" spans="1:43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31"/>
      <c r="E92" s="385" t="s">
        <v>54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30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30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30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30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30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30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3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3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3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33"/>
      <c r="E102" s="317"/>
      <c r="F102" s="318"/>
      <c r="G102" s="318"/>
      <c r="H102" s="318"/>
      <c r="I102" s="319"/>
      <c r="J102" s="320"/>
      <c r="K102" s="321"/>
    </row>
  </sheetData>
  <mergeCells count="139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AQ21" sqref="AQ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36</v>
      </c>
      <c r="C12" s="336" t="s">
        <v>2</v>
      </c>
      <c r="D12" s="349" t="s">
        <v>15</v>
      </c>
      <c r="E12" s="361"/>
      <c r="F12" s="361"/>
      <c r="G12" s="361"/>
      <c r="H12" s="361"/>
      <c r="I12" s="350"/>
      <c r="J12" s="349" t="s">
        <v>49</v>
      </c>
      <c r="K12" s="355"/>
      <c r="L12" s="398"/>
      <c r="N12" s="24"/>
      <c r="P12" s="399"/>
      <c r="Q12" s="402" t="s">
        <v>49</v>
      </c>
      <c r="R12" s="350"/>
      <c r="S12" s="349" t="s">
        <v>15</v>
      </c>
      <c r="T12" s="361"/>
      <c r="U12" s="361"/>
      <c r="V12" s="350"/>
      <c r="W12" s="336" t="s">
        <v>2</v>
      </c>
      <c r="X12" s="339" t="s">
        <v>36</v>
      </c>
      <c r="Y12" s="342" t="s">
        <v>13</v>
      </c>
    </row>
    <row r="13" spans="1:25" ht="12.75" customHeight="1">
      <c r="A13" s="359"/>
      <c r="B13" s="340"/>
      <c r="C13" s="337"/>
      <c r="D13" s="351"/>
      <c r="E13" s="362"/>
      <c r="F13" s="362"/>
      <c r="G13" s="362"/>
      <c r="H13" s="362"/>
      <c r="I13" s="352"/>
      <c r="J13" s="351"/>
      <c r="K13" s="356"/>
      <c r="L13" s="398"/>
      <c r="N13" s="24"/>
      <c r="P13" s="400"/>
      <c r="Q13" s="403"/>
      <c r="R13" s="352"/>
      <c r="S13" s="351"/>
      <c r="T13" s="362"/>
      <c r="U13" s="362"/>
      <c r="V13" s="352"/>
      <c r="W13" s="337"/>
      <c r="X13" s="340"/>
      <c r="Y13" s="343"/>
    </row>
    <row r="14" spans="1:25" ht="12.75" customHeight="1">
      <c r="A14" s="359"/>
      <c r="B14" s="340"/>
      <c r="C14" s="337"/>
      <c r="D14" s="351"/>
      <c r="E14" s="362"/>
      <c r="F14" s="362"/>
      <c r="G14" s="362"/>
      <c r="H14" s="362"/>
      <c r="I14" s="352"/>
      <c r="J14" s="351"/>
      <c r="K14" s="356"/>
      <c r="L14" s="398"/>
      <c r="N14" s="24"/>
      <c r="P14" s="400"/>
      <c r="Q14" s="403"/>
      <c r="R14" s="352"/>
      <c r="S14" s="351"/>
      <c r="T14" s="362"/>
      <c r="U14" s="362"/>
      <c r="V14" s="352"/>
      <c r="W14" s="337"/>
      <c r="X14" s="340"/>
      <c r="Y14" s="343"/>
    </row>
    <row r="15" spans="1:25" ht="12.75" customHeight="1" thickBot="1">
      <c r="A15" s="360"/>
      <c r="B15" s="341"/>
      <c r="C15" s="338"/>
      <c r="D15" s="353"/>
      <c r="E15" s="363"/>
      <c r="F15" s="363"/>
      <c r="G15" s="363"/>
      <c r="H15" s="363"/>
      <c r="I15" s="354"/>
      <c r="J15" s="353"/>
      <c r="K15" s="357"/>
      <c r="L15" s="398"/>
      <c r="N15" s="24"/>
      <c r="P15" s="401"/>
      <c r="Q15" s="404"/>
      <c r="R15" s="354"/>
      <c r="S15" s="353"/>
      <c r="T15" s="363"/>
      <c r="U15" s="363"/>
      <c r="V15" s="354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92" t="str">
        <f>IF(ISERROR((C17-B17)/C17),"",(C17-B17)/C17)</f>
        <v/>
      </c>
      <c r="B17" s="394">
        <f>SUM(B19:B21)</f>
        <v>0</v>
      </c>
      <c r="C17" s="197">
        <f>SUM(C19:C21)</f>
        <v>0</v>
      </c>
      <c r="D17" s="202" t="s">
        <v>67</v>
      </c>
      <c r="E17" s="204"/>
      <c r="F17" s="202"/>
      <c r="G17" s="203"/>
      <c r="H17" s="203"/>
      <c r="I17" s="204"/>
      <c r="J17" s="396"/>
      <c r="K17" s="234"/>
      <c r="L17" s="408"/>
      <c r="N17" s="24"/>
      <c r="P17" s="410"/>
      <c r="Q17" s="412"/>
      <c r="R17" s="242"/>
      <c r="S17" s="202" t="s">
        <v>14</v>
      </c>
      <c r="T17" s="204"/>
      <c r="U17" s="202"/>
      <c r="V17" s="204"/>
      <c r="W17" s="248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393"/>
      <c r="B18" s="395"/>
      <c r="C18" s="198"/>
      <c r="D18" s="205"/>
      <c r="E18" s="207"/>
      <c r="F18" s="205"/>
      <c r="G18" s="206"/>
      <c r="H18" s="206"/>
      <c r="I18" s="207"/>
      <c r="J18" s="397"/>
      <c r="K18" s="235"/>
      <c r="L18" s="409"/>
      <c r="N18" s="24"/>
      <c r="P18" s="411"/>
      <c r="Q18" s="413"/>
      <c r="R18" s="243"/>
      <c r="S18" s="205"/>
      <c r="T18" s="207"/>
      <c r="U18" s="205"/>
      <c r="V18" s="207"/>
      <c r="W18" s="249"/>
      <c r="X18" s="245"/>
      <c r="Y18" s="247"/>
    </row>
    <row r="19" spans="1:25" s="7" customFormat="1" ht="36" customHeight="1">
      <c r="A19" s="405" t="str">
        <f>IF(ISERROR(IF(B17="",3600/C17,3600/B17)),"",IF(B17="",3600/C17,3600/B17))</f>
        <v/>
      </c>
      <c r="B19" s="135"/>
      <c r="C19" s="11"/>
      <c r="D19" s="229"/>
      <c r="E19" s="250"/>
      <c r="F19" s="250"/>
      <c r="G19" s="250"/>
      <c r="H19" s="250"/>
      <c r="I19" s="420"/>
      <c r="J19" s="115"/>
      <c r="K19" s="22"/>
      <c r="L19" s="127"/>
      <c r="N19" s="24"/>
      <c r="P19" s="133"/>
      <c r="Q19" s="120"/>
      <c r="R19" s="18"/>
      <c r="S19" s="229"/>
      <c r="T19" s="230"/>
      <c r="U19" s="230"/>
      <c r="V19" s="230"/>
      <c r="W19" s="11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406"/>
      <c r="B20" s="135"/>
      <c r="C20" s="11"/>
      <c r="D20" s="229"/>
      <c r="E20" s="250"/>
      <c r="F20" s="250"/>
      <c r="G20" s="250"/>
      <c r="H20" s="250"/>
      <c r="I20" s="420"/>
      <c r="J20" s="115"/>
      <c r="K20" s="22"/>
      <c r="L20" s="127"/>
      <c r="N20" s="24"/>
      <c r="P20" s="134"/>
      <c r="Q20" s="120"/>
      <c r="R20" s="18"/>
      <c r="S20" s="229"/>
      <c r="T20" s="230"/>
      <c r="U20" s="230"/>
      <c r="V20" s="230"/>
      <c r="W20" s="11"/>
      <c r="X20" s="10"/>
      <c r="Y20" s="227"/>
    </row>
    <row r="21" spans="1:25" s="7" customFormat="1" ht="36" customHeight="1" thickBot="1">
      <c r="A21" s="407"/>
      <c r="B21" s="136"/>
      <c r="C21" s="13"/>
      <c r="D21" s="145"/>
      <c r="E21" s="146"/>
      <c r="F21" s="146"/>
      <c r="G21" s="146"/>
      <c r="H21" s="146"/>
      <c r="I21" s="421"/>
      <c r="J21" s="116"/>
      <c r="K21" s="23"/>
      <c r="L21" s="132"/>
      <c r="N21" s="24"/>
      <c r="P21" s="119"/>
      <c r="Q21" s="121"/>
      <c r="R21" s="21"/>
      <c r="S21" s="145"/>
      <c r="T21" s="232"/>
      <c r="U21" s="232"/>
      <c r="V21" s="232"/>
      <c r="W21" s="122" t="s">
        <v>3</v>
      </c>
      <c r="X21" s="12"/>
      <c r="Y21" s="22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H25" s="68"/>
      <c r="I25" s="51"/>
      <c r="J25" s="276"/>
      <c r="K25" s="276"/>
      <c r="L25" s="276"/>
      <c r="M25" s="277"/>
      <c r="N25" s="278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6" t="s">
        <v>59</v>
      </c>
      <c r="K26" s="83"/>
      <c r="L26" s="105" t="s">
        <v>60</v>
      </c>
      <c r="M26" s="147" t="s">
        <v>61</v>
      </c>
      <c r="N26" s="148"/>
      <c r="P26" s="106" t="s">
        <v>62</v>
      </c>
      <c r="Q26" s="106" t="s">
        <v>63</v>
      </c>
      <c r="R26" s="83"/>
      <c r="S26" s="149" t="s">
        <v>64</v>
      </c>
      <c r="T26" s="150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1"/>
      <c r="N27" s="152"/>
      <c r="P27" s="79"/>
      <c r="Q27" s="79"/>
      <c r="R27" s="82"/>
      <c r="S27" s="153"/>
      <c r="T27" s="154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6"/>
      <c r="V31" s="256"/>
      <c r="W31" s="67"/>
      <c r="X31" s="67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O32" s="67"/>
      <c r="P32" s="67"/>
      <c r="Q32" s="257"/>
      <c r="R32" s="257"/>
      <c r="S32" s="257"/>
      <c r="T32" s="70"/>
      <c r="U32" s="256"/>
      <c r="V32" s="25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O34" s="67"/>
      <c r="P34" s="67"/>
      <c r="Q34" s="67"/>
      <c r="R34" s="67"/>
      <c r="S34" s="67"/>
      <c r="T34" s="67"/>
      <c r="U34" s="261"/>
      <c r="V34" s="261"/>
      <c r="W34" s="67"/>
      <c r="X34" s="67"/>
    </row>
    <row r="35" spans="1:24" ht="18" customHeight="1" thickBot="1">
      <c r="H35" s="67"/>
      <c r="O35" s="67"/>
      <c r="P35" s="67"/>
      <c r="Q35" s="255"/>
      <c r="R35" s="255"/>
      <c r="S35" s="255"/>
      <c r="T35" s="72"/>
      <c r="U35" s="261"/>
      <c r="V35" s="261"/>
      <c r="W35" s="67"/>
      <c r="X35" s="67"/>
    </row>
    <row r="36" spans="1:24" ht="15" customHeight="1">
      <c r="A36" s="262" t="s">
        <v>30</v>
      </c>
      <c r="B36" s="263"/>
      <c r="C36" s="263"/>
      <c r="D36" s="266"/>
      <c r="E36" s="267"/>
      <c r="F36" s="268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4"/>
      <c r="B37" s="265"/>
      <c r="C37" s="265"/>
      <c r="D37" s="269"/>
      <c r="E37" s="270"/>
      <c r="F37" s="271"/>
      <c r="O37" s="67"/>
      <c r="P37" s="67"/>
      <c r="Q37" s="65"/>
      <c r="R37" s="65"/>
      <c r="S37" s="65"/>
      <c r="T37" s="65"/>
      <c r="U37" s="254"/>
      <c r="V37" s="254"/>
      <c r="W37" s="67"/>
      <c r="X37" s="67"/>
    </row>
    <row r="38" spans="1:24" ht="15" customHeight="1">
      <c r="A38" s="272" t="s">
        <v>31</v>
      </c>
      <c r="B38" s="265"/>
      <c r="C38" s="265"/>
      <c r="D38" s="273"/>
      <c r="E38" s="274"/>
      <c r="F38" s="275"/>
      <c r="O38" s="67"/>
      <c r="P38" s="67"/>
      <c r="Q38" s="255"/>
      <c r="R38" s="255"/>
      <c r="S38" s="255"/>
      <c r="T38" s="72"/>
      <c r="U38" s="254"/>
      <c r="V38" s="254"/>
      <c r="W38" s="67"/>
      <c r="X38" s="67"/>
    </row>
    <row r="39" spans="1:24" ht="15" customHeight="1">
      <c r="A39" s="264"/>
      <c r="B39" s="265"/>
      <c r="C39" s="265"/>
      <c r="D39" s="269"/>
      <c r="E39" s="270"/>
      <c r="F39" s="27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2" t="s">
        <v>32</v>
      </c>
      <c r="B40" s="265"/>
      <c r="C40" s="265"/>
      <c r="D40" s="273"/>
      <c r="E40" s="274"/>
      <c r="F40" s="275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4"/>
      <c r="B41" s="265"/>
      <c r="C41" s="265"/>
      <c r="D41" s="269"/>
      <c r="E41" s="270"/>
      <c r="F41" s="27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4"/>
      <c r="B43" s="265"/>
      <c r="C43" s="265"/>
      <c r="D43" s="269"/>
      <c r="E43" s="270"/>
      <c r="F43" s="27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4"/>
      <c r="B45" s="265"/>
      <c r="C45" s="265"/>
      <c r="D45" s="269"/>
      <c r="E45" s="270"/>
      <c r="F45" s="27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4"/>
      <c r="B47" s="265"/>
      <c r="C47" s="265"/>
      <c r="D47" s="269"/>
      <c r="E47" s="270"/>
      <c r="F47" s="271"/>
    </row>
    <row r="48" spans="1:24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</row>
    <row r="49" spans="1:6" ht="15" customHeight="1">
      <c r="A49" s="264"/>
      <c r="B49" s="265"/>
      <c r="C49" s="265"/>
      <c r="D49" s="269"/>
      <c r="E49" s="270"/>
      <c r="F49" s="271"/>
    </row>
    <row r="50" spans="1:6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</row>
    <row r="51" spans="1:6" ht="15" customHeight="1">
      <c r="A51" s="264"/>
      <c r="B51" s="265"/>
      <c r="C51" s="265"/>
      <c r="D51" s="269"/>
      <c r="E51" s="270"/>
      <c r="F51" s="271"/>
    </row>
    <row r="52" spans="1:6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6" ht="15" customHeight="1">
      <c r="A53" s="264"/>
      <c r="B53" s="265"/>
      <c r="C53" s="265"/>
      <c r="D53" s="269"/>
      <c r="E53" s="270"/>
      <c r="F53" s="271"/>
    </row>
    <row r="54" spans="1:6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6" ht="15" customHeight="1">
      <c r="A55" s="264"/>
      <c r="B55" s="265"/>
      <c r="C55" s="265"/>
      <c r="D55" s="282"/>
      <c r="E55" s="283"/>
      <c r="F55" s="284"/>
    </row>
    <row r="56" spans="1:6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6" ht="15" customHeight="1">
      <c r="A57" s="264"/>
      <c r="B57" s="265"/>
      <c r="C57" s="265"/>
      <c r="D57" s="282"/>
      <c r="E57" s="283"/>
      <c r="F57" s="284"/>
    </row>
    <row r="58" spans="1:6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6" ht="15" customHeight="1">
      <c r="A59" s="264"/>
      <c r="B59" s="265"/>
      <c r="C59" s="265"/>
      <c r="D59" s="282"/>
      <c r="E59" s="283"/>
      <c r="F59" s="284"/>
    </row>
    <row r="60" spans="1:6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6" ht="15" customHeight="1">
      <c r="A61" s="264"/>
      <c r="B61" s="265"/>
      <c r="C61" s="265"/>
      <c r="D61" s="282"/>
      <c r="E61" s="283"/>
      <c r="F61" s="284"/>
    </row>
    <row r="62" spans="1:6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6" ht="15" customHeight="1" thickBot="1">
      <c r="A63" s="285"/>
      <c r="B63" s="286"/>
      <c r="C63" s="286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46:C47"/>
    <mergeCell ref="D46:F47"/>
    <mergeCell ref="A48:C49"/>
    <mergeCell ref="D48:F49"/>
    <mergeCell ref="A50:C51"/>
    <mergeCell ref="D50:F51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4:C45"/>
    <mergeCell ref="D44:F45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30:C30"/>
    <mergeCell ref="D30:G30"/>
    <mergeCell ref="U31:V32"/>
    <mergeCell ref="A32:C32"/>
    <mergeCell ref="D32:G32"/>
    <mergeCell ref="Q32:S32"/>
    <mergeCell ref="M27:N27"/>
    <mergeCell ref="S27:T27"/>
    <mergeCell ref="A28:C28"/>
    <mergeCell ref="D28:G28"/>
    <mergeCell ref="U28:V29"/>
    <mergeCell ref="Q29:S29"/>
    <mergeCell ref="J24:L25"/>
    <mergeCell ref="M24:N25"/>
    <mergeCell ref="M26:N26"/>
    <mergeCell ref="S26:T26"/>
    <mergeCell ref="U17:V18"/>
    <mergeCell ref="S19:V19"/>
    <mergeCell ref="S20:V20"/>
    <mergeCell ref="S21:V21"/>
    <mergeCell ref="S17:T18"/>
    <mergeCell ref="A19:A21"/>
    <mergeCell ref="Y19:Y21"/>
    <mergeCell ref="K17:K18"/>
    <mergeCell ref="L17:L18"/>
    <mergeCell ref="P17:P18"/>
    <mergeCell ref="Q17:Q18"/>
    <mergeCell ref="R17:R18"/>
    <mergeCell ref="D17:E18"/>
    <mergeCell ref="D19:I19"/>
    <mergeCell ref="D20:I20"/>
    <mergeCell ref="D21:I21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L12:L15"/>
    <mergeCell ref="P12:P15"/>
    <mergeCell ref="Q12:R15"/>
    <mergeCell ref="W17:W18"/>
    <mergeCell ref="X17:X18"/>
    <mergeCell ref="Y17:Y18"/>
    <mergeCell ref="S12:V15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9" sqref="D19:I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49" t="s">
        <v>15</v>
      </c>
      <c r="E12" s="361"/>
      <c r="F12" s="361"/>
      <c r="G12" s="361"/>
      <c r="H12" s="361"/>
      <c r="I12" s="350"/>
      <c r="J12" s="349" t="s">
        <v>47</v>
      </c>
      <c r="K12" s="355"/>
      <c r="L12" s="422"/>
      <c r="N12" s="24"/>
      <c r="P12" s="422"/>
      <c r="Q12" s="402" t="s">
        <v>47</v>
      </c>
      <c r="R12" s="350"/>
      <c r="S12" s="349" t="s">
        <v>15</v>
      </c>
      <c r="T12" s="361"/>
      <c r="U12" s="361"/>
      <c r="V12" s="350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51"/>
      <c r="E13" s="362"/>
      <c r="F13" s="362"/>
      <c r="G13" s="362"/>
      <c r="H13" s="362"/>
      <c r="I13" s="352"/>
      <c r="J13" s="351"/>
      <c r="K13" s="356"/>
      <c r="L13" s="422"/>
      <c r="N13" s="24"/>
      <c r="P13" s="422"/>
      <c r="Q13" s="403"/>
      <c r="R13" s="352"/>
      <c r="S13" s="351"/>
      <c r="T13" s="362"/>
      <c r="U13" s="362"/>
      <c r="V13" s="352"/>
      <c r="W13" s="337"/>
      <c r="X13" s="340"/>
      <c r="Y13" s="343"/>
    </row>
    <row r="14" spans="1:25" ht="12.75" customHeight="1">
      <c r="A14" s="359"/>
      <c r="B14" s="340"/>
      <c r="C14" s="337"/>
      <c r="D14" s="351"/>
      <c r="E14" s="362"/>
      <c r="F14" s="362"/>
      <c r="G14" s="362"/>
      <c r="H14" s="362"/>
      <c r="I14" s="352"/>
      <c r="J14" s="351"/>
      <c r="K14" s="356"/>
      <c r="L14" s="422"/>
      <c r="N14" s="24"/>
      <c r="P14" s="422"/>
      <c r="Q14" s="403"/>
      <c r="R14" s="352"/>
      <c r="S14" s="351"/>
      <c r="T14" s="362"/>
      <c r="U14" s="362"/>
      <c r="V14" s="352"/>
      <c r="W14" s="337"/>
      <c r="X14" s="340"/>
      <c r="Y14" s="343"/>
    </row>
    <row r="15" spans="1:25" ht="12.75" customHeight="1" thickBot="1">
      <c r="A15" s="360"/>
      <c r="B15" s="341"/>
      <c r="C15" s="338"/>
      <c r="D15" s="353"/>
      <c r="E15" s="363"/>
      <c r="F15" s="363"/>
      <c r="G15" s="363"/>
      <c r="H15" s="363"/>
      <c r="I15" s="354"/>
      <c r="J15" s="353"/>
      <c r="K15" s="357"/>
      <c r="L15" s="422"/>
      <c r="N15" s="24"/>
      <c r="P15" s="438"/>
      <c r="Q15" s="404"/>
      <c r="R15" s="354"/>
      <c r="S15" s="353"/>
      <c r="T15" s="363"/>
      <c r="U15" s="363"/>
      <c r="V15" s="354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22"/>
      <c r="N16" s="25"/>
      <c r="P16" s="130"/>
      <c r="Q16" s="131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416" t="s">
        <v>14</v>
      </c>
      <c r="E17" s="417"/>
      <c r="F17" s="202"/>
      <c r="G17" s="203"/>
      <c r="H17" s="203"/>
      <c r="I17" s="204"/>
      <c r="J17" s="396"/>
      <c r="K17" s="234"/>
      <c r="L17" s="422"/>
      <c r="N17" s="24"/>
      <c r="P17" s="431"/>
      <c r="Q17" s="433"/>
      <c r="R17" s="435"/>
      <c r="S17" s="427" t="s">
        <v>14</v>
      </c>
      <c r="T17" s="428"/>
      <c r="U17" s="423"/>
      <c r="V17" s="424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194"/>
      <c r="B18" s="346"/>
      <c r="C18" s="348"/>
      <c r="D18" s="418"/>
      <c r="E18" s="419"/>
      <c r="F18" s="205"/>
      <c r="G18" s="206"/>
      <c r="H18" s="206"/>
      <c r="I18" s="207"/>
      <c r="J18" s="437"/>
      <c r="K18" s="235"/>
      <c r="L18" s="422"/>
      <c r="N18" s="24"/>
      <c r="P18" s="432"/>
      <c r="Q18" s="434"/>
      <c r="R18" s="436"/>
      <c r="S18" s="429"/>
      <c r="T18" s="430"/>
      <c r="U18" s="425"/>
      <c r="V18" s="426"/>
      <c r="W18" s="335"/>
      <c r="X18" s="365"/>
      <c r="Y18" s="367"/>
    </row>
    <row r="19" spans="1:25" s="7" customFormat="1" ht="26.25" customHeight="1">
      <c r="A19" s="251" t="str">
        <f>IF(ISERROR(IF(B17="",3600/C17,3600/B17)),"",IF(B17="",3600/C17,3600/B17))</f>
        <v/>
      </c>
      <c r="B19" s="10"/>
      <c r="C19" s="11"/>
      <c r="D19" s="229"/>
      <c r="E19" s="250"/>
      <c r="F19" s="250"/>
      <c r="G19" s="250"/>
      <c r="H19" s="250"/>
      <c r="I19" s="420"/>
      <c r="J19" s="123"/>
      <c r="K19" s="22"/>
      <c r="L19" s="422"/>
      <c r="N19" s="24"/>
      <c r="P19" s="127"/>
      <c r="Q19" s="125"/>
      <c r="R19" s="18"/>
      <c r="S19" s="229"/>
      <c r="T19" s="230"/>
      <c r="U19" s="230"/>
      <c r="V19" s="230"/>
      <c r="W19" s="20"/>
      <c r="X19" s="128"/>
      <c r="Y19" s="226" t="str">
        <f>IF(ISERROR(IF(X17="",3600/W17,3600/X17)),"",IF(X17="",3600/W17,3600/X17))</f>
        <v/>
      </c>
    </row>
    <row r="20" spans="1:25" s="7" customFormat="1" ht="22.5">
      <c r="A20" s="252"/>
      <c r="B20" s="10"/>
      <c r="C20" s="11"/>
      <c r="D20" s="229"/>
      <c r="E20" s="250"/>
      <c r="F20" s="250"/>
      <c r="G20" s="250"/>
      <c r="H20" s="250"/>
      <c r="I20" s="420"/>
      <c r="J20" s="123"/>
      <c r="K20" s="22"/>
      <c r="L20" s="422"/>
      <c r="N20" s="24"/>
      <c r="P20" s="127"/>
      <c r="Q20" s="125"/>
      <c r="R20" s="18"/>
      <c r="S20" s="229"/>
      <c r="T20" s="230"/>
      <c r="U20" s="230"/>
      <c r="V20" s="230"/>
      <c r="W20" s="20"/>
      <c r="X20" s="128"/>
      <c r="Y20" s="227"/>
    </row>
    <row r="21" spans="1:25" s="7" customFormat="1" ht="26.25" customHeight="1" thickBot="1">
      <c r="A21" s="253"/>
      <c r="B21" s="12"/>
      <c r="C21" s="13"/>
      <c r="D21" s="145"/>
      <c r="E21" s="146"/>
      <c r="F21" s="146"/>
      <c r="G21" s="146"/>
      <c r="H21" s="146"/>
      <c r="I21" s="421"/>
      <c r="J21" s="124"/>
      <c r="K21" s="23"/>
      <c r="L21" s="422"/>
      <c r="N21" s="24"/>
      <c r="P21" s="119"/>
      <c r="Q21" s="126"/>
      <c r="R21" s="21"/>
      <c r="S21" s="145"/>
      <c r="T21" s="232"/>
      <c r="U21" s="232"/>
      <c r="V21" s="232"/>
      <c r="W21" s="122" t="s">
        <v>3</v>
      </c>
      <c r="X21" s="129"/>
      <c r="Y21" s="228"/>
    </row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9" t="s">
        <v>57</v>
      </c>
      <c r="Q24" s="61"/>
    </row>
    <row r="25" spans="1:25" ht="18" customHeight="1">
      <c r="H25" s="68"/>
      <c r="I25" s="51"/>
      <c r="J25" s="276"/>
      <c r="K25" s="276"/>
      <c r="L25" s="276"/>
      <c r="M25" s="278"/>
      <c r="N25" s="278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109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10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111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111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P34" s="67"/>
      <c r="Q34" s="67"/>
      <c r="R34" s="67"/>
      <c r="S34" s="67"/>
      <c r="T34" s="67"/>
      <c r="U34" s="312"/>
      <c r="V34" s="112"/>
    </row>
    <row r="35" spans="1:22" ht="18" customHeight="1" thickBot="1">
      <c r="P35" s="67"/>
      <c r="Q35" s="255"/>
      <c r="R35" s="255"/>
      <c r="S35" s="255"/>
      <c r="T35" s="72"/>
      <c r="U35" s="313"/>
      <c r="V35" s="112"/>
    </row>
    <row r="36" spans="1:22" ht="18" customHeight="1">
      <c r="A36" s="329" t="s">
        <v>30</v>
      </c>
      <c r="B36" s="330"/>
      <c r="C36" s="330"/>
      <c r="D36" s="266"/>
      <c r="E36" s="267"/>
      <c r="F36" s="268"/>
      <c r="P36" s="67"/>
      <c r="Q36" s="65"/>
      <c r="R36" s="65"/>
      <c r="S36" s="65"/>
      <c r="T36" s="65"/>
      <c r="U36" s="9"/>
      <c r="V36" s="9"/>
    </row>
    <row r="37" spans="1:22" ht="18" customHeight="1">
      <c r="A37" s="326"/>
      <c r="B37" s="325"/>
      <c r="C37" s="325"/>
      <c r="D37" s="269"/>
      <c r="E37" s="270"/>
      <c r="F37" s="271"/>
      <c r="P37" s="67"/>
      <c r="Q37" s="65"/>
      <c r="R37" s="65"/>
      <c r="S37" s="65"/>
      <c r="T37" s="65"/>
      <c r="U37" s="308"/>
      <c r="V37" s="110"/>
    </row>
    <row r="38" spans="1:22" ht="13.5" customHeight="1">
      <c r="A38" s="324" t="s">
        <v>31</v>
      </c>
      <c r="B38" s="325"/>
      <c r="C38" s="325"/>
      <c r="D38" s="273"/>
      <c r="E38" s="274"/>
      <c r="F38" s="275"/>
      <c r="P38" s="67"/>
      <c r="Q38" s="255"/>
      <c r="R38" s="255"/>
      <c r="S38" s="255"/>
      <c r="T38" s="72"/>
      <c r="U38" s="309"/>
      <c r="V38" s="110"/>
    </row>
    <row r="39" spans="1:22" ht="13.5" customHeight="1">
      <c r="A39" s="326"/>
      <c r="B39" s="325"/>
      <c r="C39" s="325"/>
      <c r="D39" s="269"/>
      <c r="E39" s="270"/>
      <c r="F39" s="271"/>
      <c r="P39" s="67"/>
      <c r="Q39" s="65"/>
      <c r="R39" s="65"/>
      <c r="S39" s="65"/>
      <c r="T39" s="65"/>
    </row>
    <row r="40" spans="1:22" ht="13.5" customHeight="1">
      <c r="A40" s="324" t="s">
        <v>32</v>
      </c>
      <c r="B40" s="325"/>
      <c r="C40" s="325"/>
      <c r="D40" s="273"/>
      <c r="E40" s="274"/>
      <c r="F40" s="275"/>
      <c r="P40" s="67"/>
      <c r="Q40" s="67"/>
      <c r="R40" s="67"/>
      <c r="S40" s="67"/>
      <c r="T40" s="67"/>
    </row>
    <row r="41" spans="1:22" ht="13.5" customHeight="1">
      <c r="A41" s="326"/>
      <c r="B41" s="325"/>
      <c r="C41" s="325"/>
      <c r="D41" s="269"/>
      <c r="E41" s="270"/>
      <c r="F41" s="271"/>
      <c r="P41" s="67"/>
      <c r="Q41" s="67"/>
      <c r="R41" s="67"/>
      <c r="S41" s="67"/>
      <c r="T41" s="67"/>
    </row>
    <row r="42" spans="1:22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  <c r="P42" s="67"/>
      <c r="Q42" s="67"/>
      <c r="R42" s="67"/>
      <c r="S42" s="67"/>
      <c r="T42" s="67"/>
    </row>
    <row r="43" spans="1:22" ht="13.5" customHeight="1">
      <c r="A43" s="326"/>
      <c r="B43" s="325"/>
      <c r="C43" s="325"/>
      <c r="D43" s="269"/>
      <c r="E43" s="270"/>
      <c r="F43" s="271"/>
      <c r="P43" s="67"/>
      <c r="Q43" s="67"/>
      <c r="R43" s="67"/>
      <c r="S43" s="67"/>
      <c r="T43" s="67"/>
    </row>
    <row r="44" spans="1:22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22" ht="13.5" customHeight="1">
      <c r="A45" s="326"/>
      <c r="B45" s="325"/>
      <c r="C45" s="325"/>
      <c r="D45" s="269"/>
      <c r="E45" s="270"/>
      <c r="F45" s="271"/>
    </row>
    <row r="46" spans="1:22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22" ht="13.5" customHeight="1">
      <c r="A47" s="326"/>
      <c r="B47" s="325"/>
      <c r="C47" s="325"/>
      <c r="D47" s="269"/>
      <c r="E47" s="270"/>
      <c r="F47" s="271"/>
    </row>
    <row r="48" spans="1:22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114"/>
      <c r="E92" s="385" t="s">
        <v>55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113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113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113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113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113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113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11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11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11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113"/>
      <c r="E102" s="317"/>
      <c r="F102" s="318"/>
      <c r="G102" s="318"/>
      <c r="H102" s="318"/>
      <c r="I102" s="319"/>
      <c r="J102" s="320"/>
      <c r="K102" s="321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A1:E2"/>
    <mergeCell ref="F1:G2"/>
    <mergeCell ref="A3:E4"/>
    <mergeCell ref="F3:G4"/>
    <mergeCell ref="A5:E6"/>
    <mergeCell ref="F5:G6"/>
    <mergeCell ref="Y17:Y18"/>
    <mergeCell ref="A19:A21"/>
    <mergeCell ref="Y19:Y21"/>
    <mergeCell ref="K17:K18"/>
    <mergeCell ref="P17:P18"/>
    <mergeCell ref="Q17:Q18"/>
    <mergeCell ref="R17:R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P12:P15"/>
    <mergeCell ref="Q12:R15"/>
    <mergeCell ref="J24:L25"/>
    <mergeCell ref="M24:N25"/>
    <mergeCell ref="M26:N26"/>
    <mergeCell ref="S26:T26"/>
    <mergeCell ref="L12:L21"/>
    <mergeCell ref="S12:V15"/>
    <mergeCell ref="U17:V18"/>
    <mergeCell ref="W17:W18"/>
    <mergeCell ref="X17:X18"/>
    <mergeCell ref="S17:T18"/>
    <mergeCell ref="S19:V19"/>
    <mergeCell ref="S20:V20"/>
    <mergeCell ref="S21:V21"/>
    <mergeCell ref="A30:C30"/>
    <mergeCell ref="D30:G30"/>
    <mergeCell ref="U31:U32"/>
    <mergeCell ref="A32:C32"/>
    <mergeCell ref="D32:G32"/>
    <mergeCell ref="Q32:S32"/>
    <mergeCell ref="M27:N27"/>
    <mergeCell ref="S27:T27"/>
    <mergeCell ref="A28:C28"/>
    <mergeCell ref="D28:G28"/>
    <mergeCell ref="U28:U29"/>
    <mergeCell ref="Q29:S29"/>
    <mergeCell ref="A34:C34"/>
    <mergeCell ref="D34:G34"/>
    <mergeCell ref="U34:U35"/>
    <mergeCell ref="Q35:S35"/>
    <mergeCell ref="A36:C37"/>
    <mergeCell ref="D36:F37"/>
    <mergeCell ref="U37:U38"/>
    <mergeCell ref="A38:C39"/>
    <mergeCell ref="D38:F39"/>
    <mergeCell ref="Q38:S38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102:C102"/>
    <mergeCell ref="E102:I102"/>
    <mergeCell ref="J102:K102"/>
    <mergeCell ref="D12:I15"/>
    <mergeCell ref="D17:E18"/>
    <mergeCell ref="D19:I19"/>
    <mergeCell ref="D20:I20"/>
    <mergeCell ref="D21:I21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tabSelected="1" zoomScale="65" zoomScaleNormal="65" workbookViewId="0">
      <selection activeCell="D19" sqref="D19:I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7" t="s">
        <v>10</v>
      </c>
      <c r="B1" s="178"/>
      <c r="C1" s="178"/>
      <c r="D1" s="178"/>
      <c r="E1" s="179"/>
      <c r="F1" s="180"/>
      <c r="G1" s="181"/>
    </row>
    <row r="2" spans="1:25" ht="15" customHeight="1">
      <c r="A2" s="165"/>
      <c r="B2" s="166"/>
      <c r="C2" s="166"/>
      <c r="D2" s="166"/>
      <c r="E2" s="167"/>
      <c r="F2" s="168"/>
      <c r="G2" s="169"/>
    </row>
    <row r="3" spans="1:25" ht="15" customHeight="1">
      <c r="A3" s="162" t="s">
        <v>0</v>
      </c>
      <c r="B3" s="163"/>
      <c r="C3" s="163"/>
      <c r="D3" s="163"/>
      <c r="E3" s="164"/>
      <c r="F3" s="182"/>
      <c r="G3" s="183"/>
    </row>
    <row r="4" spans="1:25" ht="15" customHeight="1">
      <c r="A4" s="165"/>
      <c r="B4" s="166"/>
      <c r="C4" s="166"/>
      <c r="D4" s="166"/>
      <c r="E4" s="167"/>
      <c r="F4" s="182"/>
      <c r="G4" s="183"/>
    </row>
    <row r="5" spans="1:25" ht="15" customHeight="1">
      <c r="A5" s="162" t="s">
        <v>11</v>
      </c>
      <c r="B5" s="163"/>
      <c r="C5" s="163"/>
      <c r="D5" s="163"/>
      <c r="E5" s="164"/>
      <c r="F5" s="168"/>
      <c r="G5" s="169"/>
    </row>
    <row r="6" spans="1:25" ht="15" customHeight="1">
      <c r="A6" s="165"/>
      <c r="B6" s="166"/>
      <c r="C6" s="166"/>
      <c r="D6" s="166"/>
      <c r="E6" s="167"/>
      <c r="F6" s="168"/>
      <c r="G6" s="169"/>
    </row>
    <row r="7" spans="1:25" ht="15" customHeight="1">
      <c r="A7" s="162" t="s">
        <v>1</v>
      </c>
      <c r="B7" s="163"/>
      <c r="C7" s="163"/>
      <c r="D7" s="163"/>
      <c r="E7" s="164"/>
      <c r="F7" s="168"/>
      <c r="G7" s="169"/>
    </row>
    <row r="8" spans="1:25" ht="15" customHeight="1">
      <c r="A8" s="165"/>
      <c r="B8" s="166"/>
      <c r="C8" s="166"/>
      <c r="D8" s="166"/>
      <c r="E8" s="167"/>
      <c r="F8" s="168"/>
      <c r="G8" s="169"/>
    </row>
    <row r="9" spans="1:25" ht="15" customHeight="1">
      <c r="A9" s="162" t="s">
        <v>66</v>
      </c>
      <c r="B9" s="163"/>
      <c r="C9" s="163"/>
      <c r="D9" s="163"/>
      <c r="E9" s="164"/>
      <c r="F9" s="173"/>
      <c r="G9" s="174"/>
    </row>
    <row r="10" spans="1:25" ht="15" customHeight="1" thickBot="1">
      <c r="A10" s="170"/>
      <c r="B10" s="171"/>
      <c r="C10" s="171"/>
      <c r="D10" s="171"/>
      <c r="E10" s="172"/>
      <c r="F10" s="175"/>
      <c r="G10" s="176"/>
    </row>
    <row r="11" spans="1:25" ht="17.25" thickBot="1"/>
    <row r="12" spans="1:25" ht="12.75" customHeight="1">
      <c r="A12" s="219" t="s">
        <v>13</v>
      </c>
      <c r="B12" s="187" t="s">
        <v>36</v>
      </c>
      <c r="C12" s="184" t="s">
        <v>2</v>
      </c>
      <c r="D12" s="210" t="s">
        <v>15</v>
      </c>
      <c r="E12" s="178"/>
      <c r="F12" s="178"/>
      <c r="G12" s="178"/>
      <c r="H12" s="178"/>
      <c r="I12" s="211"/>
      <c r="J12" s="210" t="s">
        <v>49</v>
      </c>
      <c r="K12" s="216"/>
      <c r="L12" s="398"/>
      <c r="N12" s="24"/>
      <c r="P12" s="399"/>
      <c r="Q12" s="177" t="s">
        <v>49</v>
      </c>
      <c r="R12" s="211"/>
      <c r="S12" s="210" t="s">
        <v>15</v>
      </c>
      <c r="T12" s="178"/>
      <c r="U12" s="178"/>
      <c r="V12" s="211"/>
      <c r="W12" s="184" t="s">
        <v>2</v>
      </c>
      <c r="X12" s="187" t="s">
        <v>36</v>
      </c>
      <c r="Y12" s="190" t="s">
        <v>13</v>
      </c>
    </row>
    <row r="13" spans="1:25" ht="12.75" customHeight="1">
      <c r="A13" s="220"/>
      <c r="B13" s="188"/>
      <c r="C13" s="185"/>
      <c r="D13" s="212"/>
      <c r="E13" s="222"/>
      <c r="F13" s="222"/>
      <c r="G13" s="222"/>
      <c r="H13" s="222"/>
      <c r="I13" s="213"/>
      <c r="J13" s="212"/>
      <c r="K13" s="217"/>
      <c r="L13" s="398"/>
      <c r="N13" s="24"/>
      <c r="P13" s="400"/>
      <c r="Q13" s="439"/>
      <c r="R13" s="213"/>
      <c r="S13" s="212"/>
      <c r="T13" s="222"/>
      <c r="U13" s="222"/>
      <c r="V13" s="213"/>
      <c r="W13" s="185"/>
      <c r="X13" s="188"/>
      <c r="Y13" s="191"/>
    </row>
    <row r="14" spans="1:25" ht="12.75" customHeight="1">
      <c r="A14" s="220"/>
      <c r="B14" s="188"/>
      <c r="C14" s="185"/>
      <c r="D14" s="212"/>
      <c r="E14" s="222"/>
      <c r="F14" s="222"/>
      <c r="G14" s="222"/>
      <c r="H14" s="222"/>
      <c r="I14" s="213"/>
      <c r="J14" s="212"/>
      <c r="K14" s="217"/>
      <c r="L14" s="398"/>
      <c r="N14" s="24"/>
      <c r="P14" s="400"/>
      <c r="Q14" s="439"/>
      <c r="R14" s="213"/>
      <c r="S14" s="212"/>
      <c r="T14" s="222"/>
      <c r="U14" s="222"/>
      <c r="V14" s="213"/>
      <c r="W14" s="185"/>
      <c r="X14" s="188"/>
      <c r="Y14" s="191"/>
    </row>
    <row r="15" spans="1:25" ht="12.75" customHeight="1" thickBot="1">
      <c r="A15" s="221"/>
      <c r="B15" s="189"/>
      <c r="C15" s="186"/>
      <c r="D15" s="214"/>
      <c r="E15" s="171"/>
      <c r="F15" s="171"/>
      <c r="G15" s="171"/>
      <c r="H15" s="171"/>
      <c r="I15" s="215"/>
      <c r="J15" s="214"/>
      <c r="K15" s="218"/>
      <c r="L15" s="398"/>
      <c r="N15" s="24"/>
      <c r="P15" s="401"/>
      <c r="Q15" s="170"/>
      <c r="R15" s="215"/>
      <c r="S15" s="214"/>
      <c r="T15" s="171"/>
      <c r="U15" s="171"/>
      <c r="V15" s="215"/>
      <c r="W15" s="186"/>
      <c r="X15" s="189"/>
      <c r="Y15" s="192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92" t="str">
        <f>IF(ISERROR((C17-B17)/C17),"",(C17-B17)/C17)</f>
        <v/>
      </c>
      <c r="B17" s="394">
        <f>SUM(B19:B21)</f>
        <v>0</v>
      </c>
      <c r="C17" s="197">
        <f>SUM(C19:C21)</f>
        <v>0</v>
      </c>
      <c r="D17" s="202" t="s">
        <v>67</v>
      </c>
      <c r="E17" s="204"/>
      <c r="F17" s="202"/>
      <c r="G17" s="203"/>
      <c r="H17" s="203"/>
      <c r="I17" s="204"/>
      <c r="J17" s="396"/>
      <c r="K17" s="234"/>
      <c r="L17" s="408"/>
      <c r="N17" s="24"/>
      <c r="P17" s="410"/>
      <c r="Q17" s="412"/>
      <c r="R17" s="242"/>
      <c r="S17" s="202" t="s">
        <v>14</v>
      </c>
      <c r="T17" s="204"/>
      <c r="U17" s="202"/>
      <c r="V17" s="204"/>
      <c r="W17" s="248">
        <f>SUM(W19:W21)</f>
        <v>0</v>
      </c>
      <c r="X17" s="244">
        <f>SUM(X19:X21)</f>
        <v>0</v>
      </c>
      <c r="Y17" s="246" t="str">
        <f>IF(ISERROR((W17-X17)/W17),"",(W17-X17)/W17)</f>
        <v/>
      </c>
    </row>
    <row r="18" spans="1:25" s="7" customFormat="1" ht="20.100000000000001" customHeight="1">
      <c r="A18" s="393"/>
      <c r="B18" s="395"/>
      <c r="C18" s="198"/>
      <c r="D18" s="205"/>
      <c r="E18" s="207"/>
      <c r="F18" s="205"/>
      <c r="G18" s="206"/>
      <c r="H18" s="206"/>
      <c r="I18" s="207"/>
      <c r="J18" s="397"/>
      <c r="K18" s="235"/>
      <c r="L18" s="409"/>
      <c r="N18" s="24"/>
      <c r="P18" s="411"/>
      <c r="Q18" s="413"/>
      <c r="R18" s="243"/>
      <c r="S18" s="205"/>
      <c r="T18" s="207"/>
      <c r="U18" s="205"/>
      <c r="V18" s="207"/>
      <c r="W18" s="249"/>
      <c r="X18" s="245"/>
      <c r="Y18" s="247"/>
    </row>
    <row r="19" spans="1:25" s="7" customFormat="1" ht="36" customHeight="1">
      <c r="A19" s="405" t="str">
        <f>IF(ISERROR(IF(B17="",3600/C17,3600/B17)),"",IF(B17="",3600/C17,3600/B17))</f>
        <v/>
      </c>
      <c r="B19" s="135"/>
      <c r="C19" s="11"/>
      <c r="D19" s="229"/>
      <c r="E19" s="250"/>
      <c r="F19" s="250"/>
      <c r="G19" s="250"/>
      <c r="H19" s="250"/>
      <c r="I19" s="420"/>
      <c r="J19" s="115"/>
      <c r="K19" s="22"/>
      <c r="L19" s="127"/>
      <c r="N19" s="24"/>
      <c r="P19" s="133"/>
      <c r="Q19" s="120"/>
      <c r="R19" s="18"/>
      <c r="S19" s="229"/>
      <c r="T19" s="230"/>
      <c r="U19" s="230"/>
      <c r="V19" s="230"/>
      <c r="W19" s="11"/>
      <c r="X19" s="10"/>
      <c r="Y19" s="226" t="str">
        <f>IF(ISERROR(IF(X17="",3600/W17,3600/X17)),"",IF(X17="",3600/W17,3600/X17))</f>
        <v/>
      </c>
    </row>
    <row r="20" spans="1:25" s="7" customFormat="1" ht="36" customHeight="1">
      <c r="A20" s="406"/>
      <c r="B20" s="135"/>
      <c r="C20" s="11"/>
      <c r="D20" s="229"/>
      <c r="E20" s="250"/>
      <c r="F20" s="250"/>
      <c r="G20" s="250"/>
      <c r="H20" s="250"/>
      <c r="I20" s="420"/>
      <c r="J20" s="115"/>
      <c r="K20" s="22"/>
      <c r="L20" s="127"/>
      <c r="N20" s="24"/>
      <c r="P20" s="134"/>
      <c r="Q20" s="120"/>
      <c r="R20" s="18"/>
      <c r="S20" s="229"/>
      <c r="T20" s="230"/>
      <c r="U20" s="230"/>
      <c r="V20" s="230"/>
      <c r="W20" s="11"/>
      <c r="X20" s="10"/>
      <c r="Y20" s="227"/>
    </row>
    <row r="21" spans="1:25" s="7" customFormat="1" ht="36" customHeight="1" thickBot="1">
      <c r="A21" s="407"/>
      <c r="B21" s="136"/>
      <c r="C21" s="13"/>
      <c r="D21" s="145"/>
      <c r="E21" s="146"/>
      <c r="F21" s="146"/>
      <c r="G21" s="146"/>
      <c r="H21" s="146"/>
      <c r="I21" s="421"/>
      <c r="J21" s="116"/>
      <c r="K21" s="23"/>
      <c r="L21" s="132"/>
      <c r="N21" s="24"/>
      <c r="P21" s="119"/>
      <c r="Q21" s="121"/>
      <c r="R21" s="21"/>
      <c r="S21" s="145"/>
      <c r="T21" s="232"/>
      <c r="U21" s="232"/>
      <c r="V21" s="232"/>
      <c r="W21" s="122" t="s">
        <v>3</v>
      </c>
      <c r="X21" s="12"/>
      <c r="Y21" s="22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7">
        <f>SUM(M27:M27)</f>
        <v>0</v>
      </c>
      <c r="N24" s="278"/>
      <c r="P24" s="77" t="s">
        <v>57</v>
      </c>
      <c r="Q24" s="78"/>
    </row>
    <row r="25" spans="1:25" ht="18" customHeight="1">
      <c r="H25" s="68"/>
      <c r="I25" s="51"/>
      <c r="J25" s="276"/>
      <c r="K25" s="276"/>
      <c r="L25" s="276"/>
      <c r="M25" s="277"/>
      <c r="N25" s="278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147" t="s">
        <v>61</v>
      </c>
      <c r="N26" s="148"/>
      <c r="P26" s="108" t="s">
        <v>62</v>
      </c>
      <c r="Q26" s="108" t="s">
        <v>63</v>
      </c>
      <c r="R26" s="83"/>
      <c r="S26" s="149" t="s">
        <v>64</v>
      </c>
      <c r="T26" s="150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51"/>
      <c r="N27" s="152"/>
      <c r="P27" s="79"/>
      <c r="Q27" s="79"/>
      <c r="R27" s="82"/>
      <c r="S27" s="153"/>
      <c r="T27" s="154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25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25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6"/>
      <c r="V31" s="256"/>
      <c r="W31" s="67"/>
      <c r="X31" s="67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O32" s="67"/>
      <c r="P32" s="67"/>
      <c r="Q32" s="257"/>
      <c r="R32" s="257"/>
      <c r="S32" s="257"/>
      <c r="T32" s="70"/>
      <c r="U32" s="256"/>
      <c r="V32" s="25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O34" s="67"/>
      <c r="P34" s="67"/>
      <c r="Q34" s="67"/>
      <c r="R34" s="67"/>
      <c r="S34" s="67"/>
      <c r="T34" s="67"/>
      <c r="U34" s="261"/>
      <c r="V34" s="261"/>
      <c r="W34" s="67"/>
      <c r="X34" s="67"/>
    </row>
    <row r="35" spans="1:24" ht="18" customHeight="1" thickBot="1">
      <c r="H35" s="67"/>
      <c r="O35" s="67"/>
      <c r="P35" s="67"/>
      <c r="Q35" s="255"/>
      <c r="R35" s="255"/>
      <c r="S35" s="255"/>
      <c r="T35" s="72"/>
      <c r="U35" s="261"/>
      <c r="V35" s="261"/>
      <c r="W35" s="67"/>
      <c r="X35" s="67"/>
    </row>
    <row r="36" spans="1:24" ht="15" customHeight="1">
      <c r="A36" s="262" t="s">
        <v>30</v>
      </c>
      <c r="B36" s="263"/>
      <c r="C36" s="263"/>
      <c r="D36" s="266"/>
      <c r="E36" s="267"/>
      <c r="F36" s="268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4"/>
      <c r="B37" s="265"/>
      <c r="C37" s="265"/>
      <c r="D37" s="269"/>
      <c r="E37" s="270"/>
      <c r="F37" s="271"/>
      <c r="O37" s="67"/>
      <c r="P37" s="67"/>
      <c r="Q37" s="65"/>
      <c r="R37" s="65"/>
      <c r="S37" s="65"/>
      <c r="T37" s="65"/>
      <c r="U37" s="254"/>
      <c r="V37" s="254"/>
      <c r="W37" s="67"/>
      <c r="X37" s="67"/>
    </row>
    <row r="38" spans="1:24" ht="15" customHeight="1">
      <c r="A38" s="272" t="s">
        <v>31</v>
      </c>
      <c r="B38" s="265"/>
      <c r="C38" s="265"/>
      <c r="D38" s="273"/>
      <c r="E38" s="274"/>
      <c r="F38" s="275"/>
      <c r="O38" s="67"/>
      <c r="P38" s="67"/>
      <c r="Q38" s="255"/>
      <c r="R38" s="255"/>
      <c r="S38" s="255"/>
      <c r="T38" s="72"/>
      <c r="U38" s="254"/>
      <c r="V38" s="254"/>
      <c r="W38" s="67"/>
      <c r="X38" s="67"/>
    </row>
    <row r="39" spans="1:24" ht="15" customHeight="1">
      <c r="A39" s="264"/>
      <c r="B39" s="265"/>
      <c r="C39" s="265"/>
      <c r="D39" s="269"/>
      <c r="E39" s="270"/>
      <c r="F39" s="271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2" t="s">
        <v>32</v>
      </c>
      <c r="B40" s="265"/>
      <c r="C40" s="265"/>
      <c r="D40" s="273"/>
      <c r="E40" s="274"/>
      <c r="F40" s="275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4"/>
      <c r="B41" s="265"/>
      <c r="C41" s="265"/>
      <c r="D41" s="269"/>
      <c r="E41" s="270"/>
      <c r="F41" s="271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2" t="s">
        <v>33</v>
      </c>
      <c r="B42" s="265"/>
      <c r="C42" s="265"/>
      <c r="D42" s="273" t="e">
        <f>IF(TtlGSD=0,0,ROUND(3600*D40/TtlGSD,0))</f>
        <v>#NAME?</v>
      </c>
      <c r="E42" s="274"/>
      <c r="F42" s="275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4"/>
      <c r="B43" s="265"/>
      <c r="C43" s="265"/>
      <c r="D43" s="269"/>
      <c r="E43" s="270"/>
      <c r="F43" s="271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2" t="s">
        <v>34</v>
      </c>
      <c r="B44" s="265"/>
      <c r="C44" s="265"/>
      <c r="D44" s="273" t="e">
        <f>ROUND(D42*D38,0)</f>
        <v>#NAME?</v>
      </c>
      <c r="E44" s="274"/>
      <c r="F44" s="275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4"/>
      <c r="B45" s="265"/>
      <c r="C45" s="265"/>
      <c r="D45" s="269"/>
      <c r="E45" s="270"/>
      <c r="F45" s="271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2" t="s">
        <v>35</v>
      </c>
      <c r="B46" s="265"/>
      <c r="C46" s="265"/>
      <c r="D46" s="273" t="e">
        <f>IF(D44=0,0,ROUND(D38*3600/D44,0))</f>
        <v>#NAME?</v>
      </c>
      <c r="E46" s="274"/>
      <c r="F46" s="275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4"/>
      <c r="B47" s="265"/>
      <c r="C47" s="265"/>
      <c r="D47" s="269"/>
      <c r="E47" s="270"/>
      <c r="F47" s="271"/>
    </row>
    <row r="48" spans="1:24" ht="15" customHeight="1">
      <c r="A48" s="272" t="s">
        <v>22</v>
      </c>
      <c r="B48" s="265"/>
      <c r="C48" s="265"/>
      <c r="D48" s="273" t="e">
        <f>ROUND(3600/MaxTMS,2)</f>
        <v>#NAME?</v>
      </c>
      <c r="E48" s="274"/>
      <c r="F48" s="275"/>
    </row>
    <row r="49" spans="1:6" ht="15" customHeight="1">
      <c r="A49" s="264"/>
      <c r="B49" s="265"/>
      <c r="C49" s="265"/>
      <c r="D49" s="269"/>
      <c r="E49" s="270"/>
      <c r="F49" s="271"/>
    </row>
    <row r="50" spans="1:6" ht="15" customHeight="1">
      <c r="A50" s="272" t="s">
        <v>23</v>
      </c>
      <c r="B50" s="265"/>
      <c r="C50" s="265"/>
      <c r="D50" s="273" t="e">
        <f>TtlTMS</f>
        <v>#NAME?</v>
      </c>
      <c r="E50" s="274"/>
      <c r="F50" s="275"/>
    </row>
    <row r="51" spans="1:6" ht="15" customHeight="1">
      <c r="A51" s="264"/>
      <c r="B51" s="265"/>
      <c r="C51" s="265"/>
      <c r="D51" s="269"/>
      <c r="E51" s="270"/>
      <c r="F51" s="271"/>
    </row>
    <row r="52" spans="1:6" ht="15" customHeight="1">
      <c r="A52" s="272" t="s">
        <v>24</v>
      </c>
      <c r="B52" s="265"/>
      <c r="C52" s="265"/>
      <c r="D52" s="273" t="e">
        <f>TtlGSD</f>
        <v>#NAME?</v>
      </c>
      <c r="E52" s="274"/>
      <c r="F52" s="275"/>
    </row>
    <row r="53" spans="1:6" ht="15" customHeight="1">
      <c r="A53" s="264"/>
      <c r="B53" s="265"/>
      <c r="C53" s="265"/>
      <c r="D53" s="269"/>
      <c r="E53" s="270"/>
      <c r="F53" s="271"/>
    </row>
    <row r="54" spans="1:6" ht="15" customHeight="1">
      <c r="A54" s="272" t="s">
        <v>25</v>
      </c>
      <c r="B54" s="265"/>
      <c r="C54" s="265"/>
      <c r="D54" s="279" t="e">
        <f>IF(D52=0,0,(D52-D50)/D52)</f>
        <v>#NAME?</v>
      </c>
      <c r="E54" s="280"/>
      <c r="F54" s="281"/>
    </row>
    <row r="55" spans="1:6" ht="15" customHeight="1">
      <c r="A55" s="264"/>
      <c r="B55" s="265"/>
      <c r="C55" s="265"/>
      <c r="D55" s="282"/>
      <c r="E55" s="283"/>
      <c r="F55" s="284"/>
    </row>
    <row r="56" spans="1:6" ht="15" customHeight="1">
      <c r="A56" s="272" t="s">
        <v>26</v>
      </c>
      <c r="B56" s="265"/>
      <c r="C56" s="265"/>
      <c r="D56" s="279" t="e">
        <f>IF(OR(D40=0,MaxTMS=0),0,D50/MaxTMS/D40)</f>
        <v>#NAME?</v>
      </c>
      <c r="E56" s="280"/>
      <c r="F56" s="281"/>
    </row>
    <row r="57" spans="1:6" ht="15" customHeight="1">
      <c r="A57" s="264"/>
      <c r="B57" s="265"/>
      <c r="C57" s="265"/>
      <c r="D57" s="282"/>
      <c r="E57" s="283"/>
      <c r="F57" s="284"/>
    </row>
    <row r="58" spans="1:6" ht="15" customHeight="1">
      <c r="A58" s="272" t="s">
        <v>27</v>
      </c>
      <c r="B58" s="265"/>
      <c r="C58" s="265"/>
      <c r="D58" s="279" t="e">
        <f>IF(OR(D46=0,D40=0),0,D50/D46/D40)</f>
        <v>#NAME?</v>
      </c>
      <c r="E58" s="280"/>
      <c r="F58" s="281"/>
    </row>
    <row r="59" spans="1:6" ht="15" customHeight="1">
      <c r="A59" s="264"/>
      <c r="B59" s="265"/>
      <c r="C59" s="265"/>
      <c r="D59" s="282"/>
      <c r="E59" s="283"/>
      <c r="F59" s="284"/>
    </row>
    <row r="60" spans="1:6" ht="15" customHeight="1">
      <c r="A60" s="272" t="s">
        <v>28</v>
      </c>
      <c r="B60" s="265"/>
      <c r="C60" s="265"/>
      <c r="D60" s="279" t="e">
        <f>IF(OR(MaxTMS=0,D40=0),0,D52/MaxTMS/D40)</f>
        <v>#NAME?</v>
      </c>
      <c r="E60" s="280"/>
      <c r="F60" s="281"/>
    </row>
    <row r="61" spans="1:6" ht="15" customHeight="1">
      <c r="A61" s="264"/>
      <c r="B61" s="265"/>
      <c r="C61" s="265"/>
      <c r="D61" s="282"/>
      <c r="E61" s="283"/>
      <c r="F61" s="284"/>
    </row>
    <row r="62" spans="1:6" ht="15" customHeight="1">
      <c r="A62" s="272" t="s">
        <v>29</v>
      </c>
      <c r="B62" s="265"/>
      <c r="C62" s="265"/>
      <c r="D62" s="287" t="e">
        <f>IF(OR(MaxTMS=0,D40=0),0,ROUND(3600/MaxTMS,2)*F9/D40)</f>
        <v>#NAME?</v>
      </c>
      <c r="E62" s="288"/>
      <c r="F62" s="289"/>
    </row>
    <row r="63" spans="1:6" ht="15" customHeight="1" thickBot="1">
      <c r="A63" s="285"/>
      <c r="B63" s="286"/>
      <c r="C63" s="286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I15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L17:L18"/>
    <mergeCell ref="J12:K15"/>
    <mergeCell ref="L12:L15"/>
    <mergeCell ref="P12:P15"/>
    <mergeCell ref="Q12:R15"/>
    <mergeCell ref="S12:V15"/>
    <mergeCell ref="W12:W15"/>
    <mergeCell ref="X17:X18"/>
    <mergeCell ref="Y17:Y18"/>
    <mergeCell ref="A19:A21"/>
    <mergeCell ref="S19:V19"/>
    <mergeCell ref="Y19:Y21"/>
    <mergeCell ref="S20:V20"/>
    <mergeCell ref="S21:V21"/>
    <mergeCell ref="P17:P18"/>
    <mergeCell ref="Q17:Q18"/>
    <mergeCell ref="R17:R18"/>
    <mergeCell ref="S17:T18"/>
    <mergeCell ref="U17:V18"/>
    <mergeCell ref="W17:W18"/>
    <mergeCell ref="J24:L25"/>
    <mergeCell ref="M24:N25"/>
    <mergeCell ref="M26:N26"/>
    <mergeCell ref="S26:T26"/>
    <mergeCell ref="M27:N27"/>
    <mergeCell ref="S27:T27"/>
    <mergeCell ref="A28:C28"/>
    <mergeCell ref="D28:G28"/>
    <mergeCell ref="U28:V29"/>
    <mergeCell ref="Q29:S29"/>
    <mergeCell ref="A30:C30"/>
    <mergeCell ref="D30:G30"/>
    <mergeCell ref="U31:V32"/>
    <mergeCell ref="A32:C32"/>
    <mergeCell ref="D32:G32"/>
    <mergeCell ref="Q32:S32"/>
    <mergeCell ref="A34:C34"/>
    <mergeCell ref="D34:G34"/>
    <mergeCell ref="U34:V35"/>
    <mergeCell ref="Q35:S35"/>
    <mergeCell ref="D44:F45"/>
    <mergeCell ref="A36:C37"/>
    <mergeCell ref="D36:F37"/>
    <mergeCell ref="U37:V38"/>
    <mergeCell ref="A38:C39"/>
    <mergeCell ref="D38:F39"/>
    <mergeCell ref="Q38:S38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D19:I19"/>
    <mergeCell ref="D20:I20"/>
    <mergeCell ref="D21:I21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2" sqref="D12:I1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71" t="s">
        <v>10</v>
      </c>
      <c r="B1" s="372"/>
      <c r="C1" s="372"/>
      <c r="D1" s="372"/>
      <c r="E1" s="373"/>
      <c r="F1" s="180"/>
      <c r="G1" s="181"/>
    </row>
    <row r="2" spans="1:25" ht="13.5" customHeight="1">
      <c r="A2" s="374"/>
      <c r="B2" s="375"/>
      <c r="C2" s="375"/>
      <c r="D2" s="375"/>
      <c r="E2" s="376"/>
      <c r="F2" s="168"/>
      <c r="G2" s="169"/>
    </row>
    <row r="3" spans="1:25" ht="13.5" customHeight="1">
      <c r="A3" s="377" t="s">
        <v>0</v>
      </c>
      <c r="B3" s="378"/>
      <c r="C3" s="378"/>
      <c r="D3" s="378"/>
      <c r="E3" s="379"/>
      <c r="F3" s="182"/>
      <c r="G3" s="183"/>
    </row>
    <row r="4" spans="1:25" ht="13.5" customHeight="1">
      <c r="A4" s="374"/>
      <c r="B4" s="375"/>
      <c r="C4" s="375"/>
      <c r="D4" s="375"/>
      <c r="E4" s="376"/>
      <c r="F4" s="182"/>
      <c r="G4" s="183"/>
    </row>
    <row r="5" spans="1:25" ht="13.5" customHeight="1">
      <c r="A5" s="377" t="s">
        <v>11</v>
      </c>
      <c r="B5" s="378"/>
      <c r="C5" s="378"/>
      <c r="D5" s="378"/>
      <c r="E5" s="379"/>
      <c r="F5" s="168"/>
      <c r="G5" s="169"/>
    </row>
    <row r="6" spans="1:25" ht="13.5" customHeight="1">
      <c r="A6" s="374"/>
      <c r="B6" s="375"/>
      <c r="C6" s="375"/>
      <c r="D6" s="375"/>
      <c r="E6" s="376"/>
      <c r="F6" s="168"/>
      <c r="G6" s="169"/>
    </row>
    <row r="7" spans="1:25" ht="13.5" customHeight="1">
      <c r="A7" s="377" t="s">
        <v>1</v>
      </c>
      <c r="B7" s="378"/>
      <c r="C7" s="378"/>
      <c r="D7" s="378"/>
      <c r="E7" s="379"/>
      <c r="F7" s="168"/>
      <c r="G7" s="169"/>
    </row>
    <row r="8" spans="1:25" ht="26.25" customHeight="1">
      <c r="A8" s="374"/>
      <c r="B8" s="375"/>
      <c r="C8" s="375"/>
      <c r="D8" s="375"/>
      <c r="E8" s="376"/>
      <c r="F8" s="168"/>
      <c r="G8" s="169"/>
    </row>
    <row r="9" spans="1:25" ht="13.5" customHeight="1">
      <c r="A9" s="380" t="s">
        <v>12</v>
      </c>
      <c r="B9" s="378"/>
      <c r="C9" s="378"/>
      <c r="D9" s="378"/>
      <c r="E9" s="379"/>
      <c r="F9" s="173"/>
      <c r="G9" s="174"/>
    </row>
    <row r="10" spans="1:25" ht="13.5" customHeight="1" thickBot="1">
      <c r="A10" s="381"/>
      <c r="B10" s="382"/>
      <c r="C10" s="382"/>
      <c r="D10" s="382"/>
      <c r="E10" s="383"/>
      <c r="F10" s="175"/>
      <c r="G10" s="176"/>
    </row>
    <row r="11" spans="1:25" ht="17.25" thickBot="1"/>
    <row r="12" spans="1:25" ht="12.75" customHeight="1">
      <c r="A12" s="358" t="s">
        <v>13</v>
      </c>
      <c r="B12" s="339" t="s">
        <v>51</v>
      </c>
      <c r="C12" s="336" t="s">
        <v>2</v>
      </c>
      <c r="D12" s="349" t="s">
        <v>15</v>
      </c>
      <c r="E12" s="361"/>
      <c r="F12" s="361"/>
      <c r="G12" s="361"/>
      <c r="H12" s="361"/>
      <c r="I12" s="350"/>
      <c r="J12" s="349" t="s">
        <v>47</v>
      </c>
      <c r="K12" s="355"/>
      <c r="L12" s="422"/>
      <c r="N12" s="24"/>
      <c r="P12" s="422"/>
      <c r="Q12" s="402" t="s">
        <v>47</v>
      </c>
      <c r="R12" s="350"/>
      <c r="S12" s="349" t="s">
        <v>15</v>
      </c>
      <c r="T12" s="361"/>
      <c r="U12" s="361"/>
      <c r="V12" s="350"/>
      <c r="W12" s="336" t="s">
        <v>2</v>
      </c>
      <c r="X12" s="339" t="s">
        <v>51</v>
      </c>
      <c r="Y12" s="342" t="s">
        <v>13</v>
      </c>
    </row>
    <row r="13" spans="1:25" ht="12.75" customHeight="1">
      <c r="A13" s="359"/>
      <c r="B13" s="340"/>
      <c r="C13" s="337"/>
      <c r="D13" s="351"/>
      <c r="E13" s="362"/>
      <c r="F13" s="362"/>
      <c r="G13" s="362"/>
      <c r="H13" s="362"/>
      <c r="I13" s="352"/>
      <c r="J13" s="351"/>
      <c r="K13" s="356"/>
      <c r="L13" s="422"/>
      <c r="N13" s="24"/>
      <c r="P13" s="422"/>
      <c r="Q13" s="403"/>
      <c r="R13" s="352"/>
      <c r="S13" s="351"/>
      <c r="T13" s="362"/>
      <c r="U13" s="362"/>
      <c r="V13" s="352"/>
      <c r="W13" s="337"/>
      <c r="X13" s="340"/>
      <c r="Y13" s="343"/>
    </row>
    <row r="14" spans="1:25" ht="12.75" customHeight="1">
      <c r="A14" s="359"/>
      <c r="B14" s="340"/>
      <c r="C14" s="337"/>
      <c r="D14" s="351"/>
      <c r="E14" s="362"/>
      <c r="F14" s="362"/>
      <c r="G14" s="362"/>
      <c r="H14" s="362"/>
      <c r="I14" s="352"/>
      <c r="J14" s="351"/>
      <c r="K14" s="356"/>
      <c r="L14" s="422"/>
      <c r="N14" s="24"/>
      <c r="P14" s="422"/>
      <c r="Q14" s="403"/>
      <c r="R14" s="352"/>
      <c r="S14" s="351"/>
      <c r="T14" s="362"/>
      <c r="U14" s="362"/>
      <c r="V14" s="352"/>
      <c r="W14" s="337"/>
      <c r="X14" s="340"/>
      <c r="Y14" s="343"/>
    </row>
    <row r="15" spans="1:25" ht="12.75" customHeight="1" thickBot="1">
      <c r="A15" s="360"/>
      <c r="B15" s="341"/>
      <c r="C15" s="338"/>
      <c r="D15" s="353"/>
      <c r="E15" s="363"/>
      <c r="F15" s="363"/>
      <c r="G15" s="363"/>
      <c r="H15" s="363"/>
      <c r="I15" s="354"/>
      <c r="J15" s="353"/>
      <c r="K15" s="357"/>
      <c r="L15" s="422"/>
      <c r="N15" s="24"/>
      <c r="P15" s="438"/>
      <c r="Q15" s="404"/>
      <c r="R15" s="354"/>
      <c r="S15" s="353"/>
      <c r="T15" s="363"/>
      <c r="U15" s="363"/>
      <c r="V15" s="354"/>
      <c r="W15" s="338"/>
      <c r="X15" s="341"/>
      <c r="Y15" s="34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22"/>
      <c r="N16" s="25"/>
      <c r="P16" s="130"/>
      <c r="Q16" s="131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93" t="str">
        <f>IF(ISERROR((C17-B17)/C17),"",(C17-B17)/C17)</f>
        <v/>
      </c>
      <c r="B17" s="345">
        <f>SUM(B19:B21)</f>
        <v>0</v>
      </c>
      <c r="C17" s="347">
        <f>SUM(C19:C21)</f>
        <v>0</v>
      </c>
      <c r="D17" s="416" t="s">
        <v>14</v>
      </c>
      <c r="E17" s="417"/>
      <c r="F17" s="202"/>
      <c r="G17" s="203"/>
      <c r="H17" s="203"/>
      <c r="I17" s="204"/>
      <c r="J17" s="396"/>
      <c r="K17" s="234"/>
      <c r="L17" s="422"/>
      <c r="N17" s="24"/>
      <c r="P17" s="431"/>
      <c r="Q17" s="433"/>
      <c r="R17" s="435"/>
      <c r="S17" s="427" t="s">
        <v>14</v>
      </c>
      <c r="T17" s="428"/>
      <c r="U17" s="423"/>
      <c r="V17" s="424"/>
      <c r="W17" s="334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194"/>
      <c r="B18" s="346"/>
      <c r="C18" s="348"/>
      <c r="D18" s="418"/>
      <c r="E18" s="419"/>
      <c r="F18" s="205"/>
      <c r="G18" s="206"/>
      <c r="H18" s="206"/>
      <c r="I18" s="207"/>
      <c r="J18" s="437"/>
      <c r="K18" s="235"/>
      <c r="L18" s="422"/>
      <c r="N18" s="24"/>
      <c r="P18" s="432"/>
      <c r="Q18" s="434"/>
      <c r="R18" s="436"/>
      <c r="S18" s="429"/>
      <c r="T18" s="430"/>
      <c r="U18" s="425"/>
      <c r="V18" s="426"/>
      <c r="W18" s="335"/>
      <c r="X18" s="365"/>
      <c r="Y18" s="367"/>
    </row>
    <row r="19" spans="1:25" s="7" customFormat="1" ht="26.25" customHeight="1">
      <c r="A19" s="251" t="str">
        <f>IF(ISERROR(IF(B17="",3600/C17,3600/B17)),"",IF(B17="",3600/C17,3600/B17))</f>
        <v/>
      </c>
      <c r="B19" s="10"/>
      <c r="C19" s="11"/>
      <c r="D19" s="300"/>
      <c r="E19" s="301"/>
      <c r="F19" s="301"/>
      <c r="G19" s="301"/>
      <c r="H19" s="301"/>
      <c r="I19" s="414"/>
      <c r="J19" s="123"/>
      <c r="K19" s="22"/>
      <c r="L19" s="422"/>
      <c r="N19" s="24"/>
      <c r="P19" s="127"/>
      <c r="Q19" s="125"/>
      <c r="R19" s="18"/>
      <c r="S19" s="229"/>
      <c r="T19" s="230"/>
      <c r="U19" s="230"/>
      <c r="V19" s="230"/>
      <c r="W19" s="20"/>
      <c r="X19" s="128"/>
      <c r="Y19" s="226" t="str">
        <f>IF(ISERROR(IF(X17="",3600/W17,3600/X17)),"",IF(X17="",3600/W17,3600/X17))</f>
        <v/>
      </c>
    </row>
    <row r="20" spans="1:25" s="7" customFormat="1" ht="22.5">
      <c r="A20" s="252"/>
      <c r="B20" s="10"/>
      <c r="C20" s="11"/>
      <c r="D20" s="300"/>
      <c r="E20" s="301"/>
      <c r="F20" s="301"/>
      <c r="G20" s="301"/>
      <c r="H20" s="301"/>
      <c r="I20" s="414"/>
      <c r="J20" s="123"/>
      <c r="K20" s="22"/>
      <c r="L20" s="422"/>
      <c r="N20" s="24"/>
      <c r="P20" s="127"/>
      <c r="Q20" s="125"/>
      <c r="R20" s="18"/>
      <c r="S20" s="229"/>
      <c r="T20" s="230"/>
      <c r="U20" s="230"/>
      <c r="V20" s="230"/>
      <c r="W20" s="20"/>
      <c r="X20" s="128"/>
      <c r="Y20" s="227"/>
    </row>
    <row r="21" spans="1:25" s="7" customFormat="1" ht="26.25" customHeight="1" thickBot="1">
      <c r="A21" s="253"/>
      <c r="B21" s="12"/>
      <c r="C21" s="13"/>
      <c r="D21" s="304"/>
      <c r="E21" s="305"/>
      <c r="F21" s="305"/>
      <c r="G21" s="305"/>
      <c r="H21" s="305"/>
      <c r="I21" s="415"/>
      <c r="J21" s="124"/>
      <c r="K21" s="23"/>
      <c r="L21" s="422"/>
      <c r="N21" s="24"/>
      <c r="P21" s="119"/>
      <c r="Q21" s="126"/>
      <c r="R21" s="21"/>
      <c r="S21" s="145"/>
      <c r="T21" s="232"/>
      <c r="U21" s="232"/>
      <c r="V21" s="232"/>
      <c r="W21" s="122" t="s">
        <v>3</v>
      </c>
      <c r="X21" s="129"/>
      <c r="Y21" s="228"/>
    </row>
    <row r="24" spans="1:25" ht="18" customHeight="1">
      <c r="D24" s="55"/>
      <c r="E24" s="55"/>
      <c r="F24" s="55"/>
      <c r="G24" s="55"/>
      <c r="H24" s="55"/>
      <c r="I24" s="55"/>
      <c r="J24" s="276" t="s">
        <v>56</v>
      </c>
      <c r="K24" s="276"/>
      <c r="L24" s="276"/>
      <c r="M24" s="278">
        <f>SUM(M27:M27)</f>
        <v>0</v>
      </c>
      <c r="N24" s="278"/>
      <c r="P24" s="49" t="s">
        <v>57</v>
      </c>
      <c r="Q24" s="61"/>
    </row>
    <row r="25" spans="1:25" ht="18" customHeight="1">
      <c r="H25" s="68"/>
      <c r="I25" s="51"/>
      <c r="J25" s="276"/>
      <c r="K25" s="276"/>
      <c r="L25" s="276"/>
      <c r="M25" s="278"/>
      <c r="N25" s="278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87" t="s">
        <v>61</v>
      </c>
      <c r="N26" s="148"/>
      <c r="P26" s="57" t="s">
        <v>62</v>
      </c>
      <c r="Q26" s="57" t="s">
        <v>63</v>
      </c>
      <c r="R26" s="90"/>
      <c r="S26" s="147" t="s">
        <v>64</v>
      </c>
      <c r="T26" s="148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52" t="str">
        <f>IF(J27="","",COUNTIFS(MachineINV1,J27,MachineINV3,K27) + COUNTIFS(MachineINV2,J27,MachineINV4,K27))</f>
        <v/>
      </c>
      <c r="N27" s="152"/>
      <c r="P27" s="59"/>
      <c r="Q27" s="59"/>
      <c r="R27" s="60"/>
      <c r="S27" s="302"/>
      <c r="T27" s="303"/>
    </row>
    <row r="28" spans="1:25" ht="18" customHeight="1">
      <c r="A28" s="155" t="s">
        <v>41</v>
      </c>
      <c r="B28" s="156"/>
      <c r="C28" s="156"/>
      <c r="D28" s="159"/>
      <c r="E28" s="160"/>
      <c r="F28" s="160"/>
      <c r="G28" s="161"/>
      <c r="H28" s="69"/>
      <c r="I28" s="51"/>
      <c r="J28" s="74"/>
      <c r="N28" s="8"/>
      <c r="Q28" s="55"/>
      <c r="R28" s="55"/>
      <c r="S28" s="55"/>
      <c r="T28" s="55"/>
      <c r="U28" s="258"/>
      <c r="V28" s="109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60"/>
      <c r="R29" s="260"/>
      <c r="S29" s="260"/>
      <c r="T29" s="56"/>
      <c r="U29" s="259"/>
      <c r="V29" s="109"/>
    </row>
    <row r="30" spans="1:25" ht="18" customHeight="1">
      <c r="A30" s="155" t="s">
        <v>42</v>
      </c>
      <c r="B30" s="156"/>
      <c r="C30" s="156"/>
      <c r="D30" s="157"/>
      <c r="E30" s="158"/>
      <c r="F30" s="158"/>
      <c r="G30" s="15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10"/>
      <c r="V31" s="111"/>
    </row>
    <row r="32" spans="1:25" ht="18" customHeight="1">
      <c r="A32" s="155" t="s">
        <v>43</v>
      </c>
      <c r="B32" s="156"/>
      <c r="C32" s="156"/>
      <c r="D32" s="159"/>
      <c r="E32" s="160"/>
      <c r="F32" s="160"/>
      <c r="G32" s="161"/>
      <c r="H32" s="62"/>
      <c r="I32" s="66"/>
      <c r="J32" s="64"/>
      <c r="K32" s="55"/>
      <c r="L32" s="55"/>
      <c r="N32" s="8"/>
      <c r="Q32" s="260"/>
      <c r="R32" s="260"/>
      <c r="S32" s="260"/>
      <c r="T32" s="56"/>
      <c r="U32" s="311"/>
      <c r="V32" s="111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5" t="s">
        <v>44</v>
      </c>
      <c r="B34" s="156"/>
      <c r="C34" s="156"/>
      <c r="D34" s="157"/>
      <c r="E34" s="158"/>
      <c r="F34" s="158"/>
      <c r="G34" s="158"/>
      <c r="H34" s="62"/>
      <c r="I34" s="51"/>
      <c r="P34" s="67"/>
      <c r="Q34" s="67"/>
      <c r="R34" s="67"/>
      <c r="S34" s="67"/>
      <c r="T34" s="67"/>
      <c r="U34" s="312"/>
      <c r="V34" s="112"/>
    </row>
    <row r="35" spans="1:22" ht="18" customHeight="1" thickBot="1">
      <c r="P35" s="67"/>
      <c r="Q35" s="255"/>
      <c r="R35" s="255"/>
      <c r="S35" s="255"/>
      <c r="T35" s="72"/>
      <c r="U35" s="313"/>
      <c r="V35" s="112"/>
    </row>
    <row r="36" spans="1:22" ht="18" customHeight="1">
      <c r="A36" s="329" t="s">
        <v>30</v>
      </c>
      <c r="B36" s="330"/>
      <c r="C36" s="330"/>
      <c r="D36" s="266"/>
      <c r="E36" s="267"/>
      <c r="F36" s="268"/>
      <c r="P36" s="67"/>
      <c r="Q36" s="65"/>
      <c r="R36" s="65"/>
      <c r="S36" s="65"/>
      <c r="T36" s="65"/>
      <c r="U36" s="9"/>
      <c r="V36" s="9"/>
    </row>
    <row r="37" spans="1:22" ht="18" customHeight="1">
      <c r="A37" s="326"/>
      <c r="B37" s="325"/>
      <c r="C37" s="325"/>
      <c r="D37" s="269"/>
      <c r="E37" s="270"/>
      <c r="F37" s="271"/>
      <c r="P37" s="67"/>
      <c r="Q37" s="65"/>
      <c r="R37" s="65"/>
      <c r="S37" s="65"/>
      <c r="T37" s="65"/>
      <c r="U37" s="308"/>
      <c r="V37" s="110"/>
    </row>
    <row r="38" spans="1:22" ht="13.5" customHeight="1">
      <c r="A38" s="324" t="s">
        <v>31</v>
      </c>
      <c r="B38" s="325"/>
      <c r="C38" s="325"/>
      <c r="D38" s="273"/>
      <c r="E38" s="274"/>
      <c r="F38" s="275"/>
      <c r="P38" s="67"/>
      <c r="Q38" s="255"/>
      <c r="R38" s="255"/>
      <c r="S38" s="255"/>
      <c r="T38" s="72"/>
      <c r="U38" s="309"/>
      <c r="V38" s="110"/>
    </row>
    <row r="39" spans="1:22" ht="13.5" customHeight="1">
      <c r="A39" s="326"/>
      <c r="B39" s="325"/>
      <c r="C39" s="325"/>
      <c r="D39" s="269"/>
      <c r="E39" s="270"/>
      <c r="F39" s="271"/>
      <c r="P39" s="67"/>
      <c r="Q39" s="65"/>
      <c r="R39" s="65"/>
      <c r="S39" s="65"/>
      <c r="T39" s="65"/>
    </row>
    <row r="40" spans="1:22" ht="13.5" customHeight="1">
      <c r="A40" s="324" t="s">
        <v>32</v>
      </c>
      <c r="B40" s="325"/>
      <c r="C40" s="325"/>
      <c r="D40" s="273"/>
      <c r="E40" s="274"/>
      <c r="F40" s="275"/>
      <c r="P40" s="67"/>
      <c r="Q40" s="67"/>
      <c r="R40" s="67"/>
      <c r="S40" s="67"/>
      <c r="T40" s="67"/>
    </row>
    <row r="41" spans="1:22" ht="13.5" customHeight="1">
      <c r="A41" s="326"/>
      <c r="B41" s="325"/>
      <c r="C41" s="325"/>
      <c r="D41" s="269"/>
      <c r="E41" s="270"/>
      <c r="F41" s="271"/>
      <c r="P41" s="67"/>
      <c r="Q41" s="67"/>
      <c r="R41" s="67"/>
      <c r="S41" s="67"/>
      <c r="T41" s="67"/>
    </row>
    <row r="42" spans="1:22" ht="13.5" customHeight="1">
      <c r="A42" s="324" t="s">
        <v>33</v>
      </c>
      <c r="B42" s="325"/>
      <c r="C42" s="325"/>
      <c r="D42" s="273" t="e">
        <f>IF(TtlGSD=0,0,ROUND(3600*D40/TtlGSD,0))</f>
        <v>#NAME?</v>
      </c>
      <c r="E42" s="274"/>
      <c r="F42" s="275"/>
      <c r="P42" s="67"/>
      <c r="Q42" s="67"/>
      <c r="R42" s="67"/>
      <c r="S42" s="67"/>
      <c r="T42" s="67"/>
    </row>
    <row r="43" spans="1:22" ht="13.5" customHeight="1">
      <c r="A43" s="326"/>
      <c r="B43" s="325"/>
      <c r="C43" s="325"/>
      <c r="D43" s="269"/>
      <c r="E43" s="270"/>
      <c r="F43" s="271"/>
      <c r="P43" s="67"/>
      <c r="Q43" s="67"/>
      <c r="R43" s="67"/>
      <c r="S43" s="67"/>
      <c r="T43" s="67"/>
    </row>
    <row r="44" spans="1:22">
      <c r="A44" s="324" t="s">
        <v>34</v>
      </c>
      <c r="B44" s="325"/>
      <c r="C44" s="325"/>
      <c r="D44" s="273" t="e">
        <f>ROUND(D42*D38,0)</f>
        <v>#NAME?</v>
      </c>
      <c r="E44" s="274"/>
      <c r="F44" s="275"/>
    </row>
    <row r="45" spans="1:22" ht="13.5" customHeight="1">
      <c r="A45" s="326"/>
      <c r="B45" s="325"/>
      <c r="C45" s="325"/>
      <c r="D45" s="269"/>
      <c r="E45" s="270"/>
      <c r="F45" s="271"/>
    </row>
    <row r="46" spans="1:22" ht="13.5" customHeight="1">
      <c r="A46" s="324" t="s">
        <v>35</v>
      </c>
      <c r="B46" s="325"/>
      <c r="C46" s="325"/>
      <c r="D46" s="273" t="e">
        <f>IF(D44=0,0,ROUND(D38*3600/D44,0))</f>
        <v>#NAME?</v>
      </c>
      <c r="E46" s="274"/>
      <c r="F46" s="275"/>
    </row>
    <row r="47" spans="1:22" ht="13.5" customHeight="1">
      <c r="A47" s="326"/>
      <c r="B47" s="325"/>
      <c r="C47" s="325"/>
      <c r="D47" s="269"/>
      <c r="E47" s="270"/>
      <c r="F47" s="271"/>
    </row>
    <row r="48" spans="1:22" ht="13.5" customHeight="1">
      <c r="A48" s="324" t="s">
        <v>22</v>
      </c>
      <c r="B48" s="325"/>
      <c r="C48" s="325"/>
      <c r="D48" s="273" t="e">
        <f>ROUND(3600/MaxTMS,2)</f>
        <v>#NAME?</v>
      </c>
      <c r="E48" s="274"/>
      <c r="F48" s="275"/>
    </row>
    <row r="49" spans="1:6" ht="13.5" customHeight="1">
      <c r="A49" s="326"/>
      <c r="B49" s="325"/>
      <c r="C49" s="325"/>
      <c r="D49" s="269"/>
      <c r="E49" s="270"/>
      <c r="F49" s="271"/>
    </row>
    <row r="50" spans="1:6" ht="13.5" customHeight="1">
      <c r="A50" s="324" t="s">
        <v>23</v>
      </c>
      <c r="B50" s="325"/>
      <c r="C50" s="325"/>
      <c r="D50" s="273" t="e">
        <f>TtlTMS</f>
        <v>#NAME?</v>
      </c>
      <c r="E50" s="274"/>
      <c r="F50" s="275"/>
    </row>
    <row r="51" spans="1:6" ht="13.5" customHeight="1">
      <c r="A51" s="326"/>
      <c r="B51" s="325"/>
      <c r="C51" s="325"/>
      <c r="D51" s="269"/>
      <c r="E51" s="270"/>
      <c r="F51" s="271"/>
    </row>
    <row r="52" spans="1:6" ht="13.5" customHeight="1">
      <c r="A52" s="324" t="s">
        <v>24</v>
      </c>
      <c r="B52" s="325"/>
      <c r="C52" s="325"/>
      <c r="D52" s="273" t="e">
        <f>TtlGSD</f>
        <v>#NAME?</v>
      </c>
      <c r="E52" s="274"/>
      <c r="F52" s="275"/>
    </row>
    <row r="53" spans="1:6" ht="13.5" customHeight="1">
      <c r="A53" s="326"/>
      <c r="B53" s="325"/>
      <c r="C53" s="325"/>
      <c r="D53" s="269"/>
      <c r="E53" s="270"/>
      <c r="F53" s="271"/>
    </row>
    <row r="54" spans="1:6">
      <c r="A54" s="324" t="s">
        <v>25</v>
      </c>
      <c r="B54" s="325"/>
      <c r="C54" s="325"/>
      <c r="D54" s="279" t="e">
        <f>IF(D52=0,0,(D52-D50)/D52)</f>
        <v>#NAME?</v>
      </c>
      <c r="E54" s="280"/>
      <c r="F54" s="281"/>
    </row>
    <row r="55" spans="1:6">
      <c r="A55" s="326"/>
      <c r="B55" s="325"/>
      <c r="C55" s="325"/>
      <c r="D55" s="282"/>
      <c r="E55" s="283"/>
      <c r="F55" s="284"/>
    </row>
    <row r="56" spans="1:6">
      <c r="A56" s="324" t="s">
        <v>26</v>
      </c>
      <c r="B56" s="325"/>
      <c r="C56" s="325"/>
      <c r="D56" s="279" t="e">
        <f>IF(OR(D40=0,MaxTMS=0),0,D50/MaxTMS/D40)</f>
        <v>#NAME?</v>
      </c>
      <c r="E56" s="280"/>
      <c r="F56" s="281"/>
    </row>
    <row r="57" spans="1:6">
      <c r="A57" s="326"/>
      <c r="B57" s="325"/>
      <c r="C57" s="325"/>
      <c r="D57" s="282"/>
      <c r="E57" s="283"/>
      <c r="F57" s="284"/>
    </row>
    <row r="58" spans="1:6" ht="16.5" customHeight="1">
      <c r="A58" s="324" t="s">
        <v>27</v>
      </c>
      <c r="B58" s="325"/>
      <c r="C58" s="325"/>
      <c r="D58" s="279" t="e">
        <f>IF(OR(D46=0,D40=0),0,D50/D46/D40)</f>
        <v>#NAME?</v>
      </c>
      <c r="E58" s="280"/>
      <c r="F58" s="281"/>
    </row>
    <row r="59" spans="1:6" ht="16.5" customHeight="1">
      <c r="A59" s="326"/>
      <c r="B59" s="325"/>
      <c r="C59" s="325"/>
      <c r="D59" s="282"/>
      <c r="E59" s="283"/>
      <c r="F59" s="284"/>
    </row>
    <row r="60" spans="1:6" ht="16.5" customHeight="1">
      <c r="A60" s="324" t="s">
        <v>28</v>
      </c>
      <c r="B60" s="325"/>
      <c r="C60" s="325"/>
      <c r="D60" s="279" t="e">
        <f>IF(OR(MaxTMS=0,D40=0),0,D52/MaxTMS/D40)</f>
        <v>#NAME?</v>
      </c>
      <c r="E60" s="280"/>
      <c r="F60" s="281"/>
    </row>
    <row r="61" spans="1:6" ht="16.5" customHeight="1">
      <c r="A61" s="326"/>
      <c r="B61" s="325"/>
      <c r="C61" s="325"/>
      <c r="D61" s="282"/>
      <c r="E61" s="283"/>
      <c r="F61" s="284"/>
    </row>
    <row r="62" spans="1:6" ht="16.5" customHeight="1">
      <c r="A62" s="324" t="s">
        <v>29</v>
      </c>
      <c r="B62" s="325"/>
      <c r="C62" s="325"/>
      <c r="D62" s="287" t="e">
        <f>IF(OR(MaxTMS=0,D40=0),0,ROUND(3600/MaxTMS,2)*F9/D40)</f>
        <v>#NAME?</v>
      </c>
      <c r="E62" s="288"/>
      <c r="F62" s="289"/>
    </row>
    <row r="63" spans="1:6" ht="16.5" customHeight="1" thickBot="1">
      <c r="A63" s="327"/>
      <c r="B63" s="328"/>
      <c r="C63" s="328"/>
      <c r="D63" s="290"/>
      <c r="E63" s="291"/>
      <c r="F63" s="292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84" t="s">
        <v>15</v>
      </c>
      <c r="B92" s="384"/>
      <c r="C92" s="384"/>
      <c r="D92" s="114"/>
      <c r="E92" s="385" t="s">
        <v>55</v>
      </c>
      <c r="F92" s="385"/>
      <c r="G92" s="385"/>
      <c r="H92" s="385"/>
      <c r="I92" s="385"/>
      <c r="J92" s="386" t="s">
        <v>16</v>
      </c>
      <c r="K92" s="386"/>
    </row>
    <row r="93" spans="1:11" ht="20.25">
      <c r="A93" s="314"/>
      <c r="B93" s="315"/>
      <c r="C93" s="316"/>
      <c r="D93" s="113"/>
      <c r="E93" s="322"/>
      <c r="F93" s="322"/>
      <c r="G93" s="322"/>
      <c r="H93" s="322"/>
      <c r="I93" s="322"/>
      <c r="J93" s="323"/>
      <c r="K93" s="323"/>
    </row>
    <row r="94" spans="1:11" ht="20.25">
      <c r="A94" s="314"/>
      <c r="B94" s="315"/>
      <c r="C94" s="316"/>
      <c r="D94" s="113"/>
      <c r="E94" s="322"/>
      <c r="F94" s="322"/>
      <c r="G94" s="322"/>
      <c r="H94" s="322"/>
      <c r="I94" s="322"/>
      <c r="J94" s="323"/>
      <c r="K94" s="323"/>
    </row>
    <row r="95" spans="1:11" ht="20.25">
      <c r="A95" s="314"/>
      <c r="B95" s="315"/>
      <c r="C95" s="316"/>
      <c r="D95" s="113"/>
      <c r="E95" s="322"/>
      <c r="F95" s="322"/>
      <c r="G95" s="322"/>
      <c r="H95" s="322"/>
      <c r="I95" s="322"/>
      <c r="J95" s="323"/>
      <c r="K95" s="323"/>
    </row>
    <row r="96" spans="1:11" ht="20.25">
      <c r="A96" s="314"/>
      <c r="B96" s="315"/>
      <c r="C96" s="316"/>
      <c r="D96" s="113"/>
      <c r="E96" s="322"/>
      <c r="F96" s="322"/>
      <c r="G96" s="322"/>
      <c r="H96" s="322"/>
      <c r="I96" s="322"/>
      <c r="J96" s="323"/>
      <c r="K96" s="323"/>
    </row>
    <row r="97" spans="1:11" ht="20.25">
      <c r="A97" s="314"/>
      <c r="B97" s="315"/>
      <c r="C97" s="316"/>
      <c r="D97" s="113"/>
      <c r="E97" s="322"/>
      <c r="F97" s="322"/>
      <c r="G97" s="322"/>
      <c r="H97" s="322"/>
      <c r="I97" s="322"/>
      <c r="J97" s="323"/>
      <c r="K97" s="323"/>
    </row>
    <row r="98" spans="1:11" ht="20.25">
      <c r="A98" s="314"/>
      <c r="B98" s="315"/>
      <c r="C98" s="316"/>
      <c r="D98" s="113"/>
      <c r="E98" s="322"/>
      <c r="F98" s="322"/>
      <c r="G98" s="322"/>
      <c r="H98" s="322"/>
      <c r="I98" s="322"/>
      <c r="J98" s="323"/>
      <c r="K98" s="323"/>
    </row>
    <row r="99" spans="1:11" ht="20.25">
      <c r="A99" s="314"/>
      <c r="B99" s="315"/>
      <c r="C99" s="316"/>
      <c r="D99" s="113"/>
      <c r="E99" s="317"/>
      <c r="F99" s="318"/>
      <c r="G99" s="318"/>
      <c r="H99" s="318"/>
      <c r="I99" s="319"/>
      <c r="J99" s="320"/>
      <c r="K99" s="321"/>
    </row>
    <row r="100" spans="1:11" ht="20.25">
      <c r="A100" s="314"/>
      <c r="B100" s="315"/>
      <c r="C100" s="316"/>
      <c r="D100" s="113"/>
      <c r="E100" s="317"/>
      <c r="F100" s="318"/>
      <c r="G100" s="318"/>
      <c r="H100" s="318"/>
      <c r="I100" s="319"/>
      <c r="J100" s="320"/>
      <c r="K100" s="321"/>
    </row>
    <row r="101" spans="1:11" ht="20.25">
      <c r="A101" s="314"/>
      <c r="B101" s="315"/>
      <c r="C101" s="316"/>
      <c r="D101" s="113"/>
      <c r="E101" s="317"/>
      <c r="F101" s="318"/>
      <c r="G101" s="318"/>
      <c r="H101" s="318"/>
      <c r="I101" s="319"/>
      <c r="J101" s="320"/>
      <c r="K101" s="321"/>
    </row>
    <row r="102" spans="1:11" ht="20.25">
      <c r="A102" s="314"/>
      <c r="B102" s="315"/>
      <c r="C102" s="316"/>
      <c r="D102" s="113"/>
      <c r="E102" s="317"/>
      <c r="F102" s="318"/>
      <c r="G102" s="318"/>
      <c r="H102" s="318"/>
      <c r="I102" s="319"/>
      <c r="J102" s="320"/>
      <c r="K102" s="321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P17:P18"/>
    <mergeCell ref="J12:K15"/>
    <mergeCell ref="L12:L21"/>
    <mergeCell ref="P12:P15"/>
    <mergeCell ref="Q12:R15"/>
    <mergeCell ref="S12:V15"/>
    <mergeCell ref="W12:W15"/>
    <mergeCell ref="Q17:Q18"/>
    <mergeCell ref="R17:R18"/>
    <mergeCell ref="S17:T18"/>
    <mergeCell ref="U17:V18"/>
    <mergeCell ref="W17:W18"/>
    <mergeCell ref="X17:X18"/>
    <mergeCell ref="Y17:Y18"/>
    <mergeCell ref="A19:A21"/>
    <mergeCell ref="D19:I19"/>
    <mergeCell ref="S19:V19"/>
    <mergeCell ref="Y19:Y21"/>
    <mergeCell ref="D20:I20"/>
    <mergeCell ref="S20:V20"/>
    <mergeCell ref="D21:I21"/>
    <mergeCell ref="A28:C28"/>
    <mergeCell ref="D28:G28"/>
    <mergeCell ref="U28:U29"/>
    <mergeCell ref="Q29:S29"/>
    <mergeCell ref="A30:C30"/>
    <mergeCell ref="D30:G30"/>
    <mergeCell ref="S21:V21"/>
    <mergeCell ref="J24:L25"/>
    <mergeCell ref="M24:N25"/>
    <mergeCell ref="M26:N26"/>
    <mergeCell ref="S26:T26"/>
    <mergeCell ref="M27:N27"/>
    <mergeCell ref="S27:T27"/>
    <mergeCell ref="A36:C37"/>
    <mergeCell ref="D36:F37"/>
    <mergeCell ref="U37:U38"/>
    <mergeCell ref="A38:C39"/>
    <mergeCell ref="D38:F39"/>
    <mergeCell ref="Q38:S38"/>
    <mergeCell ref="U31:U32"/>
    <mergeCell ref="A32:C32"/>
    <mergeCell ref="D32:G32"/>
    <mergeCell ref="Q32:S32"/>
    <mergeCell ref="A34:C34"/>
    <mergeCell ref="D34:G34"/>
    <mergeCell ref="U34:U35"/>
    <mergeCell ref="Q35:S35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2</vt:i4>
      </vt:variant>
    </vt:vector>
  </HeadingPairs>
  <TitlesOfParts>
    <vt:vector size="19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Line Mapping_Simplify</vt:lpstr>
      <vt:lpstr>PPA &amp; non-sewing line Op._S</vt:lpstr>
      <vt:lpstr>Line Mapping2_Simplify</vt:lpstr>
      <vt:lpstr>PPA &amp; non-sewing line2 Op._S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2024-10-17T09:53:47Z</dcterms:modified>
</cp:coreProperties>
</file>