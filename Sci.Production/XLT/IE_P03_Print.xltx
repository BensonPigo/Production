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firstSheet="1" activeTab="1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M27" i="14" l="1"/>
  <c r="M27" i="11"/>
  <c r="M27" i="9"/>
  <c r="M27" i="17"/>
  <c r="M24" i="17" l="1"/>
  <c r="M24" i="9" l="1"/>
  <c r="M24" i="11" l="1"/>
  <c r="M24" i="14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C17" i="11"/>
  <c r="B17" i="11"/>
  <c r="A19" i="11" s="1"/>
  <c r="Y17" i="11" l="1"/>
  <c r="D58" i="1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<sst xmlns="http://schemas.openxmlformats.org/spreadsheetml/2006/main" count="246" uniqueCount="66">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</sst>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82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6" xfId="0" applyFont="1" applyBorder="1" applyAlignment="1">
      <alignment horizontal="center" vertical="center" wrapText="1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2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3" width="9" style="38" hidden="1" customWidth="1"/>
    <col min="14" max="16384" width="9" style="38"/>
  </cols>
  <sheetData>
    <row r="1" spans="1:12" ht="20.25">
      <c r="A1" s="101" t="s">
        <v>53</v>
      </c>
      <c r="B1" s="101"/>
      <c r="C1" s="102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abSelected="1" zoomScale="115" zoomScaleNormal="11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17.875" style="5" customWidth="1"/>
    <col min="21" max="21" width="37.5" style="5" hidden="1" customWidth="1"/>
    <col min="22" max="22" width="46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6" t="s">
        <v>10</v>
      </c>
      <c r="B1" s="137"/>
      <c r="C1" s="137"/>
      <c r="D1" s="137"/>
      <c r="E1" s="138"/>
      <c r="F1" s="139"/>
      <c r="G1" s="140"/>
    </row>
    <row r="2" spans="1:25" ht="13.5" customHeight="1">
      <c r="A2" s="123"/>
      <c r="B2" s="124"/>
      <c r="C2" s="124"/>
      <c r="D2" s="124"/>
      <c r="E2" s="125"/>
      <c r="F2" s="126"/>
      <c r="G2" s="127"/>
    </row>
    <row r="3" spans="1:25" ht="13.5" customHeight="1">
      <c r="A3" s="120" t="s">
        <v>0</v>
      </c>
      <c r="B3" s="121"/>
      <c r="C3" s="121"/>
      <c r="D3" s="121"/>
      <c r="E3" s="122"/>
      <c r="F3" s="141"/>
      <c r="G3" s="142"/>
    </row>
    <row r="4" spans="1:25" ht="13.5" customHeight="1">
      <c r="A4" s="123"/>
      <c r="B4" s="124"/>
      <c r="C4" s="124"/>
      <c r="D4" s="124"/>
      <c r="E4" s="125"/>
      <c r="F4" s="141"/>
      <c r="G4" s="142"/>
    </row>
    <row r="5" spans="1:25" ht="13.5" customHeight="1">
      <c r="A5" s="120" t="s">
        <v>11</v>
      </c>
      <c r="B5" s="121"/>
      <c r="C5" s="121"/>
      <c r="D5" s="121"/>
      <c r="E5" s="122"/>
      <c r="F5" s="126"/>
      <c r="G5" s="127"/>
    </row>
    <row r="6" spans="1:25" ht="13.5" customHeight="1">
      <c r="A6" s="123"/>
      <c r="B6" s="124"/>
      <c r="C6" s="124"/>
      <c r="D6" s="124"/>
      <c r="E6" s="125"/>
      <c r="F6" s="126"/>
      <c r="G6" s="127"/>
    </row>
    <row r="7" spans="1:25" ht="13.5" customHeight="1">
      <c r="A7" s="120" t="s">
        <v>1</v>
      </c>
      <c r="B7" s="121"/>
      <c r="C7" s="121"/>
      <c r="D7" s="121"/>
      <c r="E7" s="122"/>
      <c r="F7" s="126"/>
      <c r="G7" s="127"/>
    </row>
    <row r="8" spans="1:25" ht="26.25" customHeight="1">
      <c r="A8" s="123"/>
      <c r="B8" s="124"/>
      <c r="C8" s="124"/>
      <c r="D8" s="124"/>
      <c r="E8" s="125"/>
      <c r="F8" s="126"/>
      <c r="G8" s="127"/>
    </row>
    <row r="9" spans="1:25" ht="13.5" customHeight="1">
      <c r="A9" s="128" t="s">
        <v>12</v>
      </c>
      <c r="B9" s="121"/>
      <c r="C9" s="121"/>
      <c r="D9" s="121"/>
      <c r="E9" s="122"/>
      <c r="F9" s="132"/>
      <c r="G9" s="133"/>
    </row>
    <row r="10" spans="1:25" ht="13.5" customHeight="1" thickBot="1">
      <c r="A10" s="129"/>
      <c r="B10" s="130"/>
      <c r="C10" s="130"/>
      <c r="D10" s="130"/>
      <c r="E10" s="131"/>
      <c r="F10" s="134"/>
      <c r="G10" s="135"/>
    </row>
    <row r="11" spans="1:25" ht="17.25" thickBot="1"/>
    <row r="12" spans="1:25" ht="12.75" customHeight="1">
      <c r="A12" s="179" t="s">
        <v>13</v>
      </c>
      <c r="B12" s="146" t="s">
        <v>51</v>
      </c>
      <c r="C12" s="143" t="s">
        <v>2</v>
      </c>
      <c r="D12" s="143" t="s">
        <v>39</v>
      </c>
      <c r="E12" s="182" t="s">
        <v>15</v>
      </c>
      <c r="F12" s="182"/>
      <c r="G12" s="182"/>
      <c r="H12" s="182"/>
      <c r="I12" s="185"/>
      <c r="J12" s="170" t="s">
        <v>49</v>
      </c>
      <c r="K12" s="171"/>
      <c r="L12" s="176" t="s">
        <v>50</v>
      </c>
      <c r="N12" s="24"/>
      <c r="P12" s="179" t="s">
        <v>50</v>
      </c>
      <c r="Q12" s="182" t="s">
        <v>49</v>
      </c>
      <c r="R12" s="171"/>
      <c r="S12" s="143" t="s">
        <v>39</v>
      </c>
      <c r="T12" s="182" t="s">
        <v>15</v>
      </c>
      <c r="U12" s="182"/>
      <c r="V12" s="185"/>
      <c r="W12" s="143" t="s">
        <v>2</v>
      </c>
      <c r="X12" s="146" t="s">
        <v>51</v>
      </c>
      <c r="Y12" s="149" t="s">
        <v>13</v>
      </c>
    </row>
    <row r="13" spans="1:25" ht="12.75" customHeight="1">
      <c r="A13" s="180"/>
      <c r="B13" s="147"/>
      <c r="C13" s="144"/>
      <c r="D13" s="144"/>
      <c r="E13" s="183"/>
      <c r="F13" s="183"/>
      <c r="G13" s="183"/>
      <c r="H13" s="183"/>
      <c r="I13" s="186"/>
      <c r="J13" s="172"/>
      <c r="K13" s="173"/>
      <c r="L13" s="177"/>
      <c r="N13" s="24"/>
      <c r="P13" s="180"/>
      <c r="Q13" s="183"/>
      <c r="R13" s="173"/>
      <c r="S13" s="144"/>
      <c r="T13" s="183"/>
      <c r="U13" s="183"/>
      <c r="V13" s="186"/>
      <c r="W13" s="144"/>
      <c r="X13" s="147"/>
      <c r="Y13" s="150"/>
    </row>
    <row r="14" spans="1:25" ht="12.75" customHeight="1">
      <c r="A14" s="180"/>
      <c r="B14" s="147"/>
      <c r="C14" s="144"/>
      <c r="D14" s="144"/>
      <c r="E14" s="183"/>
      <c r="F14" s="183"/>
      <c r="G14" s="183"/>
      <c r="H14" s="183"/>
      <c r="I14" s="186"/>
      <c r="J14" s="172"/>
      <c r="K14" s="173"/>
      <c r="L14" s="177"/>
      <c r="N14" s="24"/>
      <c r="P14" s="180"/>
      <c r="Q14" s="183"/>
      <c r="R14" s="173"/>
      <c r="S14" s="144"/>
      <c r="T14" s="183"/>
      <c r="U14" s="183"/>
      <c r="V14" s="186"/>
      <c r="W14" s="144"/>
      <c r="X14" s="147"/>
      <c r="Y14" s="150"/>
    </row>
    <row r="15" spans="1:25" ht="12.75" customHeight="1" thickBot="1">
      <c r="A15" s="181"/>
      <c r="B15" s="148"/>
      <c r="C15" s="145"/>
      <c r="D15" s="145"/>
      <c r="E15" s="184"/>
      <c r="F15" s="184"/>
      <c r="G15" s="184"/>
      <c r="H15" s="184"/>
      <c r="I15" s="187"/>
      <c r="J15" s="174"/>
      <c r="K15" s="175"/>
      <c r="L15" s="178"/>
      <c r="N15" s="24"/>
      <c r="P15" s="181"/>
      <c r="Q15" s="184"/>
      <c r="R15" s="175"/>
      <c r="S15" s="145"/>
      <c r="T15" s="184"/>
      <c r="U15" s="184"/>
      <c r="V15" s="187"/>
      <c r="W15" s="145"/>
      <c r="X15" s="148"/>
      <c r="Y15" s="15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2" t="str">
        <f>IF(ISERROR((C17-B17)/C17),"",(C17-B17)/C17)</f>
        <v/>
      </c>
      <c r="B17" s="154">
        <f>SUM(B19:B21)</f>
        <v>0</v>
      </c>
      <c r="C17" s="156">
        <f>SUM(C19:C21)</f>
        <v>0</v>
      </c>
      <c r="D17" s="158"/>
      <c r="E17" s="160" t="s">
        <v>14</v>
      </c>
      <c r="F17" s="162"/>
      <c r="G17" s="163"/>
      <c r="H17" s="163"/>
      <c r="I17" s="164"/>
      <c r="J17" s="168"/>
      <c r="K17" s="194"/>
      <c r="L17" s="196"/>
      <c r="N17" s="24"/>
      <c r="P17" s="198"/>
      <c r="Q17" s="200"/>
      <c r="R17" s="202"/>
      <c r="S17" s="158"/>
      <c r="T17" s="160" t="s">
        <v>14</v>
      </c>
      <c r="U17" s="162"/>
      <c r="V17" s="164"/>
      <c r="W17" s="208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13.5" customHeight="1">
      <c r="A18" s="153"/>
      <c r="B18" s="155"/>
      <c r="C18" s="157"/>
      <c r="D18" s="159"/>
      <c r="E18" s="161"/>
      <c r="F18" s="165"/>
      <c r="G18" s="166"/>
      <c r="H18" s="166"/>
      <c r="I18" s="167"/>
      <c r="J18" s="169"/>
      <c r="K18" s="195"/>
      <c r="L18" s="197"/>
      <c r="N18" s="24"/>
      <c r="P18" s="199"/>
      <c r="Q18" s="201"/>
      <c r="R18" s="203"/>
      <c r="S18" s="159"/>
      <c r="T18" s="161"/>
      <c r="U18" s="165"/>
      <c r="V18" s="167"/>
      <c r="W18" s="209"/>
      <c r="X18" s="205"/>
      <c r="Y18" s="207"/>
    </row>
    <row r="19" spans="1:25" s="7" customFormat="1" ht="26.25" customHeight="1">
      <c r="A19" s="210" t="str">
        <f>IF(ISERROR(IF(B17="",3600/C17,3600/B17)),"",IF(B17="",3600/C17,3600/B17))</f>
        <v/>
      </c>
      <c r="B19" s="10"/>
      <c r="C19" s="11"/>
      <c r="D19" s="16"/>
      <c r="E19" s="191"/>
      <c r="F19" s="192"/>
      <c r="G19" s="192"/>
      <c r="H19" s="192"/>
      <c r="I19" s="193"/>
      <c r="J19" s="20"/>
      <c r="K19" s="22"/>
      <c r="L19" s="26"/>
      <c r="N19" s="24"/>
      <c r="P19" s="28"/>
      <c r="Q19" s="22"/>
      <c r="R19" s="18"/>
      <c r="S19" s="16"/>
      <c r="T19" s="103"/>
      <c r="U19" s="104"/>
      <c r="V19" s="104"/>
      <c r="W19" s="11"/>
      <c r="X19" s="10"/>
      <c r="Y19" s="188" t="str">
        <f>IF(ISERROR(IF(X17="",3600/W17,3600/X17)),"",IF(X17="",3600/W17,3600/X17))</f>
        <v/>
      </c>
    </row>
    <row r="20" spans="1:25" s="7" customFormat="1" ht="22.5">
      <c r="A20" s="211"/>
      <c r="B20" s="10"/>
      <c r="C20" s="11"/>
      <c r="D20" s="16"/>
      <c r="E20" s="191"/>
      <c r="F20" s="192"/>
      <c r="G20" s="192"/>
      <c r="H20" s="192"/>
      <c r="I20" s="193"/>
      <c r="J20" s="20"/>
      <c r="K20" s="22"/>
      <c r="L20" s="26"/>
      <c r="N20" s="24"/>
      <c r="P20" s="28"/>
      <c r="Q20" s="22"/>
      <c r="R20" s="18"/>
      <c r="S20" s="16"/>
      <c r="T20" s="103"/>
      <c r="U20" s="104"/>
      <c r="V20" s="104"/>
      <c r="W20" s="11"/>
      <c r="X20" s="10"/>
      <c r="Y20" s="189"/>
    </row>
    <row r="21" spans="1:25" s="7" customFormat="1" ht="26.25" customHeight="1" thickBot="1">
      <c r="A21" s="212"/>
      <c r="B21" s="12"/>
      <c r="C21" s="13"/>
      <c r="D21" s="17"/>
      <c r="E21" s="191"/>
      <c r="F21" s="192"/>
      <c r="G21" s="192"/>
      <c r="H21" s="192"/>
      <c r="I21" s="193"/>
      <c r="J21" s="19"/>
      <c r="K21" s="23"/>
      <c r="L21" s="27"/>
      <c r="N21" s="24"/>
      <c r="P21" s="29"/>
      <c r="Q21" s="23"/>
      <c r="R21" s="21"/>
      <c r="S21" s="17"/>
      <c r="T21" s="103"/>
      <c r="U21" s="104"/>
      <c r="V21" s="104"/>
      <c r="W21" s="11" t="s">
        <v>3</v>
      </c>
      <c r="X21" s="12"/>
      <c r="Y21" s="190"/>
    </row>
    <row r="24" spans="1:25" ht="18" customHeight="1">
      <c r="D24" s="55"/>
      <c r="E24" s="55"/>
      <c r="F24" s="55"/>
      <c r="G24" s="55"/>
      <c r="H24" s="55"/>
      <c r="I24" s="55"/>
      <c r="J24" s="235" t="s">
        <v>56</v>
      </c>
      <c r="K24" s="235"/>
      <c r="L24" s="235"/>
      <c r="M24" s="236">
        <f>SUM(M27:M27)</f>
        <v>0</v>
      </c>
      <c r="N24" s="237"/>
      <c r="P24" s="77" t="s">
        <v>57</v>
      </c>
      <c r="Q24" s="78"/>
    </row>
    <row r="25" spans="1:25" ht="18" customHeight="1">
      <c r="H25" s="68"/>
      <c r="I25" s="51"/>
      <c r="J25" s="235"/>
      <c r="K25" s="235"/>
      <c r="L25" s="235"/>
      <c r="M25" s="236"/>
      <c r="N25" s="237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05" t="s">
        <v>61</v>
      </c>
      <c r="N26" s="106"/>
      <c r="P26" s="75" t="s">
        <v>62</v>
      </c>
      <c r="Q26" s="75" t="s">
        <v>63</v>
      </c>
      <c r="R26" s="83"/>
      <c r="S26" s="107" t="s">
        <v>64</v>
      </c>
      <c r="T26" s="108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09" t="str">
        <f>IF(J27="","",COUNTIFS(MachineINV1,J27,MachineINV3,K27) + COUNTIFS(MachineINV2,J27,MachineINV4,K27))</f>
        <v/>
      </c>
      <c r="N27" s="110"/>
      <c r="P27" s="79"/>
      <c r="Q27" s="79"/>
      <c r="R27" s="82"/>
      <c r="S27" s="111"/>
      <c r="T27" s="112"/>
    </row>
    <row r="28" spans="1:25" ht="18" customHeight="1">
      <c r="A28" s="113" t="s">
        <v>41</v>
      </c>
      <c r="B28" s="114"/>
      <c r="C28" s="114"/>
      <c r="D28" s="117"/>
      <c r="E28" s="118"/>
      <c r="F28" s="118"/>
      <c r="G28" s="119"/>
      <c r="H28" s="69"/>
      <c r="I28" s="51"/>
      <c r="J28" s="74"/>
      <c r="N28" s="8"/>
      <c r="Q28" s="55"/>
      <c r="R28" s="55"/>
      <c r="S28" s="55"/>
      <c r="T28" s="55"/>
      <c r="U28" s="217"/>
      <c r="V28" s="217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19"/>
      <c r="R29" s="219"/>
      <c r="S29" s="219"/>
      <c r="T29" s="56"/>
      <c r="U29" s="218"/>
      <c r="V29" s="218"/>
    </row>
    <row r="30" spans="1:25" ht="18" customHeight="1">
      <c r="A30" s="113" t="s">
        <v>42</v>
      </c>
      <c r="B30" s="114"/>
      <c r="C30" s="114"/>
      <c r="D30" s="115"/>
      <c r="E30" s="116"/>
      <c r="F30" s="116"/>
      <c r="G30" s="116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15"/>
      <c r="V31" s="215"/>
      <c r="W31" s="67"/>
      <c r="X31" s="67"/>
    </row>
    <row r="32" spans="1:25" ht="18" customHeight="1">
      <c r="A32" s="113" t="s">
        <v>43</v>
      </c>
      <c r="B32" s="114"/>
      <c r="C32" s="114"/>
      <c r="D32" s="117"/>
      <c r="E32" s="118"/>
      <c r="F32" s="118"/>
      <c r="G32" s="119"/>
      <c r="H32" s="62"/>
      <c r="I32" s="66"/>
      <c r="J32" s="64"/>
      <c r="K32" s="55"/>
      <c r="L32" s="55"/>
      <c r="N32" s="8"/>
      <c r="O32" s="67"/>
      <c r="P32" s="67"/>
      <c r="Q32" s="216"/>
      <c r="R32" s="216"/>
      <c r="S32" s="216"/>
      <c r="T32" s="70"/>
      <c r="U32" s="215"/>
      <c r="V32" s="215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13" t="s">
        <v>44</v>
      </c>
      <c r="B34" s="114"/>
      <c r="C34" s="114"/>
      <c r="D34" s="115"/>
      <c r="E34" s="116"/>
      <c r="F34" s="116"/>
      <c r="G34" s="116"/>
      <c r="H34" s="62"/>
      <c r="I34" s="51"/>
      <c r="O34" s="67"/>
      <c r="P34" s="67"/>
      <c r="Q34" s="67"/>
      <c r="R34" s="67"/>
      <c r="S34" s="67"/>
      <c r="T34" s="67"/>
      <c r="U34" s="220"/>
      <c r="V34" s="220"/>
      <c r="W34" s="67"/>
      <c r="X34" s="67"/>
    </row>
    <row r="35" spans="1:24" ht="18" customHeight="1" thickBot="1">
      <c r="H35" s="67"/>
      <c r="O35" s="67"/>
      <c r="P35" s="67"/>
      <c r="Q35" s="214"/>
      <c r="R35" s="214"/>
      <c r="S35" s="214"/>
      <c r="T35" s="72"/>
      <c r="U35" s="220"/>
      <c r="V35" s="220"/>
      <c r="W35" s="67"/>
      <c r="X35" s="67"/>
    </row>
    <row r="36" spans="1:24" ht="18" customHeight="1">
      <c r="A36" s="221" t="s">
        <v>30</v>
      </c>
      <c r="B36" s="222"/>
      <c r="C36" s="222"/>
      <c r="D36" s="225"/>
      <c r="E36" s="226"/>
      <c r="F36" s="227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8" customHeight="1">
      <c r="A37" s="223"/>
      <c r="B37" s="224"/>
      <c r="C37" s="224"/>
      <c r="D37" s="228"/>
      <c r="E37" s="229"/>
      <c r="F37" s="230"/>
      <c r="O37" s="67"/>
      <c r="P37" s="67"/>
      <c r="Q37" s="65"/>
      <c r="R37" s="65"/>
      <c r="S37" s="65"/>
      <c r="T37" s="65"/>
      <c r="U37" s="213"/>
      <c r="V37" s="213"/>
      <c r="W37" s="67"/>
      <c r="X37" s="67"/>
    </row>
    <row r="38" spans="1:24" ht="13.5" customHeight="1">
      <c r="A38" s="231" t="s">
        <v>31</v>
      </c>
      <c r="B38" s="224"/>
      <c r="C38" s="224"/>
      <c r="D38" s="232"/>
      <c r="E38" s="233"/>
      <c r="F38" s="234"/>
      <c r="O38" s="67"/>
      <c r="P38" s="67"/>
      <c r="Q38" s="214"/>
      <c r="R38" s="214"/>
      <c r="S38" s="214"/>
      <c r="T38" s="72"/>
      <c r="U38" s="213"/>
      <c r="V38" s="213"/>
      <c r="W38" s="67"/>
      <c r="X38" s="67"/>
    </row>
    <row r="39" spans="1:24" ht="13.5" customHeight="1">
      <c r="A39" s="223"/>
      <c r="B39" s="224"/>
      <c r="C39" s="224"/>
      <c r="D39" s="228"/>
      <c r="E39" s="229"/>
      <c r="F39" s="230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3.5" customHeight="1">
      <c r="A40" s="231" t="s">
        <v>32</v>
      </c>
      <c r="B40" s="224"/>
      <c r="C40" s="224"/>
      <c r="D40" s="232"/>
      <c r="E40" s="233"/>
      <c r="F40" s="234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3.5" customHeight="1">
      <c r="A41" s="223"/>
      <c r="B41" s="224"/>
      <c r="C41" s="224"/>
      <c r="D41" s="228"/>
      <c r="E41" s="229"/>
      <c r="F41" s="230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3.5" customHeight="1">
      <c r="A42" s="231" t="s">
        <v>33</v>
      </c>
      <c r="B42" s="224"/>
      <c r="C42" s="224"/>
      <c r="D42" s="232" t="e">
        <f>IF(TtlGSD=0,0,ROUND(3600*D40/TtlGSD,0))</f>
        <v>#NAME?</v>
      </c>
      <c r="E42" s="233"/>
      <c r="F42" s="234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3.5" customHeight="1">
      <c r="A43" s="223"/>
      <c r="B43" s="224"/>
      <c r="C43" s="224"/>
      <c r="D43" s="228"/>
      <c r="E43" s="229"/>
      <c r="F43" s="230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>
      <c r="A44" s="231" t="s">
        <v>34</v>
      </c>
      <c r="B44" s="224"/>
      <c r="C44" s="224"/>
      <c r="D44" s="232" t="e">
        <f>ROUND(D42*D38,0)</f>
        <v>#NAME?</v>
      </c>
      <c r="E44" s="233"/>
      <c r="F44" s="234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3.5" customHeight="1">
      <c r="A45" s="223"/>
      <c r="B45" s="224"/>
      <c r="C45" s="224"/>
      <c r="D45" s="228"/>
      <c r="E45" s="229"/>
      <c r="F45" s="230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3.5" customHeight="1">
      <c r="A46" s="231" t="s">
        <v>35</v>
      </c>
      <c r="B46" s="224"/>
      <c r="C46" s="224"/>
      <c r="D46" s="232" t="e">
        <f>IF(D44=0,0,ROUND(D38*3600/D44,0))</f>
        <v>#NAME?</v>
      </c>
      <c r="E46" s="233"/>
      <c r="F46" s="234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3.5" customHeight="1">
      <c r="A47" s="223"/>
      <c r="B47" s="224"/>
      <c r="C47" s="224"/>
      <c r="D47" s="228"/>
      <c r="E47" s="229"/>
      <c r="F47" s="230"/>
    </row>
    <row r="48" spans="1:24" ht="13.5" customHeight="1">
      <c r="A48" s="231" t="s">
        <v>22</v>
      </c>
      <c r="B48" s="224"/>
      <c r="C48" s="224"/>
      <c r="D48" s="232" t="e">
        <f>ROUND(3600/MaxTMS,2)</f>
        <v>#NAME?</v>
      </c>
      <c r="E48" s="233"/>
      <c r="F48" s="234"/>
    </row>
    <row r="49" spans="1:6" ht="13.5" customHeight="1">
      <c r="A49" s="223"/>
      <c r="B49" s="224"/>
      <c r="C49" s="224"/>
      <c r="D49" s="228"/>
      <c r="E49" s="229"/>
      <c r="F49" s="230"/>
    </row>
    <row r="50" spans="1:6" ht="13.5" customHeight="1">
      <c r="A50" s="231" t="s">
        <v>23</v>
      </c>
      <c r="B50" s="224"/>
      <c r="C50" s="224"/>
      <c r="D50" s="232" t="e">
        <f>TtlTMS</f>
        <v>#NAME?</v>
      </c>
      <c r="E50" s="233"/>
      <c r="F50" s="234"/>
    </row>
    <row r="51" spans="1:6" ht="13.5" customHeight="1">
      <c r="A51" s="223"/>
      <c r="B51" s="224"/>
      <c r="C51" s="224"/>
      <c r="D51" s="228"/>
      <c r="E51" s="229"/>
      <c r="F51" s="230"/>
    </row>
    <row r="52" spans="1:6" ht="13.5" customHeight="1">
      <c r="A52" s="231" t="s">
        <v>24</v>
      </c>
      <c r="B52" s="224"/>
      <c r="C52" s="224"/>
      <c r="D52" s="232" t="e">
        <f>TtlGSD</f>
        <v>#NAME?</v>
      </c>
      <c r="E52" s="233"/>
      <c r="F52" s="234"/>
    </row>
    <row r="53" spans="1:6" ht="13.5" customHeight="1">
      <c r="A53" s="223"/>
      <c r="B53" s="224"/>
      <c r="C53" s="224"/>
      <c r="D53" s="228"/>
      <c r="E53" s="229"/>
      <c r="F53" s="230"/>
    </row>
    <row r="54" spans="1:6">
      <c r="A54" s="231" t="s">
        <v>25</v>
      </c>
      <c r="B54" s="224"/>
      <c r="C54" s="224"/>
      <c r="D54" s="238" t="e">
        <f>IF(D52=0,0,(D52-D50)/D52)</f>
        <v>#NAME?</v>
      </c>
      <c r="E54" s="239"/>
      <c r="F54" s="240"/>
    </row>
    <row r="55" spans="1:6">
      <c r="A55" s="223"/>
      <c r="B55" s="224"/>
      <c r="C55" s="224"/>
      <c r="D55" s="241"/>
      <c r="E55" s="242"/>
      <c r="F55" s="243"/>
    </row>
    <row r="56" spans="1:6">
      <c r="A56" s="231" t="s">
        <v>26</v>
      </c>
      <c r="B56" s="224"/>
      <c r="C56" s="224"/>
      <c r="D56" s="238" t="e">
        <f>IF(OR(D40=0,MaxTMS=0),0,D50/MaxTMS/D40)</f>
        <v>#NAME?</v>
      </c>
      <c r="E56" s="239"/>
      <c r="F56" s="240"/>
    </row>
    <row r="57" spans="1:6">
      <c r="A57" s="223"/>
      <c r="B57" s="224"/>
      <c r="C57" s="224"/>
      <c r="D57" s="241"/>
      <c r="E57" s="242"/>
      <c r="F57" s="243"/>
    </row>
    <row r="58" spans="1:6" ht="16.5" customHeight="1">
      <c r="A58" s="231" t="s">
        <v>27</v>
      </c>
      <c r="B58" s="224"/>
      <c r="C58" s="224"/>
      <c r="D58" s="238" t="e">
        <f>IF(OR(D46=0,D40=0),0,D50/D46/D40)</f>
        <v>#NAME?</v>
      </c>
      <c r="E58" s="239"/>
      <c r="F58" s="240"/>
    </row>
    <row r="59" spans="1:6" ht="16.5" customHeight="1">
      <c r="A59" s="223"/>
      <c r="B59" s="224"/>
      <c r="C59" s="224"/>
      <c r="D59" s="241"/>
      <c r="E59" s="242"/>
      <c r="F59" s="243"/>
    </row>
    <row r="60" spans="1:6" ht="16.5" customHeight="1">
      <c r="A60" s="231" t="s">
        <v>28</v>
      </c>
      <c r="B60" s="224"/>
      <c r="C60" s="224"/>
      <c r="D60" s="238" t="e">
        <f>IF(OR(MaxTMS=0,D40=0),0,D52/MaxTMS/D40)</f>
        <v>#NAME?</v>
      </c>
      <c r="E60" s="239"/>
      <c r="F60" s="240"/>
    </row>
    <row r="61" spans="1:6" ht="16.5" customHeight="1">
      <c r="A61" s="223"/>
      <c r="B61" s="224"/>
      <c r="C61" s="224"/>
      <c r="D61" s="241"/>
      <c r="E61" s="242"/>
      <c r="F61" s="243"/>
    </row>
    <row r="62" spans="1:6" ht="16.5" customHeight="1">
      <c r="A62" s="231" t="s">
        <v>29</v>
      </c>
      <c r="B62" s="224"/>
      <c r="C62" s="224"/>
      <c r="D62" s="246" t="e">
        <f>IF(OR(MaxTMS=0,D40=0),0,ROUND(3600/MaxTMS,2)*F9/D40)</f>
        <v>#NAME?</v>
      </c>
      <c r="E62" s="247"/>
      <c r="F62" s="248"/>
    </row>
    <row r="63" spans="1:6" ht="16.5" customHeight="1" thickBot="1">
      <c r="A63" s="244"/>
      <c r="B63" s="245"/>
      <c r="C63" s="245"/>
      <c r="D63" s="249"/>
      <c r="E63" s="250"/>
      <c r="F63" s="25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A34:C34"/>
    <mergeCell ref="D34:G34"/>
    <mergeCell ref="A28:C28"/>
    <mergeCell ref="D28:G28"/>
    <mergeCell ref="A30:C30"/>
    <mergeCell ref="D30:G30"/>
    <mergeCell ref="A32:C32"/>
    <mergeCell ref="D32:G32"/>
    <mergeCell ref="T21:V21"/>
    <mergeCell ref="M26:N26"/>
    <mergeCell ref="S26:T26"/>
    <mergeCell ref="M27:N27"/>
    <mergeCell ref="S27:T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15.5" style="5" bestFit="1" customWidth="1"/>
    <col min="21" max="21" width="37.5" style="5" hidden="1" customWidth="1"/>
    <col min="22" max="22" width="44.6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6" t="s">
        <v>10</v>
      </c>
      <c r="B1" s="137"/>
      <c r="C1" s="137"/>
      <c r="D1" s="137"/>
      <c r="E1" s="138"/>
      <c r="F1" s="139"/>
      <c r="G1" s="140"/>
    </row>
    <row r="2" spans="1:25" ht="13.5" customHeight="1">
      <c r="A2" s="123"/>
      <c r="B2" s="124"/>
      <c r="C2" s="124"/>
      <c r="D2" s="124"/>
      <c r="E2" s="125"/>
      <c r="F2" s="126"/>
      <c r="G2" s="127"/>
    </row>
    <row r="3" spans="1:25" ht="13.5" customHeight="1">
      <c r="A3" s="120" t="s">
        <v>0</v>
      </c>
      <c r="B3" s="121"/>
      <c r="C3" s="121"/>
      <c r="D3" s="121"/>
      <c r="E3" s="122"/>
      <c r="F3" s="141"/>
      <c r="G3" s="142"/>
    </row>
    <row r="4" spans="1:25" ht="13.5" customHeight="1">
      <c r="A4" s="123"/>
      <c r="B4" s="124"/>
      <c r="C4" s="124"/>
      <c r="D4" s="124"/>
      <c r="E4" s="125"/>
      <c r="F4" s="141"/>
      <c r="G4" s="142"/>
    </row>
    <row r="5" spans="1:25" ht="13.5" customHeight="1">
      <c r="A5" s="120" t="s">
        <v>11</v>
      </c>
      <c r="B5" s="121"/>
      <c r="C5" s="121"/>
      <c r="D5" s="121"/>
      <c r="E5" s="122"/>
      <c r="F5" s="126"/>
      <c r="G5" s="127"/>
    </row>
    <row r="6" spans="1:25" ht="13.5" customHeight="1">
      <c r="A6" s="123"/>
      <c r="B6" s="124"/>
      <c r="C6" s="124"/>
      <c r="D6" s="124"/>
      <c r="E6" s="125"/>
      <c r="F6" s="126"/>
      <c r="G6" s="127"/>
    </row>
    <row r="7" spans="1:25" ht="13.5" customHeight="1">
      <c r="A7" s="120" t="s">
        <v>1</v>
      </c>
      <c r="B7" s="121"/>
      <c r="C7" s="121"/>
      <c r="D7" s="121"/>
      <c r="E7" s="122"/>
      <c r="F7" s="126"/>
      <c r="G7" s="127"/>
    </row>
    <row r="8" spans="1:25" ht="26.25" customHeight="1">
      <c r="A8" s="123"/>
      <c r="B8" s="124"/>
      <c r="C8" s="124"/>
      <c r="D8" s="124"/>
      <c r="E8" s="125"/>
      <c r="F8" s="126"/>
      <c r="G8" s="127"/>
    </row>
    <row r="9" spans="1:25" ht="13.5" customHeight="1">
      <c r="A9" s="128" t="s">
        <v>12</v>
      </c>
      <c r="B9" s="121"/>
      <c r="C9" s="121"/>
      <c r="D9" s="121"/>
      <c r="E9" s="122"/>
      <c r="F9" s="132"/>
      <c r="G9" s="133"/>
    </row>
    <row r="10" spans="1:25" ht="13.5" customHeight="1" thickBot="1">
      <c r="A10" s="129"/>
      <c r="B10" s="130"/>
      <c r="C10" s="130"/>
      <c r="D10" s="130"/>
      <c r="E10" s="131"/>
      <c r="F10" s="134"/>
      <c r="G10" s="135"/>
    </row>
    <row r="11" spans="1:25" ht="17.25" thickBot="1"/>
    <row r="12" spans="1:25" ht="12.75" customHeight="1">
      <c r="A12" s="179" t="s">
        <v>13</v>
      </c>
      <c r="B12" s="146" t="s">
        <v>51</v>
      </c>
      <c r="C12" s="143" t="s">
        <v>2</v>
      </c>
      <c r="D12" s="143" t="s">
        <v>39</v>
      </c>
      <c r="E12" s="182" t="s">
        <v>15</v>
      </c>
      <c r="F12" s="182"/>
      <c r="G12" s="182"/>
      <c r="H12" s="182"/>
      <c r="I12" s="185"/>
      <c r="J12" s="170" t="s">
        <v>47</v>
      </c>
      <c r="K12" s="171"/>
      <c r="L12" s="176" t="s">
        <v>50</v>
      </c>
      <c r="N12" s="24"/>
      <c r="P12" s="179" t="s">
        <v>50</v>
      </c>
      <c r="Q12" s="182" t="s">
        <v>47</v>
      </c>
      <c r="R12" s="171"/>
      <c r="S12" s="143" t="s">
        <v>39</v>
      </c>
      <c r="T12" s="182" t="s">
        <v>15</v>
      </c>
      <c r="U12" s="182"/>
      <c r="V12" s="185"/>
      <c r="W12" s="143" t="s">
        <v>2</v>
      </c>
      <c r="X12" s="146" t="s">
        <v>51</v>
      </c>
      <c r="Y12" s="149" t="s">
        <v>13</v>
      </c>
    </row>
    <row r="13" spans="1:25" ht="12.75" customHeight="1">
      <c r="A13" s="180"/>
      <c r="B13" s="147"/>
      <c r="C13" s="144"/>
      <c r="D13" s="144"/>
      <c r="E13" s="183"/>
      <c r="F13" s="183"/>
      <c r="G13" s="183"/>
      <c r="H13" s="183"/>
      <c r="I13" s="186"/>
      <c r="J13" s="172"/>
      <c r="K13" s="173"/>
      <c r="L13" s="177"/>
      <c r="N13" s="24"/>
      <c r="P13" s="180"/>
      <c r="Q13" s="183"/>
      <c r="R13" s="173"/>
      <c r="S13" s="144"/>
      <c r="T13" s="183"/>
      <c r="U13" s="183"/>
      <c r="V13" s="186"/>
      <c r="W13" s="144"/>
      <c r="X13" s="147"/>
      <c r="Y13" s="150"/>
    </row>
    <row r="14" spans="1:25" ht="12.75" customHeight="1">
      <c r="A14" s="180"/>
      <c r="B14" s="147"/>
      <c r="C14" s="144"/>
      <c r="D14" s="144"/>
      <c r="E14" s="183"/>
      <c r="F14" s="183"/>
      <c r="G14" s="183"/>
      <c r="H14" s="183"/>
      <c r="I14" s="186"/>
      <c r="J14" s="172"/>
      <c r="K14" s="173"/>
      <c r="L14" s="177"/>
      <c r="N14" s="24"/>
      <c r="P14" s="180"/>
      <c r="Q14" s="183"/>
      <c r="R14" s="173"/>
      <c r="S14" s="144"/>
      <c r="T14" s="183"/>
      <c r="U14" s="183"/>
      <c r="V14" s="186"/>
      <c r="W14" s="144"/>
      <c r="X14" s="147"/>
      <c r="Y14" s="150"/>
    </row>
    <row r="15" spans="1:25" ht="12.75" customHeight="1" thickBot="1">
      <c r="A15" s="181"/>
      <c r="B15" s="148"/>
      <c r="C15" s="145"/>
      <c r="D15" s="145"/>
      <c r="E15" s="184"/>
      <c r="F15" s="184"/>
      <c r="G15" s="184"/>
      <c r="H15" s="184"/>
      <c r="I15" s="187"/>
      <c r="J15" s="174"/>
      <c r="K15" s="175"/>
      <c r="L15" s="178"/>
      <c r="N15" s="24"/>
      <c r="P15" s="181"/>
      <c r="Q15" s="184"/>
      <c r="R15" s="175"/>
      <c r="S15" s="145"/>
      <c r="T15" s="184"/>
      <c r="U15" s="184"/>
      <c r="V15" s="187"/>
      <c r="W15" s="145"/>
      <c r="X15" s="148"/>
      <c r="Y15" s="15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2" t="str">
        <f>IF(ISERROR((C17-B17)/C17),"",(C17-B17)/C17)</f>
        <v/>
      </c>
      <c r="B17" s="154">
        <f>SUM(B19:B21)</f>
        <v>0</v>
      </c>
      <c r="C17" s="156">
        <f>SUM(C19:C21)</f>
        <v>0</v>
      </c>
      <c r="D17" s="158"/>
      <c r="E17" s="160" t="s">
        <v>14</v>
      </c>
      <c r="F17" s="162"/>
      <c r="G17" s="163"/>
      <c r="H17" s="163"/>
      <c r="I17" s="164"/>
      <c r="J17" s="168"/>
      <c r="K17" s="194"/>
      <c r="L17" s="196"/>
      <c r="N17" s="24"/>
      <c r="P17" s="198"/>
      <c r="Q17" s="200"/>
      <c r="R17" s="202"/>
      <c r="S17" s="158"/>
      <c r="T17" s="160" t="s">
        <v>14</v>
      </c>
      <c r="U17" s="162"/>
      <c r="V17" s="164"/>
      <c r="W17" s="208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13.5" customHeight="1">
      <c r="A18" s="153"/>
      <c r="B18" s="155"/>
      <c r="C18" s="157"/>
      <c r="D18" s="159"/>
      <c r="E18" s="161"/>
      <c r="F18" s="165"/>
      <c r="G18" s="166"/>
      <c r="H18" s="166"/>
      <c r="I18" s="167"/>
      <c r="J18" s="169"/>
      <c r="K18" s="195"/>
      <c r="L18" s="197"/>
      <c r="N18" s="24"/>
      <c r="P18" s="199"/>
      <c r="Q18" s="201"/>
      <c r="R18" s="203"/>
      <c r="S18" s="159"/>
      <c r="T18" s="161"/>
      <c r="U18" s="165"/>
      <c r="V18" s="167"/>
      <c r="W18" s="209"/>
      <c r="X18" s="205"/>
      <c r="Y18" s="207"/>
    </row>
    <row r="19" spans="1:25" s="7" customFormat="1" ht="26.25" customHeight="1">
      <c r="A19" s="210" t="str">
        <f>IF(ISERROR(IF(B17="",3600/C17,3600/B17)),"",IF(B17="",3600/C17,3600/B17))</f>
        <v/>
      </c>
      <c r="B19" s="10"/>
      <c r="C19" s="11"/>
      <c r="D19" s="16"/>
      <c r="E19" s="191"/>
      <c r="F19" s="192"/>
      <c r="G19" s="192"/>
      <c r="H19" s="192"/>
      <c r="I19" s="193"/>
      <c r="J19" s="20"/>
      <c r="K19" s="22"/>
      <c r="L19" s="26"/>
      <c r="N19" s="24"/>
      <c r="P19" s="28"/>
      <c r="Q19" s="22"/>
      <c r="R19" s="18"/>
      <c r="S19" s="16"/>
      <c r="T19" s="103"/>
      <c r="U19" s="104"/>
      <c r="V19" s="104"/>
      <c r="W19" s="11"/>
      <c r="X19" s="10"/>
      <c r="Y19" s="188" t="str">
        <f>IF(ISERROR(IF(X17="",3600/W17,3600/X17)),"",IF(X17="",3600/W17,3600/X17))</f>
        <v/>
      </c>
    </row>
    <row r="20" spans="1:25" s="7" customFormat="1" ht="22.5">
      <c r="A20" s="211"/>
      <c r="B20" s="10"/>
      <c r="C20" s="11"/>
      <c r="D20" s="16"/>
      <c r="E20" s="191"/>
      <c r="F20" s="192"/>
      <c r="G20" s="192"/>
      <c r="H20" s="192"/>
      <c r="I20" s="193"/>
      <c r="J20" s="20"/>
      <c r="K20" s="22"/>
      <c r="L20" s="26"/>
      <c r="N20" s="24"/>
      <c r="P20" s="28"/>
      <c r="Q20" s="22"/>
      <c r="R20" s="18"/>
      <c r="S20" s="16"/>
      <c r="T20" s="103"/>
      <c r="U20" s="104"/>
      <c r="V20" s="104"/>
      <c r="W20" s="11"/>
      <c r="X20" s="10"/>
      <c r="Y20" s="189"/>
    </row>
    <row r="21" spans="1:25" s="7" customFormat="1" ht="26.25" customHeight="1" thickBot="1">
      <c r="A21" s="212"/>
      <c r="B21" s="12"/>
      <c r="C21" s="13"/>
      <c r="D21" s="17"/>
      <c r="E21" s="191"/>
      <c r="F21" s="192"/>
      <c r="G21" s="192"/>
      <c r="H21" s="192"/>
      <c r="I21" s="193"/>
      <c r="J21" s="19"/>
      <c r="K21" s="23"/>
      <c r="L21" s="27"/>
      <c r="N21" s="24"/>
      <c r="P21" s="29"/>
      <c r="Q21" s="23"/>
      <c r="R21" s="21"/>
      <c r="S21" s="17"/>
      <c r="T21" s="103"/>
      <c r="U21" s="104"/>
      <c r="V21" s="104"/>
      <c r="W21" s="11" t="s">
        <v>3</v>
      </c>
      <c r="X21" s="12"/>
      <c r="Y21" s="190"/>
    </row>
    <row r="24" spans="1:25" ht="18" customHeight="1">
      <c r="D24" s="67"/>
      <c r="E24" s="67"/>
      <c r="F24" s="67"/>
      <c r="G24" s="67"/>
      <c r="H24" s="67"/>
      <c r="I24" s="88"/>
      <c r="J24" s="235" t="s">
        <v>56</v>
      </c>
      <c r="K24" s="235"/>
      <c r="L24" s="235"/>
      <c r="M24" s="236">
        <f>SUM(M27:M27)</f>
        <v>0</v>
      </c>
      <c r="N24" s="237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235"/>
      <c r="K25" s="235"/>
      <c r="L25" s="235"/>
      <c r="M25" s="236"/>
      <c r="N25" s="237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05" t="s">
        <v>61</v>
      </c>
      <c r="N26" s="106"/>
      <c r="P26" s="75" t="s">
        <v>62</v>
      </c>
      <c r="Q26" s="75" t="s">
        <v>63</v>
      </c>
      <c r="R26" s="89"/>
      <c r="S26" s="105" t="s">
        <v>64</v>
      </c>
      <c r="T26" s="106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109" t="str">
        <f>IF(J27="","",COUNTIFS(MachineINV1,J27,MachineINV3,K27) + COUNTIFS(MachineINV2,J27,MachineINV4,K27))</f>
        <v/>
      </c>
      <c r="N27" s="110"/>
      <c r="P27" s="79"/>
      <c r="Q27" s="79"/>
      <c r="R27" s="60"/>
      <c r="S27" s="252"/>
      <c r="T27" s="253"/>
    </row>
    <row r="28" spans="1:25" ht="18" customHeight="1">
      <c r="A28" s="113" t="s">
        <v>41</v>
      </c>
      <c r="B28" s="114"/>
      <c r="C28" s="114"/>
      <c r="D28" s="254"/>
      <c r="E28" s="255"/>
      <c r="F28" s="255"/>
      <c r="G28" s="255"/>
      <c r="H28" s="62"/>
      <c r="I28" s="62"/>
      <c r="J28" s="53"/>
      <c r="N28" s="8"/>
      <c r="Q28" s="55"/>
      <c r="R28" s="55"/>
      <c r="S28" s="55"/>
      <c r="T28" s="55"/>
      <c r="U28" s="217"/>
      <c r="V28" s="217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216"/>
      <c r="R29" s="216"/>
      <c r="S29" s="216"/>
      <c r="T29" s="70"/>
      <c r="U29" s="218"/>
      <c r="V29" s="218"/>
    </row>
    <row r="30" spans="1:25" ht="18" customHeight="1">
      <c r="A30" s="113" t="s">
        <v>42</v>
      </c>
      <c r="B30" s="114"/>
      <c r="C30" s="114"/>
      <c r="D30" s="115"/>
      <c r="E30" s="116"/>
      <c r="F30" s="116"/>
      <c r="G30" s="116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258"/>
      <c r="V31" s="258"/>
    </row>
    <row r="32" spans="1:25" ht="18" customHeight="1">
      <c r="A32" s="113" t="s">
        <v>43</v>
      </c>
      <c r="B32" s="114"/>
      <c r="C32" s="114"/>
      <c r="D32" s="117"/>
      <c r="E32" s="118"/>
      <c r="F32" s="118"/>
      <c r="G32" s="119"/>
      <c r="H32" s="62"/>
      <c r="I32" s="62"/>
      <c r="J32" s="64"/>
      <c r="K32" s="67"/>
      <c r="L32" s="67"/>
      <c r="M32" s="67"/>
      <c r="N32" s="86"/>
      <c r="O32" s="65"/>
      <c r="P32" s="65"/>
      <c r="Q32" s="214"/>
      <c r="R32" s="214"/>
      <c r="S32" s="214"/>
      <c r="T32" s="72"/>
      <c r="U32" s="259"/>
      <c r="V32" s="259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113" t="s">
        <v>44</v>
      </c>
      <c r="B34" s="114"/>
      <c r="C34" s="114"/>
      <c r="D34" s="115"/>
      <c r="E34" s="116"/>
      <c r="F34" s="116"/>
      <c r="G34" s="116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260"/>
      <c r="V34" s="260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214"/>
      <c r="R35" s="214"/>
      <c r="S35" s="214"/>
      <c r="T35" s="72"/>
      <c r="U35" s="261"/>
      <c r="V35" s="261"/>
    </row>
    <row r="36" spans="1:22" ht="18" customHeight="1">
      <c r="A36" s="221" t="s">
        <v>30</v>
      </c>
      <c r="B36" s="222"/>
      <c r="C36" s="222"/>
      <c r="D36" s="225"/>
      <c r="E36" s="226"/>
      <c r="F36" s="227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8" customHeight="1">
      <c r="A37" s="223"/>
      <c r="B37" s="224"/>
      <c r="C37" s="224"/>
      <c r="D37" s="228"/>
      <c r="E37" s="229"/>
      <c r="F37" s="230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256"/>
      <c r="V37" s="256"/>
    </row>
    <row r="38" spans="1:22" ht="13.5" customHeight="1">
      <c r="A38" s="231" t="s">
        <v>31</v>
      </c>
      <c r="B38" s="224"/>
      <c r="C38" s="224"/>
      <c r="D38" s="232"/>
      <c r="E38" s="233"/>
      <c r="F38" s="234"/>
      <c r="H38" s="67"/>
      <c r="I38" s="67"/>
      <c r="J38" s="67"/>
      <c r="K38" s="67"/>
      <c r="L38" s="67"/>
      <c r="M38" s="67"/>
      <c r="N38" s="67"/>
      <c r="O38" s="65"/>
      <c r="P38" s="65"/>
      <c r="Q38" s="214"/>
      <c r="R38" s="214"/>
      <c r="S38" s="214"/>
      <c r="T38" s="72"/>
      <c r="U38" s="257"/>
      <c r="V38" s="257"/>
    </row>
    <row r="39" spans="1:22" ht="13.5" customHeight="1">
      <c r="A39" s="223"/>
      <c r="B39" s="224"/>
      <c r="C39" s="224"/>
      <c r="D39" s="228"/>
      <c r="E39" s="229"/>
      <c r="F39" s="230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3.5" customHeight="1">
      <c r="A40" s="231" t="s">
        <v>32</v>
      </c>
      <c r="B40" s="224"/>
      <c r="C40" s="224"/>
      <c r="D40" s="232"/>
      <c r="E40" s="233"/>
      <c r="F40" s="234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3.5" customHeight="1">
      <c r="A41" s="223"/>
      <c r="B41" s="224"/>
      <c r="C41" s="224"/>
      <c r="D41" s="228"/>
      <c r="E41" s="229"/>
      <c r="F41" s="230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3.5" customHeight="1">
      <c r="A42" s="231" t="s">
        <v>33</v>
      </c>
      <c r="B42" s="224"/>
      <c r="C42" s="224"/>
      <c r="D42" s="232" t="e">
        <f>IF(TtlGSD=0,0,ROUND(3600*D40/TtlGSD,0))</f>
        <v>#NAME?</v>
      </c>
      <c r="E42" s="233"/>
      <c r="F42" s="234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3.5" customHeight="1">
      <c r="A43" s="223"/>
      <c r="B43" s="224"/>
      <c r="C43" s="224"/>
      <c r="D43" s="228"/>
      <c r="E43" s="229"/>
      <c r="F43" s="230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>
      <c r="A44" s="231" t="s">
        <v>34</v>
      </c>
      <c r="B44" s="224"/>
      <c r="C44" s="224"/>
      <c r="D44" s="232" t="e">
        <f>ROUND(D42*D38,0)</f>
        <v>#NAME?</v>
      </c>
      <c r="E44" s="233"/>
      <c r="F44" s="234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3.5" customHeight="1">
      <c r="A45" s="223"/>
      <c r="B45" s="224"/>
      <c r="C45" s="224"/>
      <c r="D45" s="228"/>
      <c r="E45" s="229"/>
      <c r="F45" s="230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3.5" customHeight="1">
      <c r="A46" s="231" t="s">
        <v>35</v>
      </c>
      <c r="B46" s="224"/>
      <c r="C46" s="224"/>
      <c r="D46" s="232" t="e">
        <f>IF(D44=0,0,ROUND(D38*3600/D44,0))</f>
        <v>#NAME?</v>
      </c>
      <c r="E46" s="233"/>
      <c r="F46" s="234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3.5" customHeight="1">
      <c r="A47" s="223"/>
      <c r="B47" s="224"/>
      <c r="C47" s="224"/>
      <c r="D47" s="228"/>
      <c r="E47" s="229"/>
      <c r="F47" s="230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3.5" customHeight="1">
      <c r="A48" s="231" t="s">
        <v>22</v>
      </c>
      <c r="B48" s="224"/>
      <c r="C48" s="224"/>
      <c r="D48" s="232" t="e">
        <f>ROUND(3600/MaxTMS,2)</f>
        <v>#NAME?</v>
      </c>
      <c r="E48" s="233"/>
      <c r="F48" s="234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3.5" customHeight="1">
      <c r="A49" s="223"/>
      <c r="B49" s="224"/>
      <c r="C49" s="224"/>
      <c r="D49" s="228"/>
      <c r="E49" s="229"/>
      <c r="F49" s="230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3.5" customHeight="1">
      <c r="A50" s="231" t="s">
        <v>23</v>
      </c>
      <c r="B50" s="224"/>
      <c r="C50" s="224"/>
      <c r="D50" s="232" t="e">
        <f>TtlTMS</f>
        <v>#NAME?</v>
      </c>
      <c r="E50" s="233"/>
      <c r="F50" s="234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3.5" customHeight="1">
      <c r="A51" s="223"/>
      <c r="B51" s="224"/>
      <c r="C51" s="224"/>
      <c r="D51" s="228"/>
      <c r="E51" s="229"/>
      <c r="F51" s="230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3.5" customHeight="1">
      <c r="A52" s="231" t="s">
        <v>24</v>
      </c>
      <c r="B52" s="224"/>
      <c r="C52" s="224"/>
      <c r="D52" s="232" t="e">
        <f>TtlGSD</f>
        <v>#NAME?</v>
      </c>
      <c r="E52" s="233"/>
      <c r="F52" s="234"/>
    </row>
    <row r="53" spans="1:20" ht="13.5" customHeight="1">
      <c r="A53" s="223"/>
      <c r="B53" s="224"/>
      <c r="C53" s="224"/>
      <c r="D53" s="228"/>
      <c r="E53" s="229"/>
      <c r="F53" s="230"/>
    </row>
    <row r="54" spans="1:20">
      <c r="A54" s="231" t="s">
        <v>25</v>
      </c>
      <c r="B54" s="224"/>
      <c r="C54" s="224"/>
      <c r="D54" s="238" t="e">
        <f>IF(D52=0,0,(D52-D50)/D52)</f>
        <v>#NAME?</v>
      </c>
      <c r="E54" s="239"/>
      <c r="F54" s="240"/>
    </row>
    <row r="55" spans="1:20">
      <c r="A55" s="223"/>
      <c r="B55" s="224"/>
      <c r="C55" s="224"/>
      <c r="D55" s="241"/>
      <c r="E55" s="242"/>
      <c r="F55" s="243"/>
    </row>
    <row r="56" spans="1:20">
      <c r="A56" s="231" t="s">
        <v>26</v>
      </c>
      <c r="B56" s="224"/>
      <c r="C56" s="224"/>
      <c r="D56" s="238" t="e">
        <f>IF(OR(D40=0,MaxTMS=0),0,D50/MaxTMS/D40)</f>
        <v>#NAME?</v>
      </c>
      <c r="E56" s="239"/>
      <c r="F56" s="240"/>
    </row>
    <row r="57" spans="1:20">
      <c r="A57" s="223"/>
      <c r="B57" s="224"/>
      <c r="C57" s="224"/>
      <c r="D57" s="241"/>
      <c r="E57" s="242"/>
      <c r="F57" s="243"/>
    </row>
    <row r="58" spans="1:20" ht="16.5" customHeight="1">
      <c r="A58" s="231" t="s">
        <v>27</v>
      </c>
      <c r="B58" s="224"/>
      <c r="C58" s="224"/>
      <c r="D58" s="238" t="e">
        <f>IF(OR(D46=0,D40=0),0,D50/D46/D40)</f>
        <v>#NAME?</v>
      </c>
      <c r="E58" s="239"/>
      <c r="F58" s="240"/>
    </row>
    <row r="59" spans="1:20" ht="16.5" customHeight="1">
      <c r="A59" s="223"/>
      <c r="B59" s="224"/>
      <c r="C59" s="224"/>
      <c r="D59" s="241"/>
      <c r="E59" s="242"/>
      <c r="F59" s="243"/>
    </row>
    <row r="60" spans="1:20" ht="16.5" customHeight="1">
      <c r="A60" s="231" t="s">
        <v>28</v>
      </c>
      <c r="B60" s="224"/>
      <c r="C60" s="224"/>
      <c r="D60" s="238" t="e">
        <f>IF(OR(MaxTMS=0,D40=0),0,D52/MaxTMS/D40)</f>
        <v>#NAME?</v>
      </c>
      <c r="E60" s="239"/>
      <c r="F60" s="240"/>
    </row>
    <row r="61" spans="1:20" ht="16.5" customHeight="1">
      <c r="A61" s="223"/>
      <c r="B61" s="224"/>
      <c r="C61" s="224"/>
      <c r="D61" s="241"/>
      <c r="E61" s="242"/>
      <c r="F61" s="243"/>
    </row>
    <row r="62" spans="1:20" ht="16.5" customHeight="1">
      <c r="A62" s="231" t="s">
        <v>29</v>
      </c>
      <c r="B62" s="224"/>
      <c r="C62" s="224"/>
      <c r="D62" s="246" t="e">
        <f>IF(OR(MaxTMS=0,D40=0),0,ROUND(3600/MaxTMS,2)*F9/D40)</f>
        <v>#NAME?</v>
      </c>
      <c r="E62" s="247"/>
      <c r="F62" s="248"/>
    </row>
    <row r="63" spans="1:20" ht="16.5" customHeight="1" thickBot="1">
      <c r="A63" s="244"/>
      <c r="B63" s="245"/>
      <c r="C63" s="245"/>
      <c r="D63" s="249"/>
      <c r="E63" s="250"/>
      <c r="F63" s="251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6" t="s">
        <v>10</v>
      </c>
      <c r="B1" s="137"/>
      <c r="C1" s="137"/>
      <c r="D1" s="137"/>
      <c r="E1" s="138"/>
      <c r="F1" s="139"/>
      <c r="G1" s="140"/>
    </row>
    <row r="2" spans="1:25" ht="13.5" customHeight="1">
      <c r="A2" s="123"/>
      <c r="B2" s="124"/>
      <c r="C2" s="124"/>
      <c r="D2" s="124"/>
      <c r="E2" s="125"/>
      <c r="F2" s="126"/>
      <c r="G2" s="127"/>
    </row>
    <row r="3" spans="1:25" ht="13.5" customHeight="1">
      <c r="A3" s="120" t="s">
        <v>0</v>
      </c>
      <c r="B3" s="121"/>
      <c r="C3" s="121"/>
      <c r="D3" s="121"/>
      <c r="E3" s="122"/>
      <c r="F3" s="141"/>
      <c r="G3" s="142"/>
    </row>
    <row r="4" spans="1:25" ht="13.5" customHeight="1">
      <c r="A4" s="123"/>
      <c r="B4" s="124"/>
      <c r="C4" s="124"/>
      <c r="D4" s="124"/>
      <c r="E4" s="125"/>
      <c r="F4" s="141"/>
      <c r="G4" s="142"/>
    </row>
    <row r="5" spans="1:25" ht="13.5" customHeight="1">
      <c r="A5" s="120" t="s">
        <v>11</v>
      </c>
      <c r="B5" s="121"/>
      <c r="C5" s="121"/>
      <c r="D5" s="121"/>
      <c r="E5" s="122"/>
      <c r="F5" s="126"/>
      <c r="G5" s="127"/>
    </row>
    <row r="6" spans="1:25" ht="13.5" customHeight="1">
      <c r="A6" s="123"/>
      <c r="B6" s="124"/>
      <c r="C6" s="124"/>
      <c r="D6" s="124"/>
      <c r="E6" s="125"/>
      <c r="F6" s="126"/>
      <c r="G6" s="127"/>
    </row>
    <row r="7" spans="1:25" ht="13.5" customHeight="1">
      <c r="A7" s="120" t="s">
        <v>1</v>
      </c>
      <c r="B7" s="121"/>
      <c r="C7" s="121"/>
      <c r="D7" s="121"/>
      <c r="E7" s="122"/>
      <c r="F7" s="126"/>
      <c r="G7" s="127"/>
    </row>
    <row r="8" spans="1:25" ht="26.25" customHeight="1">
      <c r="A8" s="123"/>
      <c r="B8" s="124"/>
      <c r="C8" s="124"/>
      <c r="D8" s="124"/>
      <c r="E8" s="125"/>
      <c r="F8" s="126"/>
      <c r="G8" s="127"/>
    </row>
    <row r="9" spans="1:25" ht="13.5" customHeight="1">
      <c r="A9" s="128" t="s">
        <v>12</v>
      </c>
      <c r="B9" s="121"/>
      <c r="C9" s="121"/>
      <c r="D9" s="121"/>
      <c r="E9" s="122"/>
      <c r="F9" s="132"/>
      <c r="G9" s="133"/>
    </row>
    <row r="10" spans="1:25" ht="13.5" customHeight="1" thickBot="1">
      <c r="A10" s="129"/>
      <c r="B10" s="130"/>
      <c r="C10" s="130"/>
      <c r="D10" s="130"/>
      <c r="E10" s="131"/>
      <c r="F10" s="134"/>
      <c r="G10" s="135"/>
    </row>
    <row r="11" spans="1:25" ht="17.25" thickBot="1"/>
    <row r="12" spans="1:25" ht="12.75" customHeight="1">
      <c r="A12" s="179" t="s">
        <v>13</v>
      </c>
      <c r="B12" s="146" t="s">
        <v>51</v>
      </c>
      <c r="C12" s="143" t="s">
        <v>2</v>
      </c>
      <c r="D12" s="143" t="s">
        <v>39</v>
      </c>
      <c r="E12" s="182" t="s">
        <v>15</v>
      </c>
      <c r="F12" s="182"/>
      <c r="G12" s="182"/>
      <c r="H12" s="182"/>
      <c r="I12" s="185"/>
      <c r="J12" s="170" t="s">
        <v>47</v>
      </c>
      <c r="K12" s="171"/>
      <c r="L12" s="176" t="s">
        <v>50</v>
      </c>
      <c r="N12" s="24"/>
      <c r="P12" s="179" t="s">
        <v>50</v>
      </c>
      <c r="Q12" s="182" t="s">
        <v>47</v>
      </c>
      <c r="R12" s="171"/>
      <c r="S12" s="143" t="s">
        <v>39</v>
      </c>
      <c r="T12" s="182" t="s">
        <v>15</v>
      </c>
      <c r="U12" s="182"/>
      <c r="V12" s="94"/>
      <c r="W12" s="143" t="s">
        <v>2</v>
      </c>
      <c r="X12" s="146" t="s">
        <v>51</v>
      </c>
      <c r="Y12" s="149" t="s">
        <v>13</v>
      </c>
    </row>
    <row r="13" spans="1:25" ht="12.75" customHeight="1">
      <c r="A13" s="180"/>
      <c r="B13" s="147"/>
      <c r="C13" s="144"/>
      <c r="D13" s="144"/>
      <c r="E13" s="183"/>
      <c r="F13" s="183"/>
      <c r="G13" s="183"/>
      <c r="H13" s="183"/>
      <c r="I13" s="186"/>
      <c r="J13" s="172"/>
      <c r="K13" s="173"/>
      <c r="L13" s="177"/>
      <c r="N13" s="24"/>
      <c r="P13" s="180"/>
      <c r="Q13" s="183"/>
      <c r="R13" s="173"/>
      <c r="S13" s="144"/>
      <c r="T13" s="183"/>
      <c r="U13" s="183"/>
      <c r="V13" s="95"/>
      <c r="W13" s="144"/>
      <c r="X13" s="147"/>
      <c r="Y13" s="150"/>
    </row>
    <row r="14" spans="1:25" ht="12.75" customHeight="1">
      <c r="A14" s="180"/>
      <c r="B14" s="147"/>
      <c r="C14" s="144"/>
      <c r="D14" s="144"/>
      <c r="E14" s="183"/>
      <c r="F14" s="183"/>
      <c r="G14" s="183"/>
      <c r="H14" s="183"/>
      <c r="I14" s="186"/>
      <c r="J14" s="172"/>
      <c r="K14" s="173"/>
      <c r="L14" s="177"/>
      <c r="N14" s="24"/>
      <c r="P14" s="180"/>
      <c r="Q14" s="183"/>
      <c r="R14" s="173"/>
      <c r="S14" s="144"/>
      <c r="T14" s="183"/>
      <c r="U14" s="183"/>
      <c r="V14" s="95"/>
      <c r="W14" s="144"/>
      <c r="X14" s="147"/>
      <c r="Y14" s="150"/>
    </row>
    <row r="15" spans="1:25" ht="12.75" customHeight="1" thickBot="1">
      <c r="A15" s="181"/>
      <c r="B15" s="148"/>
      <c r="C15" s="145"/>
      <c r="D15" s="145"/>
      <c r="E15" s="184"/>
      <c r="F15" s="184"/>
      <c r="G15" s="184"/>
      <c r="H15" s="184"/>
      <c r="I15" s="187"/>
      <c r="J15" s="174"/>
      <c r="K15" s="175"/>
      <c r="L15" s="178"/>
      <c r="N15" s="24"/>
      <c r="P15" s="181"/>
      <c r="Q15" s="184"/>
      <c r="R15" s="175"/>
      <c r="S15" s="145"/>
      <c r="T15" s="184"/>
      <c r="U15" s="184"/>
      <c r="V15" s="96"/>
      <c r="W15" s="145"/>
      <c r="X15" s="148"/>
      <c r="Y15" s="15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2" t="str">
        <f>IF(ISERROR((C17-B17)/C17),"",(C17-B17)/C17)</f>
        <v/>
      </c>
      <c r="B17" s="154">
        <f>SUM(B19:B21)</f>
        <v>0</v>
      </c>
      <c r="C17" s="156">
        <f>SUM(C19:C21)</f>
        <v>0</v>
      </c>
      <c r="D17" s="158"/>
      <c r="E17" s="160" t="s">
        <v>14</v>
      </c>
      <c r="F17" s="162"/>
      <c r="G17" s="163"/>
      <c r="H17" s="163"/>
      <c r="I17" s="164"/>
      <c r="J17" s="168"/>
      <c r="K17" s="194"/>
      <c r="L17" s="196"/>
      <c r="N17" s="24"/>
      <c r="P17" s="198"/>
      <c r="Q17" s="200"/>
      <c r="R17" s="202"/>
      <c r="S17" s="272"/>
      <c r="T17" s="160" t="s">
        <v>14</v>
      </c>
      <c r="U17" s="162"/>
      <c r="V17" s="163"/>
      <c r="W17" s="208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13.5" customHeight="1">
      <c r="A18" s="153"/>
      <c r="B18" s="155"/>
      <c r="C18" s="157"/>
      <c r="D18" s="159"/>
      <c r="E18" s="161"/>
      <c r="F18" s="165"/>
      <c r="G18" s="166"/>
      <c r="H18" s="166"/>
      <c r="I18" s="167"/>
      <c r="J18" s="169"/>
      <c r="K18" s="195"/>
      <c r="L18" s="197"/>
      <c r="N18" s="24"/>
      <c r="P18" s="199"/>
      <c r="Q18" s="201"/>
      <c r="R18" s="203"/>
      <c r="S18" s="273"/>
      <c r="T18" s="161"/>
      <c r="U18" s="165"/>
      <c r="V18" s="166"/>
      <c r="W18" s="209"/>
      <c r="X18" s="205"/>
      <c r="Y18" s="207"/>
    </row>
    <row r="19" spans="1:25" s="7" customFormat="1" ht="26.25" customHeight="1">
      <c r="A19" s="210" t="str">
        <f>IF(ISERROR(IF(B17="",3600/C17,3600/B17)),"",IF(B17="",3600/C17,3600/B17))</f>
        <v/>
      </c>
      <c r="B19" s="10"/>
      <c r="C19" s="11"/>
      <c r="D19" s="16"/>
      <c r="E19" s="191"/>
      <c r="F19" s="192"/>
      <c r="G19" s="192"/>
      <c r="H19" s="192"/>
      <c r="I19" s="193"/>
      <c r="J19" s="20"/>
      <c r="K19" s="22"/>
      <c r="L19" s="26"/>
      <c r="N19" s="24"/>
      <c r="P19" s="28"/>
      <c r="Q19" s="22"/>
      <c r="R19" s="18"/>
      <c r="S19" s="16"/>
      <c r="T19" s="191"/>
      <c r="U19" s="192"/>
      <c r="V19" s="192"/>
      <c r="W19" s="20"/>
      <c r="X19" s="10"/>
      <c r="Y19" s="188" t="str">
        <f>IF(ISERROR(IF(X17="",3600/W17,3600/X17)),"",IF(X17="",3600/W17,3600/X17))</f>
        <v/>
      </c>
    </row>
    <row r="20" spans="1:25" s="7" customFormat="1" ht="22.5">
      <c r="A20" s="211"/>
      <c r="B20" s="10"/>
      <c r="C20" s="11"/>
      <c r="D20" s="16"/>
      <c r="E20" s="191"/>
      <c r="F20" s="192"/>
      <c r="G20" s="192"/>
      <c r="H20" s="192"/>
      <c r="I20" s="193"/>
      <c r="J20" s="20"/>
      <c r="K20" s="22"/>
      <c r="L20" s="26"/>
      <c r="N20" s="24"/>
      <c r="P20" s="28"/>
      <c r="Q20" s="22"/>
      <c r="R20" s="18"/>
      <c r="S20" s="16"/>
      <c r="T20" s="191"/>
      <c r="U20" s="192"/>
      <c r="V20" s="192"/>
      <c r="W20" s="20"/>
      <c r="X20" s="10"/>
      <c r="Y20" s="189"/>
    </row>
    <row r="21" spans="1:25" s="7" customFormat="1" ht="26.25" customHeight="1" thickBot="1">
      <c r="A21" s="212"/>
      <c r="B21" s="12"/>
      <c r="C21" s="13"/>
      <c r="D21" s="17"/>
      <c r="E21" s="191"/>
      <c r="F21" s="192"/>
      <c r="G21" s="192"/>
      <c r="H21" s="192"/>
      <c r="I21" s="193"/>
      <c r="J21" s="19"/>
      <c r="K21" s="23"/>
      <c r="L21" s="27"/>
      <c r="N21" s="24"/>
      <c r="P21" s="29"/>
      <c r="Q21" s="23"/>
      <c r="R21" s="21"/>
      <c r="S21" s="17"/>
      <c r="T21" s="191"/>
      <c r="U21" s="192"/>
      <c r="V21" s="192"/>
      <c r="W21" s="11" t="s">
        <v>3</v>
      </c>
      <c r="X21" s="12"/>
      <c r="Y21" s="190"/>
    </row>
    <row r="24" spans="1:25" ht="18" customHeight="1">
      <c r="D24" s="55"/>
      <c r="E24" s="55"/>
      <c r="F24" s="55"/>
      <c r="G24" s="55"/>
      <c r="H24" s="55"/>
      <c r="I24" s="55"/>
      <c r="J24" s="235" t="s">
        <v>56</v>
      </c>
      <c r="K24" s="235"/>
      <c r="L24" s="235"/>
      <c r="M24" s="237">
        <f>SUM(M27:M27)</f>
        <v>0</v>
      </c>
      <c r="N24" s="237"/>
      <c r="P24" s="49" t="s">
        <v>57</v>
      </c>
      <c r="Q24" s="61"/>
    </row>
    <row r="25" spans="1:25" ht="18" customHeight="1">
      <c r="H25" s="68"/>
      <c r="I25" s="51"/>
      <c r="J25" s="235"/>
      <c r="K25" s="235"/>
      <c r="L25" s="235"/>
      <c r="M25" s="237"/>
      <c r="N25" s="237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77" t="s">
        <v>61</v>
      </c>
      <c r="N26" s="106"/>
      <c r="P26" s="57" t="s">
        <v>62</v>
      </c>
      <c r="Q26" s="57" t="s">
        <v>63</v>
      </c>
      <c r="R26" s="90"/>
      <c r="S26" s="105" t="s">
        <v>64</v>
      </c>
      <c r="T26" s="106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10" t="str">
        <f>IF(J27="","",COUNTIFS(MachineINV1,J27,MachineINV3,K27) + COUNTIFS(MachineINV2,J27,MachineINV4,K27))</f>
        <v/>
      </c>
      <c r="N27" s="110"/>
      <c r="P27" s="59"/>
      <c r="Q27" s="59"/>
      <c r="R27" s="60"/>
      <c r="S27" s="252"/>
      <c r="T27" s="253"/>
    </row>
    <row r="28" spans="1:25" ht="18" customHeight="1">
      <c r="A28" s="113" t="s">
        <v>41</v>
      </c>
      <c r="B28" s="114"/>
      <c r="C28" s="114"/>
      <c r="D28" s="117"/>
      <c r="E28" s="118"/>
      <c r="F28" s="118"/>
      <c r="G28" s="119"/>
      <c r="H28" s="69"/>
      <c r="I28" s="51"/>
      <c r="J28" s="74"/>
      <c r="N28" s="8"/>
      <c r="Q28" s="55"/>
      <c r="R28" s="55"/>
      <c r="S28" s="55"/>
      <c r="T28" s="55"/>
      <c r="U28" s="217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19"/>
      <c r="R29" s="219"/>
      <c r="S29" s="219"/>
      <c r="T29" s="56"/>
      <c r="U29" s="218"/>
      <c r="V29" s="97"/>
    </row>
    <row r="30" spans="1:25" ht="18" customHeight="1">
      <c r="A30" s="113" t="s">
        <v>42</v>
      </c>
      <c r="B30" s="114"/>
      <c r="C30" s="114"/>
      <c r="D30" s="115"/>
      <c r="E30" s="116"/>
      <c r="F30" s="116"/>
      <c r="G30" s="116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58"/>
      <c r="V31" s="99"/>
    </row>
    <row r="32" spans="1:25" ht="18" customHeight="1">
      <c r="A32" s="113" t="s">
        <v>43</v>
      </c>
      <c r="B32" s="114"/>
      <c r="C32" s="114"/>
      <c r="D32" s="117"/>
      <c r="E32" s="118"/>
      <c r="F32" s="118"/>
      <c r="G32" s="119"/>
      <c r="H32" s="62"/>
      <c r="I32" s="66"/>
      <c r="J32" s="64"/>
      <c r="K32" s="55"/>
      <c r="L32" s="55"/>
      <c r="N32" s="8"/>
      <c r="Q32" s="219"/>
      <c r="R32" s="219"/>
      <c r="S32" s="219"/>
      <c r="T32" s="56"/>
      <c r="U32" s="259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13" t="s">
        <v>44</v>
      </c>
      <c r="B34" s="114"/>
      <c r="C34" s="114"/>
      <c r="D34" s="115"/>
      <c r="E34" s="116"/>
      <c r="F34" s="116"/>
      <c r="G34" s="116"/>
      <c r="H34" s="62"/>
      <c r="I34" s="51"/>
      <c r="P34" s="67"/>
      <c r="Q34" s="67"/>
      <c r="R34" s="67"/>
      <c r="S34" s="67"/>
      <c r="T34" s="67"/>
      <c r="U34" s="260"/>
      <c r="V34" s="100"/>
    </row>
    <row r="35" spans="1:22" ht="18" customHeight="1" thickBot="1">
      <c r="P35" s="67"/>
      <c r="Q35" s="214"/>
      <c r="R35" s="214"/>
      <c r="S35" s="214"/>
      <c r="T35" s="72"/>
      <c r="U35" s="261"/>
      <c r="V35" s="100"/>
    </row>
    <row r="36" spans="1:22" ht="18" customHeight="1">
      <c r="A36" s="221" t="s">
        <v>30</v>
      </c>
      <c r="B36" s="222"/>
      <c r="C36" s="222"/>
      <c r="D36" s="225"/>
      <c r="E36" s="226"/>
      <c r="F36" s="227"/>
      <c r="P36" s="67"/>
      <c r="Q36" s="65"/>
      <c r="R36" s="65"/>
      <c r="S36" s="65"/>
      <c r="T36" s="65"/>
      <c r="U36" s="9"/>
      <c r="V36" s="9"/>
    </row>
    <row r="37" spans="1:22" ht="18" customHeight="1">
      <c r="A37" s="223"/>
      <c r="B37" s="224"/>
      <c r="C37" s="224"/>
      <c r="D37" s="228"/>
      <c r="E37" s="229"/>
      <c r="F37" s="230"/>
      <c r="P37" s="67"/>
      <c r="Q37" s="65"/>
      <c r="R37" s="65"/>
      <c r="S37" s="65"/>
      <c r="T37" s="65"/>
      <c r="U37" s="256"/>
      <c r="V37" s="98"/>
    </row>
    <row r="38" spans="1:22" ht="13.5" customHeight="1">
      <c r="A38" s="231" t="s">
        <v>31</v>
      </c>
      <c r="B38" s="224"/>
      <c r="C38" s="224"/>
      <c r="D38" s="232"/>
      <c r="E38" s="233"/>
      <c r="F38" s="234"/>
      <c r="P38" s="67"/>
      <c r="Q38" s="214"/>
      <c r="R38" s="214"/>
      <c r="S38" s="214"/>
      <c r="T38" s="72"/>
      <c r="U38" s="257"/>
      <c r="V38" s="98"/>
    </row>
    <row r="39" spans="1:22" ht="13.5" customHeight="1">
      <c r="A39" s="223"/>
      <c r="B39" s="224"/>
      <c r="C39" s="224"/>
      <c r="D39" s="228"/>
      <c r="E39" s="229"/>
      <c r="F39" s="230"/>
      <c r="P39" s="67"/>
      <c r="Q39" s="65"/>
      <c r="R39" s="65"/>
      <c r="S39" s="65"/>
      <c r="T39" s="65"/>
    </row>
    <row r="40" spans="1:22" ht="13.5" customHeight="1">
      <c r="A40" s="231" t="s">
        <v>32</v>
      </c>
      <c r="B40" s="224"/>
      <c r="C40" s="224"/>
      <c r="D40" s="232"/>
      <c r="E40" s="233"/>
      <c r="F40" s="234"/>
      <c r="P40" s="67"/>
      <c r="Q40" s="67"/>
      <c r="R40" s="67"/>
      <c r="S40" s="67"/>
      <c r="T40" s="67"/>
    </row>
    <row r="41" spans="1:22" ht="13.5" customHeight="1">
      <c r="A41" s="223"/>
      <c r="B41" s="224"/>
      <c r="C41" s="224"/>
      <c r="D41" s="228"/>
      <c r="E41" s="229"/>
      <c r="F41" s="230"/>
      <c r="P41" s="67"/>
      <c r="Q41" s="67"/>
      <c r="R41" s="67"/>
      <c r="S41" s="67"/>
      <c r="T41" s="67"/>
    </row>
    <row r="42" spans="1:22" ht="13.5" customHeight="1">
      <c r="A42" s="231" t="s">
        <v>33</v>
      </c>
      <c r="B42" s="224"/>
      <c r="C42" s="224"/>
      <c r="D42" s="232" t="e">
        <f>IF(TtlGSD=0,0,ROUND(3600*D40/TtlGSD,0))</f>
        <v>#NAME?</v>
      </c>
      <c r="E42" s="233"/>
      <c r="F42" s="234"/>
      <c r="P42" s="67"/>
      <c r="Q42" s="67"/>
      <c r="R42" s="67"/>
      <c r="S42" s="67"/>
      <c r="T42" s="67"/>
    </row>
    <row r="43" spans="1:22" ht="13.5" customHeight="1">
      <c r="A43" s="223"/>
      <c r="B43" s="224"/>
      <c r="C43" s="224"/>
      <c r="D43" s="228"/>
      <c r="E43" s="229"/>
      <c r="F43" s="230"/>
      <c r="P43" s="67"/>
      <c r="Q43" s="67"/>
      <c r="R43" s="67"/>
      <c r="S43" s="67"/>
      <c r="T43" s="67"/>
    </row>
    <row r="44" spans="1:22">
      <c r="A44" s="231" t="s">
        <v>34</v>
      </c>
      <c r="B44" s="224"/>
      <c r="C44" s="224"/>
      <c r="D44" s="232" t="e">
        <f>ROUND(D42*D38,0)</f>
        <v>#NAME?</v>
      </c>
      <c r="E44" s="233"/>
      <c r="F44" s="234"/>
    </row>
    <row r="45" spans="1:22" ht="13.5" customHeight="1">
      <c r="A45" s="223"/>
      <c r="B45" s="224"/>
      <c r="C45" s="224"/>
      <c r="D45" s="228"/>
      <c r="E45" s="229"/>
      <c r="F45" s="230"/>
    </row>
    <row r="46" spans="1:22" ht="13.5" customHeight="1">
      <c r="A46" s="231" t="s">
        <v>35</v>
      </c>
      <c r="B46" s="224"/>
      <c r="C46" s="224"/>
      <c r="D46" s="232" t="e">
        <f>IF(D44=0,0,ROUND(D38*3600/D44,0))</f>
        <v>#NAME?</v>
      </c>
      <c r="E46" s="233"/>
      <c r="F46" s="234"/>
    </row>
    <row r="47" spans="1:22" ht="13.5" customHeight="1">
      <c r="A47" s="223"/>
      <c r="B47" s="224"/>
      <c r="C47" s="224"/>
      <c r="D47" s="228"/>
      <c r="E47" s="229"/>
      <c r="F47" s="230"/>
    </row>
    <row r="48" spans="1:22" ht="13.5" customHeight="1">
      <c r="A48" s="231" t="s">
        <v>22</v>
      </c>
      <c r="B48" s="224"/>
      <c r="C48" s="224"/>
      <c r="D48" s="232" t="e">
        <f>ROUND(3600/MaxTMS,2)</f>
        <v>#NAME?</v>
      </c>
      <c r="E48" s="233"/>
      <c r="F48" s="234"/>
    </row>
    <row r="49" spans="1:6" ht="13.5" customHeight="1">
      <c r="A49" s="223"/>
      <c r="B49" s="224"/>
      <c r="C49" s="224"/>
      <c r="D49" s="228"/>
      <c r="E49" s="229"/>
      <c r="F49" s="230"/>
    </row>
    <row r="50" spans="1:6" ht="13.5" customHeight="1">
      <c r="A50" s="231" t="s">
        <v>23</v>
      </c>
      <c r="B50" s="224"/>
      <c r="C50" s="224"/>
      <c r="D50" s="232" t="e">
        <f>TtlTMS</f>
        <v>#NAME?</v>
      </c>
      <c r="E50" s="233"/>
      <c r="F50" s="234"/>
    </row>
    <row r="51" spans="1:6" ht="13.5" customHeight="1">
      <c r="A51" s="223"/>
      <c r="B51" s="224"/>
      <c r="C51" s="224"/>
      <c r="D51" s="228"/>
      <c r="E51" s="229"/>
      <c r="F51" s="230"/>
    </row>
    <row r="52" spans="1:6" ht="13.5" customHeight="1">
      <c r="A52" s="231" t="s">
        <v>24</v>
      </c>
      <c r="B52" s="224"/>
      <c r="C52" s="224"/>
      <c r="D52" s="232" t="e">
        <f>TtlGSD</f>
        <v>#NAME?</v>
      </c>
      <c r="E52" s="233"/>
      <c r="F52" s="234"/>
    </row>
    <row r="53" spans="1:6" ht="13.5" customHeight="1">
      <c r="A53" s="223"/>
      <c r="B53" s="224"/>
      <c r="C53" s="224"/>
      <c r="D53" s="228"/>
      <c r="E53" s="229"/>
      <c r="F53" s="230"/>
    </row>
    <row r="54" spans="1:6">
      <c r="A54" s="231" t="s">
        <v>25</v>
      </c>
      <c r="B54" s="224"/>
      <c r="C54" s="224"/>
      <c r="D54" s="238" t="e">
        <f>IF(D52=0,0,(D52-D50)/D52)</f>
        <v>#NAME?</v>
      </c>
      <c r="E54" s="239"/>
      <c r="F54" s="240"/>
    </row>
    <row r="55" spans="1:6">
      <c r="A55" s="223"/>
      <c r="B55" s="224"/>
      <c r="C55" s="224"/>
      <c r="D55" s="241"/>
      <c r="E55" s="242"/>
      <c r="F55" s="243"/>
    </row>
    <row r="56" spans="1:6">
      <c r="A56" s="231" t="s">
        <v>26</v>
      </c>
      <c r="B56" s="224"/>
      <c r="C56" s="224"/>
      <c r="D56" s="238" t="e">
        <f>IF(OR(D40=0,MaxTMS=0),0,D50/MaxTMS/D40)</f>
        <v>#NAME?</v>
      </c>
      <c r="E56" s="239"/>
      <c r="F56" s="240"/>
    </row>
    <row r="57" spans="1:6">
      <c r="A57" s="223"/>
      <c r="B57" s="224"/>
      <c r="C57" s="224"/>
      <c r="D57" s="241"/>
      <c r="E57" s="242"/>
      <c r="F57" s="243"/>
    </row>
    <row r="58" spans="1:6" ht="16.5" customHeight="1">
      <c r="A58" s="231" t="s">
        <v>27</v>
      </c>
      <c r="B58" s="224"/>
      <c r="C58" s="224"/>
      <c r="D58" s="238" t="e">
        <f>IF(OR(D46=0,D40=0),0,D50/D46/D40)</f>
        <v>#NAME?</v>
      </c>
      <c r="E58" s="239"/>
      <c r="F58" s="240"/>
    </row>
    <row r="59" spans="1:6" ht="16.5" customHeight="1">
      <c r="A59" s="223"/>
      <c r="B59" s="224"/>
      <c r="C59" s="224"/>
      <c r="D59" s="241"/>
      <c r="E59" s="242"/>
      <c r="F59" s="243"/>
    </row>
    <row r="60" spans="1:6" ht="16.5" customHeight="1">
      <c r="A60" s="231" t="s">
        <v>28</v>
      </c>
      <c r="B60" s="224"/>
      <c r="C60" s="224"/>
      <c r="D60" s="238" t="e">
        <f>IF(OR(MaxTMS=0,D40=0),0,D52/MaxTMS/D40)</f>
        <v>#NAME?</v>
      </c>
      <c r="E60" s="239"/>
      <c r="F60" s="240"/>
    </row>
    <row r="61" spans="1:6" ht="16.5" customHeight="1">
      <c r="A61" s="223"/>
      <c r="B61" s="224"/>
      <c r="C61" s="224"/>
      <c r="D61" s="241"/>
      <c r="E61" s="242"/>
      <c r="F61" s="243"/>
    </row>
    <row r="62" spans="1:6" ht="16.5" customHeight="1">
      <c r="A62" s="231" t="s">
        <v>29</v>
      </c>
      <c r="B62" s="224"/>
      <c r="C62" s="224"/>
      <c r="D62" s="246" t="e">
        <f>IF(OR(MaxTMS=0,D40=0),0,ROUND(3600/MaxTMS,2)*F9/D40)</f>
        <v>#NAME?</v>
      </c>
      <c r="E62" s="247"/>
      <c r="F62" s="248"/>
    </row>
    <row r="63" spans="1:6" ht="16.5" customHeight="1" thickBot="1">
      <c r="A63" s="244"/>
      <c r="B63" s="245"/>
      <c r="C63" s="245"/>
      <c r="D63" s="249"/>
      <c r="E63" s="250"/>
      <c r="F63" s="25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74" t="s">
        <v>15</v>
      </c>
      <c r="B92" s="274"/>
      <c r="C92" s="274"/>
      <c r="D92" s="32"/>
      <c r="E92" s="275" t="s">
        <v>55</v>
      </c>
      <c r="F92" s="275"/>
      <c r="G92" s="275"/>
      <c r="H92" s="275"/>
      <c r="I92" s="275"/>
      <c r="J92" s="276" t="s">
        <v>16</v>
      </c>
      <c r="K92" s="276"/>
    </row>
    <row r="93" spans="1:11" ht="20.25">
      <c r="A93" s="262"/>
      <c r="B93" s="263"/>
      <c r="C93" s="264"/>
      <c r="D93" s="33"/>
      <c r="E93" s="270"/>
      <c r="F93" s="270"/>
      <c r="G93" s="270"/>
      <c r="H93" s="270"/>
      <c r="I93" s="270"/>
      <c r="J93" s="271"/>
      <c r="K93" s="271"/>
    </row>
    <row r="94" spans="1:11" ht="20.25">
      <c r="A94" s="262"/>
      <c r="B94" s="263"/>
      <c r="C94" s="264"/>
      <c r="D94" s="33"/>
      <c r="E94" s="270"/>
      <c r="F94" s="270"/>
      <c r="G94" s="270"/>
      <c r="H94" s="270"/>
      <c r="I94" s="270"/>
      <c r="J94" s="271"/>
      <c r="K94" s="271"/>
    </row>
    <row r="95" spans="1:11" ht="20.25">
      <c r="A95" s="262"/>
      <c r="B95" s="263"/>
      <c r="C95" s="264"/>
      <c r="D95" s="33"/>
      <c r="E95" s="270"/>
      <c r="F95" s="270"/>
      <c r="G95" s="270"/>
      <c r="H95" s="270"/>
      <c r="I95" s="270"/>
      <c r="J95" s="271"/>
      <c r="K95" s="271"/>
    </row>
    <row r="96" spans="1:11" ht="20.25">
      <c r="A96" s="262"/>
      <c r="B96" s="263"/>
      <c r="C96" s="264"/>
      <c r="D96" s="33"/>
      <c r="E96" s="270"/>
      <c r="F96" s="270"/>
      <c r="G96" s="270"/>
      <c r="H96" s="270"/>
      <c r="I96" s="270"/>
      <c r="J96" s="271"/>
      <c r="K96" s="271"/>
    </row>
    <row r="97" spans="1:11" ht="20.25">
      <c r="A97" s="262"/>
      <c r="B97" s="263"/>
      <c r="C97" s="264"/>
      <c r="D97" s="33"/>
      <c r="E97" s="270"/>
      <c r="F97" s="270"/>
      <c r="G97" s="270"/>
      <c r="H97" s="270"/>
      <c r="I97" s="270"/>
      <c r="J97" s="271"/>
      <c r="K97" s="271"/>
    </row>
    <row r="98" spans="1:11" ht="20.25">
      <c r="A98" s="262"/>
      <c r="B98" s="263"/>
      <c r="C98" s="264"/>
      <c r="D98" s="33"/>
      <c r="E98" s="270"/>
      <c r="F98" s="270"/>
      <c r="G98" s="270"/>
      <c r="H98" s="270"/>
      <c r="I98" s="270"/>
      <c r="J98" s="271"/>
      <c r="K98" s="271"/>
    </row>
    <row r="99" spans="1:11" ht="20.25">
      <c r="A99" s="262"/>
      <c r="B99" s="263"/>
      <c r="C99" s="264"/>
      <c r="D99" s="33"/>
      <c r="E99" s="265"/>
      <c r="F99" s="266"/>
      <c r="G99" s="266"/>
      <c r="H99" s="266"/>
      <c r="I99" s="267"/>
      <c r="J99" s="268"/>
      <c r="K99" s="269"/>
    </row>
    <row r="100" spans="1:11" ht="20.25">
      <c r="A100" s="262"/>
      <c r="B100" s="263"/>
      <c r="C100" s="264"/>
      <c r="D100" s="33"/>
      <c r="E100" s="265"/>
      <c r="F100" s="266"/>
      <c r="G100" s="266"/>
      <c r="H100" s="266"/>
      <c r="I100" s="267"/>
      <c r="J100" s="268"/>
      <c r="K100" s="269"/>
    </row>
    <row r="101" spans="1:11" ht="20.25">
      <c r="A101" s="262"/>
      <c r="B101" s="263"/>
      <c r="C101" s="264"/>
      <c r="D101" s="33"/>
      <c r="E101" s="265"/>
      <c r="F101" s="266"/>
      <c r="G101" s="266"/>
      <c r="H101" s="266"/>
      <c r="I101" s="267"/>
      <c r="J101" s="268"/>
      <c r="K101" s="269"/>
    </row>
    <row r="102" spans="1:11" ht="20.25">
      <c r="A102" s="262"/>
      <c r="B102" s="263"/>
      <c r="C102" s="264"/>
      <c r="D102" s="33"/>
      <c r="E102" s="265"/>
      <c r="F102" s="266"/>
      <c r="G102" s="266"/>
      <c r="H102" s="266"/>
      <c r="I102" s="267"/>
      <c r="J102" s="268"/>
      <c r="K102" s="269"/>
    </row>
  </sheetData>
  <mergeCells count="133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6" t="s">
        <v>10</v>
      </c>
      <c r="B1" s="137"/>
      <c r="C1" s="137"/>
      <c r="D1" s="137"/>
      <c r="E1" s="138"/>
      <c r="F1" s="139"/>
      <c r="G1" s="140"/>
    </row>
    <row r="2" spans="1:25" ht="13.5" customHeight="1">
      <c r="A2" s="123"/>
      <c r="B2" s="124"/>
      <c r="C2" s="124"/>
      <c r="D2" s="124"/>
      <c r="E2" s="125"/>
      <c r="F2" s="126"/>
      <c r="G2" s="127"/>
    </row>
    <row r="3" spans="1:25" ht="13.5" customHeight="1">
      <c r="A3" s="120" t="s">
        <v>0</v>
      </c>
      <c r="B3" s="121"/>
      <c r="C3" s="121"/>
      <c r="D3" s="121"/>
      <c r="E3" s="122"/>
      <c r="F3" s="141"/>
      <c r="G3" s="142"/>
    </row>
    <row r="4" spans="1:25" ht="13.5" customHeight="1">
      <c r="A4" s="123"/>
      <c r="B4" s="124"/>
      <c r="C4" s="124"/>
      <c r="D4" s="124"/>
      <c r="E4" s="125"/>
      <c r="F4" s="141"/>
      <c r="G4" s="142"/>
    </row>
    <row r="5" spans="1:25" ht="13.5" customHeight="1">
      <c r="A5" s="120" t="s">
        <v>11</v>
      </c>
      <c r="B5" s="121"/>
      <c r="C5" s="121"/>
      <c r="D5" s="121"/>
      <c r="E5" s="122"/>
      <c r="F5" s="126"/>
      <c r="G5" s="127"/>
    </row>
    <row r="6" spans="1:25" ht="13.5" customHeight="1">
      <c r="A6" s="123"/>
      <c r="B6" s="124"/>
      <c r="C6" s="124"/>
      <c r="D6" s="124"/>
      <c r="E6" s="125"/>
      <c r="F6" s="126"/>
      <c r="G6" s="127"/>
    </row>
    <row r="7" spans="1:25" ht="13.5" customHeight="1">
      <c r="A7" s="120" t="s">
        <v>1</v>
      </c>
      <c r="B7" s="121"/>
      <c r="C7" s="121"/>
      <c r="D7" s="121"/>
      <c r="E7" s="122"/>
      <c r="F7" s="126"/>
      <c r="G7" s="127"/>
    </row>
    <row r="8" spans="1:25" ht="26.25" customHeight="1">
      <c r="A8" s="123"/>
      <c r="B8" s="124"/>
      <c r="C8" s="124"/>
      <c r="D8" s="124"/>
      <c r="E8" s="125"/>
      <c r="F8" s="126"/>
      <c r="G8" s="127"/>
    </row>
    <row r="9" spans="1:25" ht="13.5" customHeight="1">
      <c r="A9" s="128" t="s">
        <v>12</v>
      </c>
      <c r="B9" s="121"/>
      <c r="C9" s="121"/>
      <c r="D9" s="121"/>
      <c r="E9" s="122"/>
      <c r="F9" s="132"/>
      <c r="G9" s="133"/>
    </row>
    <row r="10" spans="1:25" ht="13.5" customHeight="1" thickBot="1">
      <c r="A10" s="129"/>
      <c r="B10" s="130"/>
      <c r="C10" s="130"/>
      <c r="D10" s="130"/>
      <c r="E10" s="131"/>
      <c r="F10" s="134"/>
      <c r="G10" s="135"/>
    </row>
    <row r="11" spans="1:25" ht="17.25" thickBot="1"/>
    <row r="12" spans="1:25" ht="12.75" customHeight="1">
      <c r="A12" s="179" t="s">
        <v>13</v>
      </c>
      <c r="B12" s="146" t="s">
        <v>51</v>
      </c>
      <c r="C12" s="143" t="s">
        <v>2</v>
      </c>
      <c r="D12" s="143" t="s">
        <v>39</v>
      </c>
      <c r="E12" s="182" t="s">
        <v>15</v>
      </c>
      <c r="F12" s="182"/>
      <c r="G12" s="182"/>
      <c r="H12" s="182"/>
      <c r="I12" s="185"/>
      <c r="J12" s="170" t="s">
        <v>47</v>
      </c>
      <c r="K12" s="171"/>
      <c r="L12" s="176" t="s">
        <v>50</v>
      </c>
      <c r="N12" s="24"/>
      <c r="P12" s="179" t="s">
        <v>50</v>
      </c>
      <c r="Q12" s="182" t="s">
        <v>47</v>
      </c>
      <c r="R12" s="171"/>
      <c r="S12" s="143" t="s">
        <v>39</v>
      </c>
      <c r="T12" s="182" t="s">
        <v>15</v>
      </c>
      <c r="U12" s="182"/>
      <c r="V12" s="185"/>
      <c r="W12" s="143" t="s">
        <v>2</v>
      </c>
      <c r="X12" s="146" t="s">
        <v>51</v>
      </c>
      <c r="Y12" s="149" t="s">
        <v>13</v>
      </c>
    </row>
    <row r="13" spans="1:25" ht="12.75" customHeight="1">
      <c r="A13" s="180"/>
      <c r="B13" s="147"/>
      <c r="C13" s="144"/>
      <c r="D13" s="144"/>
      <c r="E13" s="183"/>
      <c r="F13" s="183"/>
      <c r="G13" s="183"/>
      <c r="H13" s="183"/>
      <c r="I13" s="186"/>
      <c r="J13" s="172"/>
      <c r="K13" s="173"/>
      <c r="L13" s="177"/>
      <c r="N13" s="24"/>
      <c r="P13" s="180"/>
      <c r="Q13" s="183"/>
      <c r="R13" s="173"/>
      <c r="S13" s="144"/>
      <c r="T13" s="183"/>
      <c r="U13" s="183"/>
      <c r="V13" s="186"/>
      <c r="W13" s="144"/>
      <c r="X13" s="147"/>
      <c r="Y13" s="150"/>
    </row>
    <row r="14" spans="1:25" ht="12.75" customHeight="1">
      <c r="A14" s="180"/>
      <c r="B14" s="147"/>
      <c r="C14" s="144"/>
      <c r="D14" s="144"/>
      <c r="E14" s="183"/>
      <c r="F14" s="183"/>
      <c r="G14" s="183"/>
      <c r="H14" s="183"/>
      <c r="I14" s="186"/>
      <c r="J14" s="172"/>
      <c r="K14" s="173"/>
      <c r="L14" s="177"/>
      <c r="N14" s="24"/>
      <c r="P14" s="180"/>
      <c r="Q14" s="183"/>
      <c r="R14" s="173"/>
      <c r="S14" s="144"/>
      <c r="T14" s="183"/>
      <c r="U14" s="183"/>
      <c r="V14" s="186"/>
      <c r="W14" s="144"/>
      <c r="X14" s="147"/>
      <c r="Y14" s="150"/>
    </row>
    <row r="15" spans="1:25" ht="12.75" customHeight="1" thickBot="1">
      <c r="A15" s="181"/>
      <c r="B15" s="148"/>
      <c r="C15" s="145"/>
      <c r="D15" s="145"/>
      <c r="E15" s="184"/>
      <c r="F15" s="184"/>
      <c r="G15" s="184"/>
      <c r="H15" s="184"/>
      <c r="I15" s="187"/>
      <c r="J15" s="174"/>
      <c r="K15" s="175"/>
      <c r="L15" s="178"/>
      <c r="N15" s="24"/>
      <c r="P15" s="181"/>
      <c r="Q15" s="184"/>
      <c r="R15" s="175"/>
      <c r="S15" s="145"/>
      <c r="T15" s="184"/>
      <c r="U15" s="184"/>
      <c r="V15" s="187"/>
      <c r="W15" s="145"/>
      <c r="X15" s="148"/>
      <c r="Y15" s="15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52" t="str">
        <f>IF(ISERROR((C17-B17)/C17),"",(C17-B17)/C17)</f>
        <v/>
      </c>
      <c r="B17" s="154">
        <f>SUM(B19:B21)</f>
        <v>0</v>
      </c>
      <c r="C17" s="156">
        <f>SUM(C19:C21)</f>
        <v>0</v>
      </c>
      <c r="D17" s="158"/>
      <c r="E17" s="160" t="s">
        <v>14</v>
      </c>
      <c r="F17" s="162"/>
      <c r="G17" s="163"/>
      <c r="H17" s="163"/>
      <c r="I17" s="164"/>
      <c r="J17" s="168"/>
      <c r="K17" s="194"/>
      <c r="L17" s="196"/>
      <c r="N17" s="24"/>
      <c r="P17" s="198"/>
      <c r="Q17" s="200"/>
      <c r="R17" s="202"/>
      <c r="S17" s="158"/>
      <c r="T17" s="160" t="s">
        <v>14</v>
      </c>
      <c r="U17" s="162"/>
      <c r="V17" s="164"/>
      <c r="W17" s="208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43" s="7" customFormat="1" ht="13.5" customHeight="1">
      <c r="A18" s="153"/>
      <c r="B18" s="155"/>
      <c r="C18" s="157"/>
      <c r="D18" s="159"/>
      <c r="E18" s="161"/>
      <c r="F18" s="165"/>
      <c r="G18" s="166"/>
      <c r="H18" s="166"/>
      <c r="I18" s="167"/>
      <c r="J18" s="169"/>
      <c r="K18" s="195"/>
      <c r="L18" s="197"/>
      <c r="N18" s="24"/>
      <c r="P18" s="199"/>
      <c r="Q18" s="201"/>
      <c r="R18" s="203"/>
      <c r="S18" s="159"/>
      <c r="T18" s="161"/>
      <c r="U18" s="165"/>
      <c r="V18" s="167"/>
      <c r="W18" s="209"/>
      <c r="X18" s="205"/>
      <c r="Y18" s="207"/>
    </row>
    <row r="19" spans="1:43" s="7" customFormat="1" ht="26.25" customHeight="1">
      <c r="A19" s="210" t="str">
        <f>IF(ISERROR(IF(B17="",3600/C17,3600/B17)),"",IF(B17="",3600/C17,3600/B17))</f>
        <v/>
      </c>
      <c r="B19" s="10"/>
      <c r="C19" s="11"/>
      <c r="D19" s="16"/>
      <c r="E19" s="191"/>
      <c r="F19" s="192"/>
      <c r="G19" s="192"/>
      <c r="H19" s="192"/>
      <c r="I19" s="193"/>
      <c r="J19" s="20"/>
      <c r="K19" s="22"/>
      <c r="L19" s="26"/>
      <c r="N19" s="24"/>
      <c r="P19" s="28"/>
      <c r="Q19" s="22"/>
      <c r="R19" s="18"/>
      <c r="S19" s="16"/>
      <c r="T19" s="103"/>
      <c r="U19" s="104"/>
      <c r="V19" s="104"/>
      <c r="W19" s="11"/>
      <c r="X19" s="10"/>
      <c r="Y19" s="188" t="str">
        <f>IF(ISERROR(IF(X17="",3600/W17,3600/X17)),"",IF(X17="",3600/W17,3600/X17))</f>
        <v/>
      </c>
    </row>
    <row r="20" spans="1:43" s="7" customFormat="1" ht="22.5">
      <c r="A20" s="211"/>
      <c r="B20" s="10"/>
      <c r="C20" s="11"/>
      <c r="D20" s="16"/>
      <c r="E20" s="191"/>
      <c r="F20" s="192"/>
      <c r="G20" s="192"/>
      <c r="H20" s="192"/>
      <c r="I20" s="193"/>
      <c r="J20" s="20"/>
      <c r="K20" s="22"/>
      <c r="L20" s="26"/>
      <c r="N20" s="24"/>
      <c r="P20" s="28"/>
      <c r="Q20" s="22"/>
      <c r="R20" s="18"/>
      <c r="S20" s="16"/>
      <c r="T20" s="103"/>
      <c r="U20" s="104"/>
      <c r="V20" s="104"/>
      <c r="W20" s="11"/>
      <c r="X20" s="10"/>
      <c r="Y20" s="189"/>
    </row>
    <row r="21" spans="1:43" s="7" customFormat="1" ht="26.25" customHeight="1" thickBot="1">
      <c r="A21" s="212"/>
      <c r="B21" s="12"/>
      <c r="C21" s="13"/>
      <c r="D21" s="17"/>
      <c r="E21" s="191"/>
      <c r="F21" s="192"/>
      <c r="G21" s="192"/>
      <c r="H21" s="192"/>
      <c r="I21" s="193"/>
      <c r="J21" s="19"/>
      <c r="K21" s="23"/>
      <c r="L21" s="27"/>
      <c r="N21" s="24"/>
      <c r="P21" s="29"/>
      <c r="Q21" s="23"/>
      <c r="R21" s="21"/>
      <c r="S21" s="17"/>
      <c r="T21" s="103"/>
      <c r="U21" s="104"/>
      <c r="V21" s="104"/>
      <c r="W21" s="11" t="s">
        <v>3</v>
      </c>
      <c r="X21" s="12"/>
      <c r="Y21" s="190"/>
    </row>
    <row r="24" spans="1:43" ht="18" customHeight="1">
      <c r="D24" s="55"/>
      <c r="E24" s="55"/>
      <c r="F24" s="55"/>
      <c r="G24" s="55"/>
      <c r="H24" s="55"/>
      <c r="I24" s="55"/>
      <c r="J24" s="235" t="s">
        <v>56</v>
      </c>
      <c r="K24" s="235"/>
      <c r="L24" s="235"/>
      <c r="M24" s="237">
        <f>SUM(M27:M27)</f>
        <v>0</v>
      </c>
      <c r="N24" s="237"/>
      <c r="P24" s="48" t="s">
        <v>57</v>
      </c>
      <c r="Q24" s="61"/>
    </row>
    <row r="25" spans="1:43" ht="18" customHeight="1">
      <c r="H25" s="68"/>
      <c r="I25" s="51"/>
      <c r="J25" s="235"/>
      <c r="K25" s="235"/>
      <c r="L25" s="235"/>
      <c r="M25" s="237"/>
      <c r="N25" s="237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77" t="s">
        <v>61</v>
      </c>
      <c r="N26" s="106"/>
      <c r="P26" s="57" t="s">
        <v>62</v>
      </c>
      <c r="Q26" s="57" t="s">
        <v>63</v>
      </c>
      <c r="R26" s="90"/>
      <c r="S26" s="105" t="s">
        <v>64</v>
      </c>
      <c r="T26" s="106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10" t="str">
        <f>IF(J27="","",COUNTIFS(MachineINV1,J27,MachineINV3,K27) + COUNTIFS(MachineINV2,J27,MachineINV4,K27))</f>
        <v/>
      </c>
      <c r="N27" s="110"/>
      <c r="P27" s="59"/>
      <c r="Q27" s="59"/>
      <c r="R27" s="60"/>
      <c r="S27" s="252"/>
      <c r="T27" s="253"/>
    </row>
    <row r="28" spans="1:43" ht="18" customHeight="1">
      <c r="A28" s="113" t="s">
        <v>41</v>
      </c>
      <c r="B28" s="114"/>
      <c r="C28" s="114"/>
      <c r="D28" s="117"/>
      <c r="E28" s="118"/>
      <c r="F28" s="118"/>
      <c r="G28" s="119"/>
      <c r="H28" s="69"/>
      <c r="I28" s="51"/>
      <c r="J28" s="74"/>
      <c r="N28" s="8"/>
      <c r="Q28" s="55"/>
      <c r="R28" s="55"/>
      <c r="S28" s="55"/>
      <c r="T28" s="55"/>
      <c r="U28" s="217"/>
      <c r="V28" s="217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19"/>
      <c r="R29" s="219"/>
      <c r="S29" s="219"/>
      <c r="T29" s="56"/>
      <c r="U29" s="218"/>
      <c r="V29" s="218"/>
    </row>
    <row r="30" spans="1:43" ht="18" customHeight="1">
      <c r="A30" s="113" t="s">
        <v>42</v>
      </c>
      <c r="B30" s="114"/>
      <c r="C30" s="114"/>
      <c r="D30" s="115"/>
      <c r="E30" s="116"/>
      <c r="F30" s="116"/>
      <c r="G30" s="116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278"/>
      <c r="AM30" s="278"/>
      <c r="AN30" s="278"/>
      <c r="AO30" s="278"/>
      <c r="AP30" s="278"/>
      <c r="AQ30" s="278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58"/>
      <c r="V31" s="258"/>
      <c r="AH31" s="279"/>
      <c r="AI31" s="279"/>
      <c r="AJ31" s="280"/>
      <c r="AK31" s="280"/>
      <c r="AL31" s="52"/>
      <c r="AM31" s="53"/>
      <c r="AN31" s="52"/>
      <c r="AO31" s="53"/>
      <c r="AP31" s="54"/>
      <c r="AQ31" s="53"/>
    </row>
    <row r="32" spans="1:43" ht="18" customHeight="1">
      <c r="A32" s="113" t="s">
        <v>43</v>
      </c>
      <c r="B32" s="114"/>
      <c r="C32" s="114"/>
      <c r="D32" s="117"/>
      <c r="E32" s="118"/>
      <c r="F32" s="118"/>
      <c r="G32" s="119"/>
      <c r="H32" s="62"/>
      <c r="I32" s="66"/>
      <c r="J32" s="64"/>
      <c r="K32" s="55"/>
      <c r="L32" s="55"/>
      <c r="N32" s="8"/>
      <c r="Q32" s="219"/>
      <c r="R32" s="219"/>
      <c r="S32" s="219"/>
      <c r="T32" s="56"/>
      <c r="U32" s="259"/>
      <c r="V32" s="259"/>
      <c r="AH32" s="279"/>
      <c r="AI32" s="279"/>
      <c r="AJ32" s="280"/>
      <c r="AK32" s="280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279"/>
      <c r="AI33" s="279"/>
      <c r="AJ33" s="280"/>
      <c r="AK33" s="280"/>
      <c r="AL33" s="52"/>
      <c r="AM33" s="53"/>
      <c r="AN33" s="52"/>
      <c r="AO33" s="53"/>
      <c r="AP33" s="54"/>
      <c r="AQ33" s="53"/>
    </row>
    <row r="34" spans="1:43" ht="16.5" customHeight="1">
      <c r="A34" s="113" t="s">
        <v>44</v>
      </c>
      <c r="B34" s="114"/>
      <c r="C34" s="114"/>
      <c r="D34" s="115"/>
      <c r="E34" s="116"/>
      <c r="F34" s="116"/>
      <c r="G34" s="116"/>
      <c r="H34" s="62"/>
      <c r="I34" s="51"/>
      <c r="Q34" s="55"/>
      <c r="R34" s="55"/>
      <c r="S34" s="55"/>
      <c r="T34" s="55"/>
      <c r="U34" s="260"/>
      <c r="V34" s="260"/>
      <c r="AH34" s="279"/>
      <c r="AI34" s="279"/>
      <c r="AJ34" s="280"/>
      <c r="AK34" s="280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219"/>
      <c r="R35" s="219"/>
      <c r="S35" s="219"/>
      <c r="T35" s="56"/>
      <c r="U35" s="261"/>
      <c r="V35" s="261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221" t="s">
        <v>30</v>
      </c>
      <c r="B36" s="222"/>
      <c r="C36" s="222"/>
      <c r="D36" s="225"/>
      <c r="E36" s="226"/>
      <c r="F36" s="227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281"/>
      <c r="AN36" s="281"/>
      <c r="AO36" s="281"/>
      <c r="AP36" s="281"/>
      <c r="AQ36" s="281"/>
    </row>
    <row r="37" spans="1:43" ht="18" customHeight="1">
      <c r="A37" s="223"/>
      <c r="B37" s="224"/>
      <c r="C37" s="224"/>
      <c r="D37" s="228"/>
      <c r="E37" s="229"/>
      <c r="F37" s="230"/>
      <c r="Q37" s="55"/>
      <c r="R37" s="55"/>
      <c r="S37" s="55"/>
      <c r="T37" s="55"/>
      <c r="U37" s="256"/>
      <c r="V37" s="256"/>
    </row>
    <row r="38" spans="1:43" ht="13.5" customHeight="1">
      <c r="A38" s="231" t="s">
        <v>31</v>
      </c>
      <c r="B38" s="224"/>
      <c r="C38" s="224"/>
      <c r="D38" s="232"/>
      <c r="E38" s="233"/>
      <c r="F38" s="234"/>
      <c r="Q38" s="219"/>
      <c r="R38" s="219"/>
      <c r="S38" s="219"/>
      <c r="T38" s="56"/>
      <c r="U38" s="257"/>
      <c r="V38" s="257"/>
    </row>
    <row r="39" spans="1:43" ht="13.5" customHeight="1">
      <c r="A39" s="223"/>
      <c r="B39" s="224"/>
      <c r="C39" s="224"/>
      <c r="D39" s="228"/>
      <c r="E39" s="229"/>
      <c r="F39" s="230"/>
      <c r="Q39" s="55"/>
      <c r="R39" s="55"/>
      <c r="S39" s="55"/>
      <c r="T39" s="55"/>
    </row>
    <row r="40" spans="1:43" ht="13.5" customHeight="1">
      <c r="A40" s="231" t="s">
        <v>32</v>
      </c>
      <c r="B40" s="224"/>
      <c r="C40" s="224"/>
      <c r="D40" s="232"/>
      <c r="E40" s="233"/>
      <c r="F40" s="234"/>
      <c r="Q40" s="55"/>
      <c r="R40" s="55"/>
      <c r="S40" s="55"/>
      <c r="T40" s="55"/>
    </row>
    <row r="41" spans="1:43" ht="13.5" customHeight="1">
      <c r="A41" s="223"/>
      <c r="B41" s="224"/>
      <c r="C41" s="224"/>
      <c r="D41" s="228"/>
      <c r="E41" s="229"/>
      <c r="F41" s="230"/>
      <c r="Q41" s="55"/>
      <c r="R41" s="55"/>
      <c r="S41" s="55"/>
      <c r="T41" s="55"/>
    </row>
    <row r="42" spans="1:43" ht="13.5" customHeight="1">
      <c r="A42" s="231" t="s">
        <v>33</v>
      </c>
      <c r="B42" s="224"/>
      <c r="C42" s="224"/>
      <c r="D42" s="232" t="e">
        <f>IF(TtlGSD=0,0,ROUND(3600*D40/TtlGSD,0))</f>
        <v>#NAME?</v>
      </c>
      <c r="E42" s="233"/>
      <c r="F42" s="234"/>
    </row>
    <row r="43" spans="1:43" ht="13.5" customHeight="1">
      <c r="A43" s="223"/>
      <c r="B43" s="224"/>
      <c r="C43" s="224"/>
      <c r="D43" s="228"/>
      <c r="E43" s="229"/>
      <c r="F43" s="230"/>
    </row>
    <row r="44" spans="1:43">
      <c r="A44" s="231" t="s">
        <v>34</v>
      </c>
      <c r="B44" s="224"/>
      <c r="C44" s="224"/>
      <c r="D44" s="232" t="e">
        <f>ROUND(D42*D38,0)</f>
        <v>#NAME?</v>
      </c>
      <c r="E44" s="233"/>
      <c r="F44" s="234"/>
    </row>
    <row r="45" spans="1:43" ht="13.5" customHeight="1">
      <c r="A45" s="223"/>
      <c r="B45" s="224"/>
      <c r="C45" s="224"/>
      <c r="D45" s="228"/>
      <c r="E45" s="229"/>
      <c r="F45" s="230"/>
    </row>
    <row r="46" spans="1:43" ht="13.5" customHeight="1">
      <c r="A46" s="231" t="s">
        <v>35</v>
      </c>
      <c r="B46" s="224"/>
      <c r="C46" s="224"/>
      <c r="D46" s="232" t="e">
        <f>IF(D44=0,0,ROUND(D38*3600/D44,0))</f>
        <v>#NAME?</v>
      </c>
      <c r="E46" s="233"/>
      <c r="F46" s="234"/>
    </row>
    <row r="47" spans="1:43" ht="13.5" customHeight="1">
      <c r="A47" s="223"/>
      <c r="B47" s="224"/>
      <c r="C47" s="224"/>
      <c r="D47" s="228"/>
      <c r="E47" s="229"/>
      <c r="F47" s="230"/>
    </row>
    <row r="48" spans="1:43" ht="13.5" customHeight="1">
      <c r="A48" s="231" t="s">
        <v>22</v>
      </c>
      <c r="B48" s="224"/>
      <c r="C48" s="224"/>
      <c r="D48" s="232" t="e">
        <f>ROUND(3600/MaxTMS,2)</f>
        <v>#NAME?</v>
      </c>
      <c r="E48" s="233"/>
      <c r="F48" s="234"/>
    </row>
    <row r="49" spans="1:6" ht="13.5" customHeight="1">
      <c r="A49" s="223"/>
      <c r="B49" s="224"/>
      <c r="C49" s="224"/>
      <c r="D49" s="228"/>
      <c r="E49" s="229"/>
      <c r="F49" s="230"/>
    </row>
    <row r="50" spans="1:6" ht="13.5" customHeight="1">
      <c r="A50" s="231" t="s">
        <v>23</v>
      </c>
      <c r="B50" s="224"/>
      <c r="C50" s="224"/>
      <c r="D50" s="232" t="e">
        <f>TtlTMS</f>
        <v>#NAME?</v>
      </c>
      <c r="E50" s="233"/>
      <c r="F50" s="234"/>
    </row>
    <row r="51" spans="1:6" ht="13.5" customHeight="1">
      <c r="A51" s="223"/>
      <c r="B51" s="224"/>
      <c r="C51" s="224"/>
      <c r="D51" s="228"/>
      <c r="E51" s="229"/>
      <c r="F51" s="230"/>
    </row>
    <row r="52" spans="1:6" ht="13.5" customHeight="1">
      <c r="A52" s="231" t="s">
        <v>24</v>
      </c>
      <c r="B52" s="224"/>
      <c r="C52" s="224"/>
      <c r="D52" s="232" t="e">
        <f>TtlGSD</f>
        <v>#NAME?</v>
      </c>
      <c r="E52" s="233"/>
      <c r="F52" s="234"/>
    </row>
    <row r="53" spans="1:6" ht="13.5" customHeight="1">
      <c r="A53" s="223"/>
      <c r="B53" s="224"/>
      <c r="C53" s="224"/>
      <c r="D53" s="228"/>
      <c r="E53" s="229"/>
      <c r="F53" s="230"/>
    </row>
    <row r="54" spans="1:6">
      <c r="A54" s="231" t="s">
        <v>25</v>
      </c>
      <c r="B54" s="224"/>
      <c r="C54" s="224"/>
      <c r="D54" s="238" t="e">
        <f>IF(D52=0,0,(D52-D50)/D52)</f>
        <v>#NAME?</v>
      </c>
      <c r="E54" s="239"/>
      <c r="F54" s="240"/>
    </row>
    <row r="55" spans="1:6">
      <c r="A55" s="223"/>
      <c r="B55" s="224"/>
      <c r="C55" s="224"/>
      <c r="D55" s="241"/>
      <c r="E55" s="242"/>
      <c r="F55" s="243"/>
    </row>
    <row r="56" spans="1:6">
      <c r="A56" s="231" t="s">
        <v>26</v>
      </c>
      <c r="B56" s="224"/>
      <c r="C56" s="224"/>
      <c r="D56" s="238" t="e">
        <f>IF(OR(D40=0,MaxTMS=0),0,D50/MaxTMS/D40)</f>
        <v>#NAME?</v>
      </c>
      <c r="E56" s="239"/>
      <c r="F56" s="240"/>
    </row>
    <row r="57" spans="1:6">
      <c r="A57" s="223"/>
      <c r="B57" s="224"/>
      <c r="C57" s="224"/>
      <c r="D57" s="241"/>
      <c r="E57" s="242"/>
      <c r="F57" s="243"/>
    </row>
    <row r="58" spans="1:6" ht="16.5" customHeight="1">
      <c r="A58" s="231" t="s">
        <v>27</v>
      </c>
      <c r="B58" s="224"/>
      <c r="C58" s="224"/>
      <c r="D58" s="238" t="e">
        <f>IF(OR(D46=0,D40=0),0,D50/D46/D40)</f>
        <v>#NAME?</v>
      </c>
      <c r="E58" s="239"/>
      <c r="F58" s="240"/>
    </row>
    <row r="59" spans="1:6" ht="16.5" customHeight="1">
      <c r="A59" s="223"/>
      <c r="B59" s="224"/>
      <c r="C59" s="224"/>
      <c r="D59" s="241"/>
      <c r="E59" s="242"/>
      <c r="F59" s="243"/>
    </row>
    <row r="60" spans="1:6" ht="16.5" customHeight="1">
      <c r="A60" s="231" t="s">
        <v>28</v>
      </c>
      <c r="B60" s="224"/>
      <c r="C60" s="224"/>
      <c r="D60" s="238" t="e">
        <f>IF(OR(MaxTMS=0,D40=0),0,D52/MaxTMS/D40)</f>
        <v>#NAME?</v>
      </c>
      <c r="E60" s="239"/>
      <c r="F60" s="240"/>
    </row>
    <row r="61" spans="1:6" ht="16.5" customHeight="1">
      <c r="A61" s="223"/>
      <c r="B61" s="224"/>
      <c r="C61" s="224"/>
      <c r="D61" s="241"/>
      <c r="E61" s="242"/>
      <c r="F61" s="243"/>
    </row>
    <row r="62" spans="1:6" ht="16.5" customHeight="1">
      <c r="A62" s="231" t="s">
        <v>29</v>
      </c>
      <c r="B62" s="224"/>
      <c r="C62" s="224"/>
      <c r="D62" s="246" t="e">
        <f>IF(OR(MaxTMS=0,D40=0),0,ROUND(3600/MaxTMS,2)*F9/D40)</f>
        <v>#NAME?</v>
      </c>
      <c r="E62" s="247"/>
      <c r="F62" s="248"/>
    </row>
    <row r="63" spans="1:6" ht="16.5" customHeight="1" thickBot="1">
      <c r="A63" s="244"/>
      <c r="B63" s="245"/>
      <c r="C63" s="245"/>
      <c r="D63" s="249"/>
      <c r="E63" s="250"/>
      <c r="F63" s="25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74" t="s">
        <v>15</v>
      </c>
      <c r="B92" s="274"/>
      <c r="C92" s="274"/>
      <c r="D92" s="31"/>
      <c r="E92" s="275" t="s">
        <v>54</v>
      </c>
      <c r="F92" s="275"/>
      <c r="G92" s="275"/>
      <c r="H92" s="275"/>
      <c r="I92" s="275"/>
      <c r="J92" s="276" t="s">
        <v>16</v>
      </c>
      <c r="K92" s="276"/>
    </row>
    <row r="93" spans="1:11" ht="20.25">
      <c r="A93" s="262"/>
      <c r="B93" s="263"/>
      <c r="C93" s="264"/>
      <c r="D93" s="30"/>
      <c r="E93" s="270"/>
      <c r="F93" s="270"/>
      <c r="G93" s="270"/>
      <c r="H93" s="270"/>
      <c r="I93" s="270"/>
      <c r="J93" s="271"/>
      <c r="K93" s="271"/>
    </row>
    <row r="94" spans="1:11" ht="20.25">
      <c r="A94" s="262"/>
      <c r="B94" s="263"/>
      <c r="C94" s="264"/>
      <c r="D94" s="30"/>
      <c r="E94" s="270"/>
      <c r="F94" s="270"/>
      <c r="G94" s="270"/>
      <c r="H94" s="270"/>
      <c r="I94" s="270"/>
      <c r="J94" s="271"/>
      <c r="K94" s="271"/>
    </row>
    <row r="95" spans="1:11" ht="20.25">
      <c r="A95" s="262"/>
      <c r="B95" s="263"/>
      <c r="C95" s="264"/>
      <c r="D95" s="30"/>
      <c r="E95" s="270"/>
      <c r="F95" s="270"/>
      <c r="G95" s="270"/>
      <c r="H95" s="270"/>
      <c r="I95" s="270"/>
      <c r="J95" s="271"/>
      <c r="K95" s="271"/>
    </row>
    <row r="96" spans="1:11" ht="20.25">
      <c r="A96" s="262"/>
      <c r="B96" s="263"/>
      <c r="C96" s="264"/>
      <c r="D96" s="30"/>
      <c r="E96" s="270"/>
      <c r="F96" s="270"/>
      <c r="G96" s="270"/>
      <c r="H96" s="270"/>
      <c r="I96" s="270"/>
      <c r="J96" s="271"/>
      <c r="K96" s="271"/>
    </row>
    <row r="97" spans="1:11" ht="20.25">
      <c r="A97" s="262"/>
      <c r="B97" s="263"/>
      <c r="C97" s="264"/>
      <c r="D97" s="30"/>
      <c r="E97" s="270"/>
      <c r="F97" s="270"/>
      <c r="G97" s="270"/>
      <c r="H97" s="270"/>
      <c r="I97" s="270"/>
      <c r="J97" s="271"/>
      <c r="K97" s="271"/>
    </row>
    <row r="98" spans="1:11" ht="20.25">
      <c r="A98" s="262"/>
      <c r="B98" s="263"/>
      <c r="C98" s="264"/>
      <c r="D98" s="30"/>
      <c r="E98" s="270"/>
      <c r="F98" s="270"/>
      <c r="G98" s="270"/>
      <c r="H98" s="270"/>
      <c r="I98" s="270"/>
      <c r="J98" s="271"/>
      <c r="K98" s="271"/>
    </row>
    <row r="99" spans="1:11" ht="20.25">
      <c r="A99" s="262"/>
      <c r="B99" s="263"/>
      <c r="C99" s="264"/>
      <c r="D99" s="33"/>
      <c r="E99" s="265"/>
      <c r="F99" s="266"/>
      <c r="G99" s="266"/>
      <c r="H99" s="266"/>
      <c r="I99" s="267"/>
      <c r="J99" s="268"/>
      <c r="K99" s="269"/>
    </row>
    <row r="100" spans="1:11" ht="20.25">
      <c r="A100" s="262"/>
      <c r="B100" s="263"/>
      <c r="C100" s="264"/>
      <c r="D100" s="33"/>
      <c r="E100" s="265"/>
      <c r="F100" s="266"/>
      <c r="G100" s="266"/>
      <c r="H100" s="266"/>
      <c r="I100" s="267"/>
      <c r="J100" s="268"/>
      <c r="K100" s="269"/>
    </row>
    <row r="101" spans="1:11" ht="20.25">
      <c r="A101" s="262"/>
      <c r="B101" s="263"/>
      <c r="C101" s="264"/>
      <c r="D101" s="33"/>
      <c r="E101" s="265"/>
      <c r="F101" s="266"/>
      <c r="G101" s="266"/>
      <c r="H101" s="266"/>
      <c r="I101" s="267"/>
      <c r="J101" s="268"/>
      <c r="K101" s="269"/>
    </row>
    <row r="102" spans="1:11" ht="20.25">
      <c r="A102" s="262"/>
      <c r="B102" s="263"/>
      <c r="C102" s="264"/>
      <c r="D102" s="33"/>
      <c r="E102" s="265"/>
      <c r="F102" s="266"/>
      <c r="G102" s="266"/>
      <c r="H102" s="266"/>
      <c r="I102" s="267"/>
      <c r="J102" s="268"/>
      <c r="K102" s="269"/>
    </row>
  </sheetData>
  <mergeCells count="139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2023-08-10T13:25:46Z</dcterms:modified>
</cp:coreProperties>
</file>