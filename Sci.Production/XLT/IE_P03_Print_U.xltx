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</sheets>
  <calcPr calcId="144525"/>
</workbook>
</file>

<file path=xl/calcChain.xml><?xml version="1.0" encoding="utf-8"?>
<calcChain xmlns="http://schemas.openxmlformats.org/spreadsheetml/2006/main">
  <c r="E75" i="2" l="1"/>
  <c r="E76" i="2"/>
  <c r="E62" i="2"/>
  <c r="E63" i="2"/>
  <c r="P62" i="2"/>
  <c r="P63" i="2"/>
  <c r="P75" i="2"/>
  <c r="P76" i="2"/>
  <c r="E54" i="2" l="1"/>
  <c r="E55" i="2"/>
  <c r="E56" i="2"/>
  <c r="E57" i="2"/>
  <c r="E58" i="2"/>
  <c r="E59" i="2"/>
  <c r="E60" i="2"/>
  <c r="E61" i="2"/>
  <c r="E67" i="2"/>
  <c r="E68" i="2"/>
  <c r="E69" i="2"/>
  <c r="E70" i="2"/>
  <c r="E71" i="2"/>
  <c r="E72" i="2"/>
  <c r="E73" i="2"/>
  <c r="E74" i="2"/>
  <c r="P54" i="2"/>
  <c r="P55" i="2"/>
  <c r="P56" i="2"/>
  <c r="P57" i="2"/>
  <c r="P58" i="2"/>
  <c r="P59" i="2"/>
  <c r="P60" i="2"/>
  <c r="P61" i="2"/>
  <c r="P67" i="2"/>
  <c r="P68" i="2"/>
  <c r="P69" i="2"/>
  <c r="P70" i="2"/>
  <c r="P71" i="2"/>
  <c r="P72" i="2"/>
  <c r="P73" i="2"/>
  <c r="P74" i="2"/>
  <c r="H43" i="2" l="1"/>
</calcChain>
</file>

<file path=xl/sharedStrings.xml><?xml version="1.0" encoding="utf-8"?>
<sst xmlns="http://schemas.openxmlformats.org/spreadsheetml/2006/main" count="50" uniqueCount="42">
  <si>
    <t>Seq</t>
    <phoneticPr fontId="1" type="noConversion"/>
  </si>
  <si>
    <t>Operation Description</t>
  </si>
  <si>
    <t>Operation Description</t>
    <phoneticPr fontId="1" type="noConversion"/>
  </si>
  <si>
    <t>GSD Time</t>
    <phoneticPr fontId="1" type="noConversion"/>
  </si>
  <si>
    <t>Machine Type</t>
  </si>
  <si>
    <t>Machine Type</t>
    <phoneticPr fontId="1" type="noConversion"/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</si>
  <si>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</si>
  <si>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</si>
  <si>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</si>
  <si>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</si>
  <si>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</si>
  <si>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</si>
  <si>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</si>
  <si>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</si>
  <si>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</si>
  <si>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</si>
  <si>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</si>
  <si>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</si>
  <si>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</si>
  <si>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</si>
  <si>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</si>
  <si>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</si>
  <si>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</si>
  <si>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</si>
  <si>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</si>
  <si>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</si>
  <si>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</si>
  <si>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</si>
  <si>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</si>
  <si>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</si>
  <si>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</si>
  <si>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</si>
  <si>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</si>
  <si>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</si>
  <si>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</si>
  <si>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</si>
  <si>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</si>
  <si>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</si>
  <si>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</si>
  <si>
    <t>Operator</t>
    <phoneticPr fontId="1" type="noConversion"/>
  </si>
  <si>
    <t>Cycle time</t>
    <phoneticPr fontId="1" type="noConversion"/>
  </si>
  <si>
    <t>Takt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</si>
</sst>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[$-409]d\-mmm\-yy;@"/>
  </numFmts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4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 wrapText="1"/>
    </xf>
    <xf numFmtId="176" fontId="0" fillId="2" borderId="0" xfId="0" applyNumberFormat="1" applyFill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3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56" xfId="1" applyFont="1" applyBorder="1" applyAlignment="1" applyProtection="1">
      <alignment horizontal="left" vertical="top" wrapText="1"/>
    </xf>
    <xf numFmtId="0" fontId="8" fillId="0" borderId="57" xfId="1" applyFont="1" applyBorder="1" applyAlignment="1" applyProtection="1">
      <alignment horizontal="left" vertical="top" wrapText="1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10" fillId="0" borderId="55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8" fillId="0" borderId="22" xfId="1" applyFont="1" applyBorder="1" applyAlignment="1" applyProtection="1">
      <alignment horizontal="left" vertical="top" wrapText="1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0" fontId="8" fillId="0" borderId="7" xfId="1" applyFont="1" applyBorder="1" applyAlignment="1" applyProtection="1">
      <alignment horizontal="left" vertical="top" wrapText="1"/>
    </xf>
    <xf numFmtId="0" fontId="7" fillId="5" borderId="12" xfId="1" applyFont="1" applyFill="1" applyBorder="1" applyAlignment="1" applyProtection="1">
      <alignment horizontal="center" vertical="center" wrapText="1"/>
    </xf>
    <xf numFmtId="0" fontId="7" fillId="5" borderId="15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10" fillId="0" borderId="24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10" fillId="0" borderId="27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10" fillId="0" borderId="63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177" fontId="6" fillId="0" borderId="31" xfId="1" applyNumberFormat="1" applyFont="1" applyBorder="1" applyAlignment="1" applyProtection="1">
      <alignment horizontal="center" vertical="center"/>
    </xf>
    <xf numFmtId="177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wrapText="1" indent="1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/>
    </xf>
    <xf numFmtId="14" fontId="6" fillId="0" borderId="0" xfId="1" applyNumberFormat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3" fillId="4" borderId="49" xfId="1" applyFont="1" applyFill="1" applyBorder="1" applyAlignment="1" applyProtection="1">
      <alignment horizontal="center" vertical="center" wrapText="1"/>
    </xf>
    <xf numFmtId="0" fontId="3" fillId="4" borderId="50" xfId="1" applyFont="1" applyFill="1" applyBorder="1" applyAlignment="1" applyProtection="1">
      <alignment horizontal="center" vertical="center" wrapText="1"/>
    </xf>
    <xf numFmtId="0" fontId="3" fillId="4" borderId="37" xfId="1" applyFont="1" applyFill="1" applyBorder="1" applyAlignment="1" applyProtection="1">
      <alignment horizontal="center" vertical="center" wrapText="1"/>
    </xf>
    <xf numFmtId="0" fontId="3" fillId="4" borderId="38" xfId="1" applyFont="1" applyFill="1" applyBorder="1" applyAlignment="1" applyProtection="1">
      <alignment horizontal="center" vertical="center" wrapText="1"/>
    </xf>
    <xf numFmtId="0" fontId="3" fillId="4" borderId="58" xfId="1" applyFont="1" applyFill="1" applyBorder="1" applyAlignment="1" applyProtection="1">
      <alignment horizontal="center" vertical="center" wrapText="1"/>
    </xf>
    <xf numFmtId="0" fontId="3" fillId="4" borderId="59" xfId="1" applyFont="1" applyFill="1" applyBorder="1" applyAlignment="1" applyProtection="1">
      <alignment horizontal="center" vertical="center" wrapText="1"/>
    </xf>
    <xf numFmtId="0" fontId="7" fillId="4" borderId="39" xfId="1" applyFont="1" applyFill="1" applyBorder="1" applyAlignment="1" applyProtection="1">
      <alignment horizontal="center" vertical="center" wrapText="1"/>
    </xf>
    <xf numFmtId="0" fontId="7" fillId="4" borderId="13" xfId="1" applyFont="1" applyFill="1" applyBorder="1" applyAlignment="1" applyProtection="1">
      <alignment horizontal="center" vertical="center" wrapText="1"/>
    </xf>
    <xf numFmtId="0" fontId="7" fillId="4" borderId="60" xfId="1" applyFont="1" applyFill="1" applyBorder="1" applyAlignment="1" applyProtection="1">
      <alignment horizontal="center" vertical="center" wrapText="1"/>
    </xf>
    <xf numFmtId="0" fontId="7" fillId="4" borderId="40" xfId="1" applyFont="1" applyFill="1" applyBorder="1" applyAlignment="1" applyProtection="1">
      <alignment horizontal="center" vertical="center" wrapText="1"/>
    </xf>
    <xf numFmtId="0" fontId="7" fillId="4" borderId="0" xfId="1" applyFont="1" applyFill="1" applyBorder="1" applyAlignment="1" applyProtection="1">
      <alignment horizontal="center" vertical="center" wrapText="1"/>
    </xf>
    <xf numFmtId="0" fontId="7" fillId="4" borderId="61" xfId="1" applyFont="1" applyFill="1" applyBorder="1" applyAlignment="1" applyProtection="1">
      <alignment horizontal="center" vertical="center" wrapText="1"/>
    </xf>
    <xf numFmtId="0" fontId="7" fillId="4" borderId="42" xfId="1" applyFont="1" applyFill="1" applyBorder="1" applyAlignment="1" applyProtection="1">
      <alignment horizontal="center" vertical="center" wrapText="1"/>
    </xf>
    <xf numFmtId="0" fontId="7" fillId="4" borderId="9" xfId="1" applyFont="1" applyFill="1" applyBorder="1" applyAlignment="1" applyProtection="1">
      <alignment horizontal="center" vertical="center" wrapText="1"/>
    </xf>
    <xf numFmtId="0" fontId="7" fillId="4" borderId="62" xfId="1" applyFont="1" applyFill="1" applyBorder="1" applyAlignment="1" applyProtection="1">
      <alignment horizontal="center" vertical="center" wrapText="1"/>
    </xf>
    <xf numFmtId="0" fontId="3" fillId="4" borderId="72" xfId="1" applyFont="1" applyFill="1" applyBorder="1" applyAlignment="1" applyProtection="1">
      <alignment horizontal="center" vertical="center" wrapText="1"/>
    </xf>
    <xf numFmtId="0" fontId="3" fillId="4" borderId="73" xfId="1" applyFont="1" applyFill="1" applyBorder="1" applyAlignment="1" applyProtection="1">
      <alignment horizontal="center" vertical="center" wrapText="1"/>
    </xf>
    <xf numFmtId="0" fontId="3" fillId="4" borderId="74" xfId="1" applyFont="1" applyFill="1" applyBorder="1" applyAlignment="1" applyProtection="1">
      <alignment horizontal="center" vertical="center" wrapText="1"/>
    </xf>
    <xf numFmtId="0" fontId="7" fillId="4" borderId="14" xfId="1" applyFont="1" applyFill="1" applyBorder="1" applyAlignment="1" applyProtection="1">
      <alignment horizontal="center" vertical="center" wrapText="1"/>
    </xf>
    <xf numFmtId="0" fontId="7" fillId="4" borderId="41" xfId="1" applyFont="1" applyFill="1" applyBorder="1" applyAlignment="1" applyProtection="1">
      <alignment horizontal="center" vertical="center" wrapText="1"/>
    </xf>
    <xf numFmtId="0" fontId="7" fillId="4" borderId="43" xfId="1" applyFont="1" applyFill="1" applyBorder="1" applyAlignment="1" applyProtection="1">
      <alignment horizontal="center" vertical="center" wrapText="1"/>
    </xf>
    <xf numFmtId="0" fontId="3" fillId="4" borderId="35" xfId="1" applyFont="1" applyFill="1" applyBorder="1" applyAlignment="1" applyProtection="1">
      <alignment horizontal="center" vertical="center" wrapText="1"/>
    </xf>
    <xf numFmtId="0" fontId="3" fillId="4" borderId="36" xfId="1" applyFont="1" applyFill="1" applyBorder="1" applyAlignment="1" applyProtection="1">
      <alignment horizontal="center" vertical="center" wrapText="1"/>
    </xf>
    <xf numFmtId="0" fontId="8" fillId="0" borderId="12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0" fontId="7" fillId="4" borderId="44" xfId="1" applyFont="1" applyFill="1" applyBorder="1" applyAlignment="1" applyProtection="1">
      <alignment horizontal="center" vertical="center" wrapText="1"/>
    </xf>
    <xf numFmtId="0" fontId="7" fillId="4" borderId="45" xfId="1" applyFont="1" applyFill="1" applyBorder="1" applyAlignment="1" applyProtection="1">
      <alignment horizontal="center" vertical="center" wrapText="1"/>
    </xf>
    <xf numFmtId="0" fontId="7" fillId="4" borderId="46" xfId="1" applyFont="1" applyFill="1" applyBorder="1" applyAlignment="1" applyProtection="1">
      <alignment horizontal="center" vertical="center" wrapText="1"/>
    </xf>
    <xf numFmtId="0" fontId="7" fillId="4" borderId="47" xfId="1" applyFont="1" applyFill="1" applyBorder="1" applyAlignment="1" applyProtection="1">
      <alignment horizontal="center" vertical="center" wrapText="1"/>
    </xf>
    <xf numFmtId="0" fontId="7" fillId="4" borderId="48" xfId="1" applyFont="1" applyFill="1" applyBorder="1" applyAlignment="1" applyProtection="1">
      <alignment horizontal="center" vertical="center" wrapText="1"/>
    </xf>
    <xf numFmtId="0" fontId="3" fillId="4" borderId="69" xfId="1" applyFont="1" applyFill="1" applyBorder="1" applyAlignment="1" applyProtection="1">
      <alignment horizontal="center" vertical="center" wrapText="1"/>
    </xf>
    <xf numFmtId="0" fontId="3" fillId="4" borderId="70" xfId="1" applyFont="1" applyFill="1" applyBorder="1" applyAlignment="1" applyProtection="1">
      <alignment horizontal="center" vertical="center" wrapText="1"/>
    </xf>
    <xf numFmtId="0" fontId="3" fillId="4" borderId="71" xfId="1" applyFont="1" applyFill="1" applyBorder="1" applyAlignment="1" applyProtection="1">
      <alignment horizontal="center" vertical="center" wrapText="1"/>
    </xf>
    <xf numFmtId="0" fontId="7" fillId="5" borderId="19" xfId="1" applyFont="1" applyFill="1" applyBorder="1" applyAlignment="1" applyProtection="1">
      <alignment horizontal="center" vertical="center" wrapText="1"/>
    </xf>
    <xf numFmtId="0" fontId="7" fillId="5" borderId="21" xfId="1" applyFont="1" applyFill="1" applyBorder="1" applyAlignment="1" applyProtection="1">
      <alignment horizontal="center" vertical="center" wrapText="1"/>
    </xf>
    <xf numFmtId="0" fontId="7" fillId="4" borderId="51" xfId="1" applyFont="1" applyFill="1" applyBorder="1" applyAlignment="1" applyProtection="1">
      <alignment horizontal="center" vertical="center" wrapText="1"/>
    </xf>
    <xf numFmtId="0" fontId="7" fillId="4" borderId="52" xfId="1" applyFont="1" applyFill="1" applyBorder="1" applyAlignment="1" applyProtection="1">
      <alignment horizontal="center" vertical="center" wrapText="1"/>
    </xf>
    <xf numFmtId="0" fontId="7" fillId="4" borderId="53" xfId="1" applyFont="1" applyFill="1" applyBorder="1" applyAlignment="1" applyProtection="1">
      <alignment horizontal="center" vertical="center" wrapTex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50</xdr:row>
      <xdr:rowOff>123825</xdr:rowOff>
    </xdr:from>
    <xdr:to>
      <xdr:col>12</xdr:col>
      <xdr:colOff>460725</xdr:colOff>
      <xdr:row>52</xdr:row>
      <xdr:rowOff>137431</xdr:rowOff>
    </xdr:to>
    <xdr:sp macro="" textlink="">
      <xdr:nvSpPr>
        <xdr:cNvPr id="2" name="U-Turn Arrow 29"/>
        <xdr:cNvSpPr/>
      </xdr:nvSpPr>
      <xdr:spPr>
        <a:xfrm flipH="1">
          <a:off x="7572375" y="10620375"/>
          <a:ext cx="2318100" cy="451756"/>
        </a:xfrm>
        <a:prstGeom prst="uturnArrow">
          <a:avLst>
            <a:gd name="adj1" fmla="val 29805"/>
            <a:gd name="adj2" fmla="val 25000"/>
            <a:gd name="adj3" fmla="val 33000"/>
            <a:gd name="adj4" fmla="val 67000"/>
            <a:gd name="adj5" fmla="val 100000"/>
          </a:avLst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38100</xdr:colOff>
      <xdr:row>64</xdr:row>
      <xdr:rowOff>142875</xdr:rowOff>
    </xdr:from>
    <xdr:to>
      <xdr:col>13</xdr:col>
      <xdr:colOff>247650</xdr:colOff>
      <xdr:row>65</xdr:row>
      <xdr:rowOff>142875</xdr:rowOff>
    </xdr:to>
    <xdr:sp macro="" textlink="">
      <xdr:nvSpPr>
        <xdr:cNvPr id="3" name="AutoShape 18"/>
        <xdr:cNvSpPr>
          <a:spLocks noChangeArrowheads="1"/>
        </xdr:cNvSpPr>
      </xdr:nvSpPr>
      <xdr:spPr bwMode="auto">
        <a:xfrm flipV="1">
          <a:off x="10163175" y="13620750"/>
          <a:ext cx="209550" cy="219075"/>
        </a:xfrm>
        <a:prstGeom prst="downArrow">
          <a:avLst>
            <a:gd name="adj1" fmla="val 50000"/>
            <a:gd name="adj2" fmla="val 26136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64</xdr:row>
      <xdr:rowOff>104775</xdr:rowOff>
    </xdr:from>
    <xdr:to>
      <xdr:col>8</xdr:col>
      <xdr:colOff>247650</xdr:colOff>
      <xdr:row>65</xdr:row>
      <xdr:rowOff>133350</xdr:rowOff>
    </xdr:to>
    <xdr:sp macro="" textlink="">
      <xdr:nvSpPr>
        <xdr:cNvPr id="4" name="AutoShape 28"/>
        <xdr:cNvSpPr>
          <a:spLocks noChangeArrowheads="1"/>
        </xdr:cNvSpPr>
      </xdr:nvSpPr>
      <xdr:spPr bwMode="auto">
        <a:xfrm>
          <a:off x="6696075" y="13582650"/>
          <a:ext cx="200025" cy="247650"/>
        </a:xfrm>
        <a:prstGeom prst="downArrow">
          <a:avLst>
            <a:gd name="adj1" fmla="val 50000"/>
            <a:gd name="adj2" fmla="val 30952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5" style="1" customWidth="1"/>
    <col min="2" max="2" width="50.625" style="1" customWidth="1"/>
    <col min="3" max="3" width="9.75" style="2" bestFit="1" customWidth="1"/>
    <col min="4" max="4" width="13" style="1" bestFit="1" customWidth="1"/>
  </cols>
  <sheetData>
    <row r="1" spans="1:4">
      <c r="A1" s="3" t="s">
        <v>0</v>
      </c>
      <c r="B1" s="3" t="s">
        <v>2</v>
      </c>
      <c r="C1" s="4" t="s">
        <v>3</v>
      </c>
      <c r="D1" s="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6"/>
  <sheetViews>
    <sheetView tabSelected="1" topLeftCell="B1" zoomScale="80" zoomScaleNormal="80" workbookViewId="0">
      <selection activeCell="B1" sqref="B1"/>
    </sheetView>
  </sheetViews>
  <sheetFormatPr defaultRowHeight="16.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2:21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2:21">
      <c r="B3" s="81" t="s">
        <v>6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</row>
    <row r="4" spans="2:21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</row>
    <row r="5" spans="2:2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2:21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2:21">
      <c r="B7" s="82" t="s">
        <v>7</v>
      </c>
      <c r="C7" s="82"/>
      <c r="D7" s="82"/>
      <c r="E7" s="83"/>
      <c r="F7" s="8"/>
      <c r="G7" s="85" t="s">
        <v>8</v>
      </c>
      <c r="H7" s="86"/>
      <c r="I7" s="86"/>
      <c r="J7" s="87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2:21">
      <c r="B8" s="82"/>
      <c r="C8" s="82"/>
      <c r="D8" s="82"/>
      <c r="E8" s="84"/>
      <c r="F8" s="8"/>
      <c r="G8" s="88"/>
      <c r="H8" s="89"/>
      <c r="I8" s="89"/>
      <c r="J8" s="90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2:21">
      <c r="B9" s="82" t="s">
        <v>9</v>
      </c>
      <c r="C9" s="82"/>
      <c r="D9" s="82"/>
      <c r="E9" s="95"/>
      <c r="F9" s="8"/>
      <c r="G9" s="96" t="s">
        <v>10</v>
      </c>
      <c r="H9" s="96" t="s">
        <v>11</v>
      </c>
      <c r="I9" s="91" t="s">
        <v>12</v>
      </c>
      <c r="J9" s="92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2:21">
      <c r="B10" s="82"/>
      <c r="C10" s="82"/>
      <c r="D10" s="82"/>
      <c r="E10" s="84"/>
      <c r="F10" s="8"/>
      <c r="G10" s="97"/>
      <c r="H10" s="97"/>
      <c r="I10" s="93"/>
      <c r="J10" s="94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2:21">
      <c r="B11" s="82" t="s">
        <v>13</v>
      </c>
      <c r="C11" s="82"/>
      <c r="D11" s="82"/>
      <c r="E11" s="95"/>
      <c r="F11" s="8"/>
      <c r="G11" s="96"/>
      <c r="H11" s="96"/>
      <c r="I11" s="91"/>
      <c r="J11" s="92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2:21">
      <c r="B12" s="82"/>
      <c r="C12" s="82"/>
      <c r="D12" s="82"/>
      <c r="E12" s="84"/>
      <c r="F12" s="8"/>
      <c r="G12" s="97"/>
      <c r="H12" s="97"/>
      <c r="I12" s="93"/>
      <c r="J12" s="94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2:21">
      <c r="B13" s="82" t="s">
        <v>14</v>
      </c>
      <c r="C13" s="82"/>
      <c r="D13" s="82"/>
      <c r="E13" s="98"/>
      <c r="F13" s="8"/>
      <c r="G13" s="96"/>
      <c r="H13" s="96"/>
      <c r="I13" s="91"/>
      <c r="J13" s="92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2:21">
      <c r="B14" s="82"/>
      <c r="C14" s="82"/>
      <c r="D14" s="82"/>
      <c r="E14" s="99"/>
      <c r="F14" s="8"/>
      <c r="G14" s="97"/>
      <c r="H14" s="97"/>
      <c r="I14" s="93"/>
      <c r="J14" s="94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2:21">
      <c r="B15" s="82" t="s">
        <v>15</v>
      </c>
      <c r="C15" s="82"/>
      <c r="D15" s="82"/>
      <c r="E15" s="95"/>
      <c r="F15" s="8"/>
      <c r="G15" s="96"/>
      <c r="H15" s="96"/>
      <c r="I15" s="91"/>
      <c r="J15" s="92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2:21">
      <c r="B16" s="82"/>
      <c r="C16" s="82"/>
      <c r="D16" s="82"/>
      <c r="E16" s="84"/>
      <c r="F16" s="8"/>
      <c r="G16" s="97"/>
      <c r="H16" s="97"/>
      <c r="I16" s="93"/>
      <c r="J16" s="9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>
      <c r="B17" s="82" t="s">
        <v>16</v>
      </c>
      <c r="C17" s="82"/>
      <c r="D17" s="82"/>
      <c r="E17" s="95"/>
      <c r="F17" s="8"/>
      <c r="G17" s="96"/>
      <c r="H17" s="96"/>
      <c r="I17" s="91"/>
      <c r="J17" s="92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2:21">
      <c r="B18" s="82"/>
      <c r="C18" s="82"/>
      <c r="D18" s="82"/>
      <c r="E18" s="84"/>
      <c r="F18" s="8"/>
      <c r="G18" s="97"/>
      <c r="H18" s="97"/>
      <c r="I18" s="93"/>
      <c r="J18" s="9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2:21">
      <c r="B19" s="82" t="s">
        <v>17</v>
      </c>
      <c r="C19" s="82"/>
      <c r="D19" s="82"/>
      <c r="E19" s="95"/>
      <c r="F19" s="8"/>
      <c r="G19" s="96"/>
      <c r="H19" s="96"/>
      <c r="I19" s="91"/>
      <c r="J19" s="92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2:21">
      <c r="B20" s="82"/>
      <c r="C20" s="82"/>
      <c r="D20" s="82"/>
      <c r="E20" s="84"/>
      <c r="F20" s="8"/>
      <c r="G20" s="97"/>
      <c r="H20" s="97"/>
      <c r="I20" s="93"/>
      <c r="J20" s="94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2:21">
      <c r="B21" s="100" t="s">
        <v>18</v>
      </c>
      <c r="C21" s="100"/>
      <c r="D21" s="100"/>
      <c r="E21" s="95"/>
      <c r="F21" s="8"/>
      <c r="G21" s="96"/>
      <c r="H21" s="96"/>
      <c r="I21" s="91"/>
      <c r="J21" s="92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2:21">
      <c r="B22" s="100"/>
      <c r="C22" s="100"/>
      <c r="D22" s="100"/>
      <c r="E22" s="84"/>
      <c r="F22" s="8"/>
      <c r="G22" s="97"/>
      <c r="H22" s="97"/>
      <c r="I22" s="93"/>
      <c r="J22" s="94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2:21">
      <c r="B23" s="100" t="s">
        <v>19</v>
      </c>
      <c r="C23" s="100"/>
      <c r="D23" s="100"/>
      <c r="E23" s="95"/>
      <c r="F23" s="8"/>
      <c r="G23" s="96"/>
      <c r="H23" s="96"/>
      <c r="I23" s="91"/>
      <c r="J23" s="92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2:21">
      <c r="B24" s="100"/>
      <c r="C24" s="100"/>
      <c r="D24" s="100"/>
      <c r="E24" s="84"/>
      <c r="F24" s="8"/>
      <c r="G24" s="97"/>
      <c r="H24" s="97"/>
      <c r="I24" s="93"/>
      <c r="J24" s="94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2:21">
      <c r="B25" s="100" t="s">
        <v>20</v>
      </c>
      <c r="C25" s="100"/>
      <c r="D25" s="100"/>
      <c r="E25" s="95"/>
      <c r="F25" s="8"/>
      <c r="G25" s="96"/>
      <c r="H25" s="96"/>
      <c r="I25" s="91"/>
      <c r="J25" s="92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2:21">
      <c r="B26" s="100"/>
      <c r="C26" s="100"/>
      <c r="D26" s="100"/>
      <c r="E26" s="84"/>
      <c r="F26" s="8"/>
      <c r="G26" s="97"/>
      <c r="H26" s="97"/>
      <c r="I26" s="93"/>
      <c r="J26" s="94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2:21">
      <c r="B27" s="100" t="s">
        <v>21</v>
      </c>
      <c r="C27" s="100"/>
      <c r="D27" s="100"/>
      <c r="E27" s="101"/>
      <c r="F27" s="8"/>
      <c r="G27" s="96"/>
      <c r="H27" s="96"/>
      <c r="I27" s="91"/>
      <c r="J27" s="9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>
      <c r="B28" s="100"/>
      <c r="C28" s="100"/>
      <c r="D28" s="100"/>
      <c r="E28" s="102"/>
      <c r="F28" s="8"/>
      <c r="G28" s="97"/>
      <c r="H28" s="97"/>
      <c r="I28" s="93"/>
      <c r="J28" s="94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>
      <c r="B29" s="100" t="s">
        <v>22</v>
      </c>
      <c r="C29" s="100"/>
      <c r="D29" s="100"/>
      <c r="E29" s="101"/>
      <c r="F29" s="8"/>
      <c r="G29" s="96"/>
      <c r="H29" s="96"/>
      <c r="I29" s="91"/>
      <c r="J29" s="9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>
      <c r="B30" s="100"/>
      <c r="C30" s="100"/>
      <c r="D30" s="100"/>
      <c r="E30" s="102"/>
      <c r="F30" s="8"/>
      <c r="G30" s="97"/>
      <c r="H30" s="97"/>
      <c r="I30" s="93"/>
      <c r="J30" s="94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>
      <c r="B31" s="100" t="s">
        <v>23</v>
      </c>
      <c r="C31" s="100"/>
      <c r="D31" s="100"/>
      <c r="E31" s="95"/>
      <c r="F31" s="8"/>
      <c r="G31" s="96"/>
      <c r="H31" s="96"/>
      <c r="I31" s="91"/>
      <c r="J31" s="9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>
      <c r="B32" s="100"/>
      <c r="C32" s="100"/>
      <c r="D32" s="100"/>
      <c r="E32" s="84"/>
      <c r="F32" s="8"/>
      <c r="G32" s="97"/>
      <c r="H32" s="97"/>
      <c r="I32" s="93"/>
      <c r="J32" s="94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>
      <c r="A33" s="5"/>
      <c r="B33" s="100" t="s">
        <v>24</v>
      </c>
      <c r="C33" s="100"/>
      <c r="D33" s="100"/>
      <c r="E33" s="95"/>
      <c r="F33" s="8"/>
      <c r="G33" s="96"/>
      <c r="H33" s="96"/>
      <c r="I33" s="91"/>
      <c r="J33" s="92"/>
      <c r="K33" s="6"/>
      <c r="L33" s="6"/>
      <c r="M33" s="105" t="s">
        <v>25</v>
      </c>
      <c r="N33" s="105"/>
      <c r="O33" s="105"/>
      <c r="P33" s="83"/>
      <c r="Q33" s="83"/>
      <c r="R33" s="6"/>
      <c r="S33" s="6"/>
      <c r="T33" s="6"/>
      <c r="U33" s="6"/>
    </row>
    <row r="34" spans="1:21">
      <c r="A34" s="5"/>
      <c r="B34" s="100"/>
      <c r="C34" s="100"/>
      <c r="D34" s="100"/>
      <c r="E34" s="84"/>
      <c r="F34" s="8"/>
      <c r="G34" s="97"/>
      <c r="H34" s="97"/>
      <c r="I34" s="93"/>
      <c r="J34" s="94"/>
      <c r="K34" s="6"/>
      <c r="L34" s="6"/>
      <c r="M34" s="105"/>
      <c r="N34" s="105"/>
      <c r="O34" s="105"/>
      <c r="P34" s="84"/>
      <c r="Q34" s="84"/>
      <c r="R34" s="6"/>
      <c r="S34" s="6"/>
      <c r="T34" s="6"/>
      <c r="U34" s="6"/>
    </row>
    <row r="35" spans="1:21">
      <c r="A35" s="5"/>
      <c r="B35" s="100" t="s">
        <v>26</v>
      </c>
      <c r="C35" s="100"/>
      <c r="D35" s="100"/>
      <c r="E35" s="103"/>
      <c r="F35" s="8"/>
      <c r="G35" s="96"/>
      <c r="H35" s="96"/>
      <c r="I35" s="91"/>
      <c r="J35" s="9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>
      <c r="A36" s="5"/>
      <c r="B36" s="100"/>
      <c r="C36" s="100"/>
      <c r="D36" s="100"/>
      <c r="E36" s="104"/>
      <c r="F36" s="8"/>
      <c r="G36" s="97"/>
      <c r="H36" s="97"/>
      <c r="I36" s="93"/>
      <c r="J36" s="94"/>
      <c r="K36" s="6"/>
      <c r="L36" s="6"/>
      <c r="M36" s="105" t="s">
        <v>27</v>
      </c>
      <c r="N36" s="105"/>
      <c r="O36" s="105"/>
      <c r="P36" s="106"/>
      <c r="Q36" s="83"/>
      <c r="R36" s="6"/>
      <c r="S36" s="6"/>
      <c r="T36" s="6"/>
      <c r="U36" s="6"/>
    </row>
    <row r="37" spans="1:21">
      <c r="A37" s="5"/>
      <c r="B37" s="100" t="s">
        <v>28</v>
      </c>
      <c r="C37" s="100"/>
      <c r="D37" s="100"/>
      <c r="E37" s="107"/>
      <c r="F37" s="8"/>
      <c r="G37" s="96"/>
      <c r="H37" s="96"/>
      <c r="I37" s="91"/>
      <c r="J37" s="92"/>
      <c r="K37" s="6"/>
      <c r="L37" s="6"/>
      <c r="M37" s="105"/>
      <c r="N37" s="105"/>
      <c r="O37" s="105"/>
      <c r="P37" s="84"/>
      <c r="Q37" s="84"/>
      <c r="R37" s="9"/>
      <c r="S37" s="6"/>
      <c r="T37" s="9"/>
      <c r="U37" s="9"/>
    </row>
    <row r="38" spans="1:21">
      <c r="A38" s="5"/>
      <c r="B38" s="100"/>
      <c r="C38" s="100"/>
      <c r="D38" s="100"/>
      <c r="E38" s="108"/>
      <c r="F38" s="8"/>
      <c r="G38" s="97"/>
      <c r="H38" s="97"/>
      <c r="I38" s="93"/>
      <c r="J38" s="94"/>
      <c r="K38" s="6"/>
      <c r="L38" s="6"/>
      <c r="M38" s="35"/>
      <c r="N38" s="35"/>
      <c r="O38" s="35"/>
      <c r="P38" s="36"/>
      <c r="Q38" s="36"/>
      <c r="R38" s="9"/>
      <c r="S38" s="6"/>
      <c r="T38" s="9"/>
      <c r="U38" s="9"/>
    </row>
    <row r="39" spans="1:21">
      <c r="A39" s="5"/>
      <c r="B39" s="100" t="s">
        <v>29</v>
      </c>
      <c r="C39" s="100"/>
      <c r="D39" s="100"/>
      <c r="E39" s="107"/>
      <c r="F39" s="8"/>
      <c r="G39" s="96"/>
      <c r="H39" s="96"/>
      <c r="I39" s="91"/>
      <c r="J39" s="92"/>
      <c r="K39" s="6"/>
      <c r="L39" s="6"/>
      <c r="M39" s="105" t="s">
        <v>30</v>
      </c>
      <c r="N39" s="105"/>
      <c r="O39" s="105"/>
      <c r="P39" s="83"/>
      <c r="Q39" s="83"/>
      <c r="R39" s="9"/>
      <c r="S39" s="6"/>
      <c r="T39" s="6"/>
      <c r="U39" s="6"/>
    </row>
    <row r="40" spans="1:21">
      <c r="A40" s="5"/>
      <c r="B40" s="100"/>
      <c r="C40" s="100"/>
      <c r="D40" s="100"/>
      <c r="E40" s="108"/>
      <c r="F40" s="8"/>
      <c r="G40" s="97"/>
      <c r="H40" s="97"/>
      <c r="I40" s="93"/>
      <c r="J40" s="94"/>
      <c r="K40" s="6"/>
      <c r="L40" s="6"/>
      <c r="M40" s="105"/>
      <c r="N40" s="105"/>
      <c r="O40" s="105"/>
      <c r="P40" s="84"/>
      <c r="Q40" s="84"/>
      <c r="R40" s="9"/>
      <c r="S40" s="6"/>
      <c r="T40" s="6"/>
      <c r="U40" s="6"/>
    </row>
    <row r="41" spans="1:21">
      <c r="A41" s="5"/>
      <c r="B41" s="100" t="s">
        <v>31</v>
      </c>
      <c r="C41" s="100"/>
      <c r="D41" s="100"/>
      <c r="E41" s="107"/>
      <c r="F41" s="8"/>
      <c r="G41" s="96"/>
      <c r="H41" s="96"/>
      <c r="I41" s="91"/>
      <c r="J41" s="92"/>
      <c r="K41" s="6"/>
      <c r="L41" s="6"/>
      <c r="M41" s="35"/>
      <c r="N41" s="35"/>
      <c r="O41" s="35"/>
      <c r="P41" s="36"/>
      <c r="Q41" s="36"/>
      <c r="R41" s="6"/>
      <c r="S41" s="6"/>
      <c r="T41" s="6"/>
      <c r="U41" s="6"/>
    </row>
    <row r="42" spans="1:21">
      <c r="A42" s="5"/>
      <c r="B42" s="100"/>
      <c r="C42" s="100"/>
      <c r="D42" s="100"/>
      <c r="E42" s="108"/>
      <c r="F42" s="8"/>
      <c r="G42" s="97"/>
      <c r="H42" s="97"/>
      <c r="I42" s="93"/>
      <c r="J42" s="94"/>
      <c r="K42" s="6"/>
      <c r="L42" s="6"/>
      <c r="M42" s="105" t="s">
        <v>32</v>
      </c>
      <c r="N42" s="105"/>
      <c r="O42" s="105"/>
      <c r="P42" s="83"/>
      <c r="Q42" s="83"/>
      <c r="R42" s="6"/>
      <c r="S42" s="6"/>
      <c r="T42" s="6"/>
      <c r="U42" s="6"/>
    </row>
    <row r="43" spans="1:21">
      <c r="A43" s="5"/>
      <c r="B43" s="100" t="s">
        <v>33</v>
      </c>
      <c r="C43" s="100"/>
      <c r="D43" s="100"/>
      <c r="E43" s="150"/>
      <c r="F43" s="8"/>
      <c r="G43" s="152" t="s">
        <v>34</v>
      </c>
      <c r="H43" s="152">
        <f>SUM(H11:H42)</f>
        <v>0</v>
      </c>
      <c r="I43" s="91"/>
      <c r="J43" s="92"/>
      <c r="K43" s="6"/>
      <c r="L43" s="6"/>
      <c r="M43" s="105"/>
      <c r="N43" s="105"/>
      <c r="O43" s="105"/>
      <c r="P43" s="84"/>
      <c r="Q43" s="84"/>
      <c r="R43" s="6"/>
      <c r="S43" s="6"/>
      <c r="T43" s="6"/>
      <c r="U43" s="6"/>
    </row>
    <row r="44" spans="1:21">
      <c r="A44" s="5"/>
      <c r="B44" s="100"/>
      <c r="C44" s="100"/>
      <c r="D44" s="100"/>
      <c r="E44" s="151"/>
      <c r="F44" s="8"/>
      <c r="G44" s="153"/>
      <c r="H44" s="153"/>
      <c r="I44" s="93"/>
      <c r="J44" s="94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>
      <c r="A45" s="5"/>
      <c r="B45" s="11"/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ht="17.25" thickBo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>
      <c r="A47" s="9"/>
      <c r="B47" s="113" t="s">
        <v>35</v>
      </c>
      <c r="C47" s="115" t="s">
        <v>1</v>
      </c>
      <c r="D47" s="116"/>
      <c r="E47" s="116"/>
      <c r="F47" s="116"/>
      <c r="G47" s="117"/>
      <c r="H47" s="124" t="s">
        <v>36</v>
      </c>
      <c r="I47" s="115" t="s">
        <v>4</v>
      </c>
      <c r="J47" s="127"/>
      <c r="K47" s="12"/>
      <c r="L47" s="13"/>
      <c r="M47" s="136" t="s">
        <v>4</v>
      </c>
      <c r="N47" s="137"/>
      <c r="O47" s="142" t="s">
        <v>36</v>
      </c>
      <c r="P47" s="147" t="s">
        <v>1</v>
      </c>
      <c r="Q47" s="116"/>
      <c r="R47" s="116"/>
      <c r="S47" s="116"/>
      <c r="T47" s="137"/>
      <c r="U47" s="109" t="s">
        <v>35</v>
      </c>
    </row>
    <row r="48" spans="1:21">
      <c r="A48" s="9"/>
      <c r="B48" s="114"/>
      <c r="C48" s="118"/>
      <c r="D48" s="119"/>
      <c r="E48" s="119"/>
      <c r="F48" s="119"/>
      <c r="G48" s="120"/>
      <c r="H48" s="125"/>
      <c r="I48" s="118"/>
      <c r="J48" s="128"/>
      <c r="K48" s="12"/>
      <c r="L48" s="13"/>
      <c r="M48" s="138"/>
      <c r="N48" s="139"/>
      <c r="O48" s="143"/>
      <c r="P48" s="148"/>
      <c r="Q48" s="119"/>
      <c r="R48" s="119"/>
      <c r="S48" s="119"/>
      <c r="T48" s="139"/>
      <c r="U48" s="110"/>
    </row>
    <row r="49" spans="1:21">
      <c r="A49" s="9"/>
      <c r="B49" s="130" t="s">
        <v>37</v>
      </c>
      <c r="C49" s="118"/>
      <c r="D49" s="119"/>
      <c r="E49" s="119"/>
      <c r="F49" s="119"/>
      <c r="G49" s="120"/>
      <c r="H49" s="125"/>
      <c r="I49" s="118"/>
      <c r="J49" s="128"/>
      <c r="K49" s="12"/>
      <c r="L49" s="13"/>
      <c r="M49" s="138"/>
      <c r="N49" s="139"/>
      <c r="O49" s="143"/>
      <c r="P49" s="148"/>
      <c r="Q49" s="119"/>
      <c r="R49" s="119"/>
      <c r="S49" s="119"/>
      <c r="T49" s="139"/>
      <c r="U49" s="111" t="s">
        <v>37</v>
      </c>
    </row>
    <row r="50" spans="1:21" ht="17.25" thickBot="1">
      <c r="A50" s="14"/>
      <c r="B50" s="131"/>
      <c r="C50" s="121"/>
      <c r="D50" s="122"/>
      <c r="E50" s="122"/>
      <c r="F50" s="122"/>
      <c r="G50" s="123"/>
      <c r="H50" s="126"/>
      <c r="I50" s="121"/>
      <c r="J50" s="129"/>
      <c r="K50" s="12"/>
      <c r="L50" s="13"/>
      <c r="M50" s="140"/>
      <c r="N50" s="141"/>
      <c r="O50" s="144"/>
      <c r="P50" s="149"/>
      <c r="Q50" s="122"/>
      <c r="R50" s="122"/>
      <c r="S50" s="122"/>
      <c r="T50" s="141"/>
      <c r="U50" s="112"/>
    </row>
    <row r="51" spans="1:21" ht="17.25" thickBot="1">
      <c r="A51" s="15"/>
      <c r="B51" s="9"/>
      <c r="C51" s="9"/>
      <c r="D51" s="6"/>
      <c r="E51" s="9"/>
      <c r="F51" s="9"/>
      <c r="G51" s="9"/>
      <c r="H51" s="9"/>
      <c r="I51" s="6"/>
      <c r="J51" s="6"/>
      <c r="K51" s="9"/>
      <c r="L51" s="6"/>
      <c r="M51" s="9"/>
      <c r="N51" s="9"/>
      <c r="O51" s="9"/>
      <c r="P51" s="9"/>
      <c r="Q51" s="9"/>
      <c r="R51" s="9"/>
      <c r="S51" s="6"/>
      <c r="T51" s="9"/>
      <c r="U51" s="9"/>
    </row>
    <row r="52" spans="1:21" ht="17.25" thickBot="1">
      <c r="A52" s="9"/>
      <c r="B52" s="9"/>
      <c r="C52" s="145"/>
      <c r="D52" s="132"/>
      <c r="E52" s="52"/>
      <c r="F52" s="52"/>
      <c r="G52" s="133"/>
      <c r="H52" s="12"/>
      <c r="I52" s="12"/>
      <c r="J52" s="12"/>
      <c r="K52" s="12"/>
      <c r="L52" s="8"/>
      <c r="M52" s="12"/>
      <c r="N52" s="12"/>
      <c r="O52" s="12"/>
      <c r="P52" s="51"/>
      <c r="Q52" s="52"/>
      <c r="R52" s="52"/>
      <c r="S52" s="53"/>
      <c r="T52" s="61"/>
      <c r="U52" s="9"/>
    </row>
    <row r="53" spans="1:21" ht="17.25" thickBot="1">
      <c r="A53" s="9"/>
      <c r="B53" s="16" t="s">
        <v>38</v>
      </c>
      <c r="C53" s="146"/>
      <c r="D53" s="134"/>
      <c r="E53" s="55"/>
      <c r="F53" s="55"/>
      <c r="G53" s="135"/>
      <c r="H53" s="14"/>
      <c r="I53" s="6"/>
      <c r="J53" s="14"/>
      <c r="K53" s="9"/>
      <c r="L53" s="11"/>
      <c r="M53" s="11"/>
      <c r="N53" s="11"/>
      <c r="O53" s="11"/>
      <c r="P53" s="54"/>
      <c r="Q53" s="55"/>
      <c r="R53" s="55"/>
      <c r="S53" s="56"/>
      <c r="T53" s="62"/>
      <c r="U53" s="17" t="s">
        <v>38</v>
      </c>
    </row>
    <row r="54" spans="1:21">
      <c r="A54" s="18"/>
      <c r="B54" s="63"/>
      <c r="C54" s="27"/>
      <c r="D54" s="34"/>
      <c r="E54" s="40" t="str">
        <f>IF(ISNA(VLOOKUP(D54,Operation!$A:$B,2,0)),"",VLOOKUP(D54,Operation!$A:$B,2,0))</f>
        <v/>
      </c>
      <c r="F54" s="40"/>
      <c r="G54" s="41"/>
      <c r="H54" s="66"/>
      <c r="I54" s="69"/>
      <c r="J54" s="71"/>
      <c r="K54" s="19"/>
      <c r="L54" s="20"/>
      <c r="M54" s="74"/>
      <c r="N54" s="69"/>
      <c r="O54" s="66"/>
      <c r="P54" s="50" t="str">
        <f>IF(ISNA(VLOOKUP(S54,Operation!$A:$B,2,0)),"",VLOOKUP(S54,Operation!$A:$B,2,0))</f>
        <v/>
      </c>
      <c r="Q54" s="40"/>
      <c r="R54" s="40"/>
      <c r="S54" s="34"/>
      <c r="T54" s="28"/>
      <c r="U54" s="37"/>
    </row>
    <row r="55" spans="1:21">
      <c r="A55" s="18"/>
      <c r="B55" s="64"/>
      <c r="C55" s="29"/>
      <c r="D55" s="20"/>
      <c r="E55" s="40" t="str">
        <f>IF(ISNA(VLOOKUP(D55,Operation!$A:$B,2,0)),"",VLOOKUP(D55,Operation!$A:$B,2,0))</f>
        <v/>
      </c>
      <c r="F55" s="40"/>
      <c r="G55" s="41"/>
      <c r="H55" s="67"/>
      <c r="I55" s="48"/>
      <c r="J55" s="72"/>
      <c r="K55" s="19"/>
      <c r="L55" s="20"/>
      <c r="M55" s="45"/>
      <c r="N55" s="48"/>
      <c r="O55" s="67"/>
      <c r="P55" s="50" t="str">
        <f>IF(ISNA(VLOOKUP(S55,Operation!$A:$B,2,0)),"",VLOOKUP(S55,Operation!$A:$B,2,0))</f>
        <v/>
      </c>
      <c r="Q55" s="40"/>
      <c r="R55" s="40"/>
      <c r="S55" s="20"/>
      <c r="T55" s="30"/>
      <c r="U55" s="38"/>
    </row>
    <row r="56" spans="1:21">
      <c r="A56" s="18"/>
      <c r="B56" s="64"/>
      <c r="C56" s="29"/>
      <c r="D56" s="20"/>
      <c r="E56" s="40" t="str">
        <f>IF(ISNA(VLOOKUP(D56,Operation!$A:$B,2,0)),"",VLOOKUP(D56,Operation!$A:$B,2,0))</f>
        <v/>
      </c>
      <c r="F56" s="40"/>
      <c r="G56" s="41"/>
      <c r="H56" s="67"/>
      <c r="I56" s="48"/>
      <c r="J56" s="72"/>
      <c r="K56" s="19"/>
      <c r="L56" s="20"/>
      <c r="M56" s="45"/>
      <c r="N56" s="48"/>
      <c r="O56" s="67"/>
      <c r="P56" s="50" t="str">
        <f>IF(ISNA(VLOOKUP(S56,Operation!$A:$B,2,0)),"",VLOOKUP(S56,Operation!$A:$B,2,0))</f>
        <v/>
      </c>
      <c r="Q56" s="40"/>
      <c r="R56" s="40"/>
      <c r="S56" s="20"/>
      <c r="T56" s="30"/>
      <c r="U56" s="38"/>
    </row>
    <row r="57" spans="1:21">
      <c r="A57" s="18"/>
      <c r="B57" s="64"/>
      <c r="C57" s="29"/>
      <c r="D57" s="20"/>
      <c r="E57" s="40" t="str">
        <f>IF(ISNA(VLOOKUP(D57,Operation!$A:$B,2,0)),"",VLOOKUP(D57,Operation!$A:$B,2,0))</f>
        <v/>
      </c>
      <c r="F57" s="40"/>
      <c r="G57" s="41"/>
      <c r="H57" s="67"/>
      <c r="I57" s="48"/>
      <c r="J57" s="72"/>
      <c r="K57" s="19"/>
      <c r="L57" s="20"/>
      <c r="M57" s="45"/>
      <c r="N57" s="48"/>
      <c r="O57" s="67"/>
      <c r="P57" s="50" t="str">
        <f>IF(ISNA(VLOOKUP(S57,Operation!$A:$B,2,0)),"",VLOOKUP(S57,Operation!$A:$B,2,0))</f>
        <v/>
      </c>
      <c r="Q57" s="40"/>
      <c r="R57" s="40"/>
      <c r="S57" s="20"/>
      <c r="T57" s="30"/>
      <c r="U57" s="38"/>
    </row>
    <row r="58" spans="1:21">
      <c r="A58" s="8"/>
      <c r="B58" s="65"/>
      <c r="C58" s="29"/>
      <c r="D58" s="20"/>
      <c r="E58" s="40" t="str">
        <f>IF(ISNA(VLOOKUP(D58,Operation!$A:$B,2,0)),"",VLOOKUP(D58,Operation!$A:$B,2,0))</f>
        <v/>
      </c>
      <c r="F58" s="40"/>
      <c r="G58" s="41"/>
      <c r="H58" s="67"/>
      <c r="I58" s="70"/>
      <c r="J58" s="73"/>
      <c r="K58" s="19"/>
      <c r="L58" s="20"/>
      <c r="M58" s="75"/>
      <c r="N58" s="70"/>
      <c r="O58" s="67"/>
      <c r="P58" s="50" t="str">
        <f>IF(ISNA(VLOOKUP(S58,Operation!$A:$B,2,0)),"",VLOOKUP(S58,Operation!$A:$B,2,0))</f>
        <v/>
      </c>
      <c r="Q58" s="40"/>
      <c r="R58" s="40"/>
      <c r="S58" s="20"/>
      <c r="T58" s="30"/>
      <c r="U58" s="39"/>
    </row>
    <row r="59" spans="1:21">
      <c r="A59" s="18"/>
      <c r="B59" s="76"/>
      <c r="C59" s="29"/>
      <c r="D59" s="20"/>
      <c r="E59" s="40" t="str">
        <f>IF(ISNA(VLOOKUP(D59,Operation!$A:$B,2,0)),"",VLOOKUP(D59,Operation!$A:$B,2,0))</f>
        <v/>
      </c>
      <c r="F59" s="40"/>
      <c r="G59" s="41"/>
      <c r="H59" s="67"/>
      <c r="I59" s="47"/>
      <c r="J59" s="79"/>
      <c r="K59" s="19"/>
      <c r="L59" s="20"/>
      <c r="M59" s="44"/>
      <c r="N59" s="47"/>
      <c r="O59" s="67"/>
      <c r="P59" s="50" t="str">
        <f>IF(ISNA(VLOOKUP(S59,Operation!$A:$B,2,0)),"",VLOOKUP(S59,Operation!$A:$B,2,0))</f>
        <v/>
      </c>
      <c r="Q59" s="40"/>
      <c r="R59" s="40"/>
      <c r="S59" s="20"/>
      <c r="T59" s="30"/>
      <c r="U59" s="57"/>
    </row>
    <row r="60" spans="1:21">
      <c r="A60" s="18"/>
      <c r="B60" s="77"/>
      <c r="C60" s="29"/>
      <c r="D60" s="20"/>
      <c r="E60" s="40" t="str">
        <f>IF(ISNA(VLOOKUP(D60,Operation!$A:$B,2,0)),"",VLOOKUP(D60,Operation!$A:$B,2,0))</f>
        <v/>
      </c>
      <c r="F60" s="40"/>
      <c r="G60" s="41"/>
      <c r="H60" s="67"/>
      <c r="I60" s="48"/>
      <c r="J60" s="72"/>
      <c r="K60" s="19"/>
      <c r="L60" s="20"/>
      <c r="M60" s="45"/>
      <c r="N60" s="48"/>
      <c r="O60" s="67"/>
      <c r="P60" s="50" t="str">
        <f>IF(ISNA(VLOOKUP(S60,Operation!$A:$B,2,0)),"",VLOOKUP(S60,Operation!$A:$B,2,0))</f>
        <v/>
      </c>
      <c r="Q60" s="40"/>
      <c r="R60" s="40"/>
      <c r="S60" s="20"/>
      <c r="T60" s="30"/>
      <c r="U60" s="58"/>
    </row>
    <row r="61" spans="1:21">
      <c r="A61" s="18"/>
      <c r="B61" s="77"/>
      <c r="C61" s="29"/>
      <c r="D61" s="20"/>
      <c r="E61" s="40" t="str">
        <f>IF(ISNA(VLOOKUP(D61,Operation!$A:$B,2,0)),"",VLOOKUP(D61,Operation!$A:$B,2,0))</f>
        <v/>
      </c>
      <c r="F61" s="40"/>
      <c r="G61" s="41"/>
      <c r="H61" s="67"/>
      <c r="I61" s="48"/>
      <c r="J61" s="72"/>
      <c r="K61" s="19"/>
      <c r="L61" s="20"/>
      <c r="M61" s="45"/>
      <c r="N61" s="48"/>
      <c r="O61" s="67"/>
      <c r="P61" s="50" t="str">
        <f>IF(ISNA(VLOOKUP(S61,Operation!$A:$B,2,0)),"",VLOOKUP(S61,Operation!$A:$B,2,0))</f>
        <v/>
      </c>
      <c r="Q61" s="40"/>
      <c r="R61" s="40"/>
      <c r="S61" s="20"/>
      <c r="T61" s="30"/>
      <c r="U61" s="58"/>
    </row>
    <row r="62" spans="1:21">
      <c r="A62" s="18"/>
      <c r="B62" s="77"/>
      <c r="C62" s="29"/>
      <c r="D62" s="20"/>
      <c r="E62" s="40" t="str">
        <f>IF(ISNA(VLOOKUP(D62,Operation!$A:$B,2,0)),"",VLOOKUP(D62,Operation!$A:$B,2,0))</f>
        <v/>
      </c>
      <c r="F62" s="40"/>
      <c r="G62" s="41"/>
      <c r="H62" s="67"/>
      <c r="I62" s="48"/>
      <c r="J62" s="72"/>
      <c r="K62" s="19"/>
      <c r="L62" s="20"/>
      <c r="M62" s="45"/>
      <c r="N62" s="48"/>
      <c r="O62" s="67"/>
      <c r="P62" s="50" t="str">
        <f>IF(ISNA(VLOOKUP(S62,Operation!$A:$B,2,0)),"",VLOOKUP(S62,Operation!$A:$B,2,0))</f>
        <v/>
      </c>
      <c r="Q62" s="40"/>
      <c r="R62" s="40"/>
      <c r="S62" s="20"/>
      <c r="T62" s="30"/>
      <c r="U62" s="58"/>
    </row>
    <row r="63" spans="1:21" ht="17.25" thickBot="1">
      <c r="A63" s="8"/>
      <c r="B63" s="78"/>
      <c r="C63" s="31"/>
      <c r="D63" s="33"/>
      <c r="E63" s="42" t="str">
        <f>IF(ISNA(VLOOKUP(D63,Operation!$A:$B,2,0)),"",VLOOKUP(D63,Operation!$A:$B,2,0))</f>
        <v/>
      </c>
      <c r="F63" s="42"/>
      <c r="G63" s="43"/>
      <c r="H63" s="68"/>
      <c r="I63" s="49"/>
      <c r="J63" s="80"/>
      <c r="K63" s="21"/>
      <c r="L63" s="20"/>
      <c r="M63" s="46"/>
      <c r="N63" s="49"/>
      <c r="O63" s="68"/>
      <c r="P63" s="60" t="str">
        <f>IF(ISNA(VLOOKUP(S63,Operation!$A:$B,2,0)),"",VLOOKUP(S63,Operation!$A:$B,2,0))</f>
        <v/>
      </c>
      <c r="Q63" s="42"/>
      <c r="R63" s="42"/>
      <c r="S63" s="33"/>
      <c r="T63" s="32"/>
      <c r="U63" s="59"/>
    </row>
    <row r="64" spans="1:21" ht="17.25" thickBot="1">
      <c r="A64" s="22"/>
      <c r="B64" s="9"/>
      <c r="C64" s="10"/>
      <c r="D64" s="7"/>
      <c r="E64" s="10"/>
      <c r="F64" s="10"/>
      <c r="G64" s="10"/>
      <c r="H64" s="10"/>
      <c r="I64" s="7"/>
      <c r="J64" s="7"/>
      <c r="K64" s="10"/>
      <c r="L64" s="7"/>
      <c r="M64" s="10"/>
      <c r="N64" s="10"/>
      <c r="O64" s="10"/>
      <c r="P64" s="10"/>
      <c r="Q64" s="10"/>
      <c r="R64" s="10"/>
      <c r="S64" s="7"/>
      <c r="T64" s="10"/>
      <c r="U64" s="9"/>
    </row>
    <row r="65" spans="1:21" ht="17.25" thickBot="1">
      <c r="A65" s="22"/>
      <c r="B65" s="9"/>
      <c r="C65" s="145"/>
      <c r="D65" s="132"/>
      <c r="E65" s="52"/>
      <c r="F65" s="52"/>
      <c r="G65" s="133"/>
      <c r="H65" s="23"/>
      <c r="I65" s="23"/>
      <c r="J65" s="23"/>
      <c r="K65" s="10"/>
      <c r="L65" s="7"/>
      <c r="M65" s="23"/>
      <c r="N65" s="23"/>
      <c r="O65" s="23"/>
      <c r="P65" s="51"/>
      <c r="Q65" s="52"/>
      <c r="R65" s="52"/>
      <c r="S65" s="53"/>
      <c r="T65" s="61"/>
      <c r="U65" s="9"/>
    </row>
    <row r="66" spans="1:21" ht="17.25" thickBot="1">
      <c r="A66" s="22"/>
      <c r="B66" s="16" t="s">
        <v>38</v>
      </c>
      <c r="C66" s="146"/>
      <c r="D66" s="134"/>
      <c r="E66" s="55"/>
      <c r="F66" s="55"/>
      <c r="G66" s="135"/>
      <c r="H66" s="24"/>
      <c r="I66" s="7"/>
      <c r="J66" s="24"/>
      <c r="K66" s="10"/>
      <c r="L66" s="25"/>
      <c r="M66" s="26"/>
      <c r="N66" s="26"/>
      <c r="O66" s="26"/>
      <c r="P66" s="54"/>
      <c r="Q66" s="55"/>
      <c r="R66" s="55"/>
      <c r="S66" s="56"/>
      <c r="T66" s="62"/>
      <c r="U66" s="17" t="s">
        <v>38</v>
      </c>
    </row>
    <row r="67" spans="1:21">
      <c r="A67" s="22"/>
      <c r="B67" s="63"/>
      <c r="C67" s="27"/>
      <c r="D67" s="34"/>
      <c r="E67" s="40" t="str">
        <f>IF(ISNA(VLOOKUP(D67,Operation!$A:$B,2,0)),"",VLOOKUP(D67,Operation!$A:$B,2,0))</f>
        <v/>
      </c>
      <c r="F67" s="40"/>
      <c r="G67" s="41"/>
      <c r="H67" s="66"/>
      <c r="I67" s="69"/>
      <c r="J67" s="71"/>
      <c r="K67" s="19"/>
      <c r="L67" s="20"/>
      <c r="M67" s="74"/>
      <c r="N67" s="69"/>
      <c r="O67" s="66"/>
      <c r="P67" s="50" t="str">
        <f>IF(ISNA(VLOOKUP(S67,Operation!$A:$B,2,0)),"",VLOOKUP(S67,Operation!$A:$B,2,0))</f>
        <v/>
      </c>
      <c r="Q67" s="40"/>
      <c r="R67" s="40"/>
      <c r="S67" s="34"/>
      <c r="T67" s="28"/>
      <c r="U67" s="37"/>
    </row>
    <row r="68" spans="1:21">
      <c r="A68" s="22"/>
      <c r="B68" s="64"/>
      <c r="C68" s="29"/>
      <c r="D68" s="20"/>
      <c r="E68" s="40" t="str">
        <f>IF(ISNA(VLOOKUP(D68,Operation!$A:$B,2,0)),"",VLOOKUP(D68,Operation!$A:$B,2,0))</f>
        <v/>
      </c>
      <c r="F68" s="40"/>
      <c r="G68" s="41"/>
      <c r="H68" s="67"/>
      <c r="I68" s="48"/>
      <c r="J68" s="72"/>
      <c r="K68" s="19"/>
      <c r="L68" s="20"/>
      <c r="M68" s="45"/>
      <c r="N68" s="48"/>
      <c r="O68" s="67"/>
      <c r="P68" s="50" t="str">
        <f>IF(ISNA(VLOOKUP(S68,Operation!$A:$B,2,0)),"",VLOOKUP(S68,Operation!$A:$B,2,0))</f>
        <v/>
      </c>
      <c r="Q68" s="40"/>
      <c r="R68" s="40"/>
      <c r="S68" s="20"/>
      <c r="T68" s="30"/>
      <c r="U68" s="38"/>
    </row>
    <row r="69" spans="1:21">
      <c r="A69" s="22"/>
      <c r="B69" s="64"/>
      <c r="C69" s="29"/>
      <c r="D69" s="20"/>
      <c r="E69" s="40" t="str">
        <f>IF(ISNA(VLOOKUP(D69,Operation!$A:$B,2,0)),"",VLOOKUP(D69,Operation!$A:$B,2,0))</f>
        <v/>
      </c>
      <c r="F69" s="40"/>
      <c r="G69" s="41"/>
      <c r="H69" s="67"/>
      <c r="I69" s="48"/>
      <c r="J69" s="72"/>
      <c r="K69" s="19"/>
      <c r="L69" s="20"/>
      <c r="M69" s="45"/>
      <c r="N69" s="48"/>
      <c r="O69" s="67"/>
      <c r="P69" s="50" t="str">
        <f>IF(ISNA(VLOOKUP(S69,Operation!$A:$B,2,0)),"",VLOOKUP(S69,Operation!$A:$B,2,0))</f>
        <v/>
      </c>
      <c r="Q69" s="40"/>
      <c r="R69" s="40"/>
      <c r="S69" s="20"/>
      <c r="T69" s="30"/>
      <c r="U69" s="38"/>
    </row>
    <row r="70" spans="1:21">
      <c r="A70" s="22"/>
      <c r="B70" s="64"/>
      <c r="C70" s="29"/>
      <c r="D70" s="20"/>
      <c r="E70" s="40" t="str">
        <f>IF(ISNA(VLOOKUP(D70,Operation!$A:$B,2,0)),"",VLOOKUP(D70,Operation!$A:$B,2,0))</f>
        <v/>
      </c>
      <c r="F70" s="40"/>
      <c r="G70" s="41"/>
      <c r="H70" s="67"/>
      <c r="I70" s="48"/>
      <c r="J70" s="72"/>
      <c r="K70" s="19"/>
      <c r="L70" s="20"/>
      <c r="M70" s="45"/>
      <c r="N70" s="48"/>
      <c r="O70" s="67"/>
      <c r="P70" s="50" t="str">
        <f>IF(ISNA(VLOOKUP(S70,Operation!$A:$B,2,0)),"",VLOOKUP(S70,Operation!$A:$B,2,0))</f>
        <v/>
      </c>
      <c r="Q70" s="40"/>
      <c r="R70" s="40"/>
      <c r="S70" s="20"/>
      <c r="T70" s="30"/>
      <c r="U70" s="38"/>
    </row>
    <row r="71" spans="1:21">
      <c r="A71" s="22"/>
      <c r="B71" s="65"/>
      <c r="C71" s="29"/>
      <c r="D71" s="20"/>
      <c r="E71" s="40" t="str">
        <f>IF(ISNA(VLOOKUP(D71,Operation!$A:$B,2,0)),"",VLOOKUP(D71,Operation!$A:$B,2,0))</f>
        <v/>
      </c>
      <c r="F71" s="40"/>
      <c r="G71" s="41"/>
      <c r="H71" s="67"/>
      <c r="I71" s="70"/>
      <c r="J71" s="73"/>
      <c r="K71" s="19"/>
      <c r="L71" s="20"/>
      <c r="M71" s="75"/>
      <c r="N71" s="70"/>
      <c r="O71" s="67"/>
      <c r="P71" s="50" t="str">
        <f>IF(ISNA(VLOOKUP(S71,Operation!$A:$B,2,0)),"",VLOOKUP(S71,Operation!$A:$B,2,0))</f>
        <v/>
      </c>
      <c r="Q71" s="40"/>
      <c r="R71" s="40"/>
      <c r="S71" s="20"/>
      <c r="T71" s="30"/>
      <c r="U71" s="39"/>
    </row>
    <row r="72" spans="1:21">
      <c r="A72" s="22"/>
      <c r="B72" s="76"/>
      <c r="C72" s="29"/>
      <c r="D72" s="20"/>
      <c r="E72" s="40" t="str">
        <f>IF(ISNA(VLOOKUP(D72,Operation!$A:$B,2,0)),"",VLOOKUP(D72,Operation!$A:$B,2,0))</f>
        <v/>
      </c>
      <c r="F72" s="40"/>
      <c r="G72" s="41"/>
      <c r="H72" s="67"/>
      <c r="I72" s="47"/>
      <c r="J72" s="79"/>
      <c r="K72" s="19"/>
      <c r="L72" s="20"/>
      <c r="M72" s="44"/>
      <c r="N72" s="47"/>
      <c r="O72" s="67"/>
      <c r="P72" s="50" t="str">
        <f>IF(ISNA(VLOOKUP(S72,Operation!$A:$B,2,0)),"",VLOOKUP(S72,Operation!$A:$B,2,0))</f>
        <v/>
      </c>
      <c r="Q72" s="40"/>
      <c r="R72" s="40"/>
      <c r="S72" s="20"/>
      <c r="T72" s="30"/>
      <c r="U72" s="57"/>
    </row>
    <row r="73" spans="1:21">
      <c r="A73" s="22"/>
      <c r="B73" s="77"/>
      <c r="C73" s="29"/>
      <c r="D73" s="20"/>
      <c r="E73" s="40" t="str">
        <f>IF(ISNA(VLOOKUP(D73,Operation!$A:$B,2,0)),"",VLOOKUP(D73,Operation!$A:$B,2,0))</f>
        <v/>
      </c>
      <c r="F73" s="40"/>
      <c r="G73" s="41"/>
      <c r="H73" s="67"/>
      <c r="I73" s="48"/>
      <c r="J73" s="72"/>
      <c r="K73" s="19"/>
      <c r="L73" s="20"/>
      <c r="M73" s="45"/>
      <c r="N73" s="48"/>
      <c r="O73" s="67"/>
      <c r="P73" s="50" t="str">
        <f>IF(ISNA(VLOOKUP(S73,Operation!$A:$B,2,0)),"",VLOOKUP(S73,Operation!$A:$B,2,0))</f>
        <v/>
      </c>
      <c r="Q73" s="40"/>
      <c r="R73" s="40"/>
      <c r="S73" s="20"/>
      <c r="T73" s="30"/>
      <c r="U73" s="58"/>
    </row>
    <row r="74" spans="1:21">
      <c r="A74" s="22"/>
      <c r="B74" s="77"/>
      <c r="C74" s="29"/>
      <c r="D74" s="20"/>
      <c r="E74" s="40" t="str">
        <f>IF(ISNA(VLOOKUP(D74,Operation!$A:$B,2,0)),"",VLOOKUP(D74,Operation!$A:$B,2,0))</f>
        <v/>
      </c>
      <c r="F74" s="40"/>
      <c r="G74" s="41"/>
      <c r="H74" s="67"/>
      <c r="I74" s="48"/>
      <c r="J74" s="72"/>
      <c r="K74" s="19"/>
      <c r="L74" s="20"/>
      <c r="M74" s="45"/>
      <c r="N74" s="48"/>
      <c r="O74" s="67"/>
      <c r="P74" s="50" t="str">
        <f>IF(ISNA(VLOOKUP(S74,Operation!$A:$B,2,0)),"",VLOOKUP(S74,Operation!$A:$B,2,0))</f>
        <v/>
      </c>
      <c r="Q74" s="40"/>
      <c r="R74" s="40"/>
      <c r="S74" s="20"/>
      <c r="T74" s="30"/>
      <c r="U74" s="58"/>
    </row>
    <row r="75" spans="1:21">
      <c r="A75" s="22"/>
      <c r="B75" s="77"/>
      <c r="C75" s="29"/>
      <c r="D75" s="20"/>
      <c r="E75" s="40" t="str">
        <f>IF(ISNA(VLOOKUP(D75,Operation!$A:$B,2,0)),"",VLOOKUP(D75,Operation!$A:$B,2,0))</f>
        <v/>
      </c>
      <c r="F75" s="40"/>
      <c r="G75" s="41"/>
      <c r="H75" s="67"/>
      <c r="I75" s="48"/>
      <c r="J75" s="72"/>
      <c r="K75" s="19"/>
      <c r="L75" s="20"/>
      <c r="M75" s="45"/>
      <c r="N75" s="48"/>
      <c r="O75" s="67"/>
      <c r="P75" s="50" t="str">
        <f>IF(ISNA(VLOOKUP(S75,Operation!$A:$B,2,0)),"",VLOOKUP(S75,Operation!$A:$B,2,0))</f>
        <v/>
      </c>
      <c r="Q75" s="40"/>
      <c r="R75" s="40"/>
      <c r="S75" s="20"/>
      <c r="T75" s="30"/>
      <c r="U75" s="58"/>
    </row>
    <row r="76" spans="1:21" ht="17.25" thickBot="1">
      <c r="A76" s="22"/>
      <c r="B76" s="78"/>
      <c r="C76" s="31"/>
      <c r="D76" s="33"/>
      <c r="E76" s="42" t="str">
        <f>IF(ISNA(VLOOKUP(D76,Operation!$A:$B,2,0)),"",VLOOKUP(D76,Operation!$A:$B,2,0))</f>
        <v/>
      </c>
      <c r="F76" s="42"/>
      <c r="G76" s="43"/>
      <c r="H76" s="68"/>
      <c r="I76" s="49"/>
      <c r="J76" s="80"/>
      <c r="K76" s="21"/>
      <c r="L76" s="20"/>
      <c r="M76" s="46"/>
      <c r="N76" s="49"/>
      <c r="O76" s="68"/>
      <c r="P76" s="60" t="str">
        <f>IF(ISNA(VLOOKUP(S76,Operation!$A:$B,2,0)),"",VLOOKUP(S76,Operation!$A:$B,2,0))</f>
        <v/>
      </c>
      <c r="Q76" s="42"/>
      <c r="R76" s="42"/>
      <c r="S76" s="33"/>
      <c r="T76" s="32"/>
      <c r="U76" s="59"/>
    </row>
  </sheetData>
  <mergeCells count="188"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E71:G71"/>
    <mergeCell ref="E68:G68"/>
    <mergeCell ref="E69:G69"/>
    <mergeCell ref="B72:B76"/>
    <mergeCell ref="E72:G72"/>
    <mergeCell ref="I72:I76"/>
    <mergeCell ref="J72:J76"/>
    <mergeCell ref="U67:U71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72:U76"/>
    <mergeCell ref="P75:R75"/>
    <mergeCell ref="P76:R76"/>
    <mergeCell ref="P73:R73"/>
    <mergeCell ref="P74:R74"/>
    <mergeCell ref="T65:T66"/>
    <mergeCell ref="P70:R70"/>
    <mergeCell ref="P71:R7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8" sqref="E8"/>
    </sheetView>
  </sheetViews>
  <sheetFormatPr defaultRowHeight="16.5"/>
  <sheetData>
    <row r="1" spans="1:3">
      <c r="A1" t="s">
        <v>39</v>
      </c>
      <c r="B1" t="s">
        <v>40</v>
      </c>
      <c r="C1" t="s">
        <v>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2016-01-18T12:26:28Z</dcterms:created>
  <dcterms:modified xsi:type="dcterms:W3CDTF">2016-01-20T08:47:30Z</dcterms:modified>
</cp:coreProperties>
</file>