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Git\Production_Formal\Sci.Production\XLT\"/>
    </mc:Choice>
  </mc:AlternateContent>
  <bookViews>
    <workbookView xWindow="600" yWindow="75" windowWidth="20475" windowHeight="9810" activeTab="1"/>
  </bookViews>
  <sheets>
    <sheet name="Summary" sheetId="1" r:id="rId1"/>
    <sheet name="Sheet1" sheetId="2" r:id="rId2"/>
  </sheets>
  <definedNames>
    <definedName name="_xlnm.Print_Titles" localSheetId="1">Sheet1!$1:$6</definedName>
    <definedName name="_xlnm.Print_Titles" localSheetId="0">Summary!$1:$1</definedName>
  </definedNames>
  <calcPr calcId="162913"/>
</workbook>
</file>

<file path=xl/calcChain.xml><?xml version="1.0" encoding="utf-8"?>
<calcChain xmlns="http://schemas.openxmlformats.org/spreadsheetml/2006/main">
  <c r="E4" i="2" l="1"/>
  <c r="O3" i="2"/>
  <c r="N2" i="1" l="1"/>
  <c r="M2" i="1"/>
  <c r="L3" i="2" l="1"/>
  <c r="D2" i="1"/>
  <c r="E3" i="2"/>
  <c r="C2" i="1" s="1"/>
  <c r="C3" i="1" s="1"/>
  <c r="O2" i="1"/>
  <c r="F3" i="1"/>
  <c r="G3" i="1"/>
  <c r="H3" i="1"/>
  <c r="I3" i="1"/>
  <c r="J3" i="1"/>
  <c r="K3" i="1"/>
  <c r="L3" i="1"/>
  <c r="E3" i="1"/>
  <c r="M3" i="1"/>
  <c r="N3" i="1" l="1"/>
  <c r="P2" i="1"/>
  <c r="O3" i="1"/>
  <c r="D3" i="1" l="1"/>
  <c r="P3" i="1" s="1"/>
</calcChain>
</file>

<file path=xl/sharedStrings.xml><?xml version="1.0" encoding="utf-8"?>
<sst xmlns="http://schemas.openxmlformats.org/spreadsheetml/2006/main" count="43" uniqueCount="43">
  <si>
    <t>Factory</t>
  </si>
  <si>
    <t>total no. of replacements</t>
  </si>
  <si>
    <t>no. of replacements served on time</t>
  </si>
  <si>
    <t>Sewing Damage</t>
  </si>
  <si>
    <t>Printing Damage</t>
  </si>
  <si>
    <t>Embro Damage</t>
  </si>
  <si>
    <t>Auto Damage</t>
  </si>
  <si>
    <t>Bonding Damage</t>
  </si>
  <si>
    <t>Cutting Damage</t>
  </si>
  <si>
    <t>Heat Transfer Damage</t>
  </si>
  <si>
    <t>Fabric Defects</t>
  </si>
  <si>
    <t>Total no. of rejected cut panels</t>
  </si>
  <si>
    <t>total requested (yds)</t>
  </si>
  <si>
    <t>total issue (yds)</t>
  </si>
  <si>
    <t>BCS Rating</t>
  </si>
  <si>
    <t>Total</t>
  </si>
  <si>
    <t>M</t>
    <phoneticPr fontId="14" type="noConversion"/>
  </si>
  <si>
    <t>Fabric Lacking &amp; Replacement BCS Report</t>
  </si>
  <si>
    <t xml:space="preserve">For replacement: </t>
  </si>
  <si>
    <t>Date:</t>
  </si>
  <si>
    <t xml:space="preserve">     BCS</t>
  </si>
  <si>
    <t>Total Issue Qty (yrds)</t>
  </si>
  <si>
    <t>Ttl Finished w/n Leadtime:</t>
  </si>
  <si>
    <t>Cell No.</t>
  </si>
  <si>
    <t>Line No.</t>
  </si>
  <si>
    <t>Replacement No.</t>
  </si>
  <si>
    <t>Style No.</t>
  </si>
  <si>
    <t>SP No.</t>
  </si>
  <si>
    <t>Seq</t>
  </si>
  <si>
    <t>Color</t>
  </si>
  <si>
    <t>Reference No.</t>
  </si>
  <si>
    <t>Apv. Date</t>
  </si>
  <si>
    <t># of pcs rejected</t>
  </si>
  <si>
    <t>Replacement finished date</t>
  </si>
  <si>
    <t>Type</t>
  </si>
  <si>
    <t>Reason</t>
  </si>
  <si>
    <t>On Time</t>
  </si>
  <si>
    <t>Request Qty
(yrds)</t>
    <phoneticPr fontId="14" type="noConversion"/>
  </si>
  <si>
    <t>Issue Qty 
(yrds)</t>
    <phoneticPr fontId="14" type="noConversion"/>
  </si>
  <si>
    <t>Remark</t>
    <phoneticPr fontId="14" type="noConversion"/>
  </si>
  <si>
    <t>Leadtime:</t>
    <phoneticPr fontId="14" type="noConversion"/>
  </si>
  <si>
    <t>Process</t>
    <phoneticPr fontId="14" type="noConversion"/>
  </si>
  <si>
    <t>Department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</si>
</sst>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#,##0_ ;[Red]\-#,##0\ "/>
    <numFmt numFmtId="177" formatCode="#,##0_ "/>
    <numFmt numFmtId="178" formatCode="#,##0.00_);[Red]\(#,##0.00\)"/>
    <numFmt numFmtId="179" formatCode="yyyy/m/d\ hh:mm:ss"/>
    <numFmt numFmtId="181" formatCode="0.00_);[Red]\(0.00\)"/>
  </numFmts>
  <fonts count="17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2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8"/>
      <color indexed="12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12"/>
      <color indexed="10"/>
      <name val="Arial"/>
      <family val="2"/>
    </font>
    <font>
      <b/>
      <sz val="16"/>
      <name val="Arial"/>
      <family val="2"/>
    </font>
    <font>
      <b/>
      <sz val="12"/>
      <color indexed="12"/>
      <name val="Arial"/>
      <family val="2"/>
    </font>
    <font>
      <sz val="9"/>
      <name val="新細明體"/>
      <family val="2"/>
      <charset val="136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</fills>
  <borders count="1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50">
    <xf numFmtId="0" fontId="0" fillId="0" borderId="0" xfId="0">
      <alignment vertical="center"/>
    </xf>
    <xf numFmtId="0" fontId="9" fillId="3" borderId="6" xfId="1" applyFont="1" applyFill="1" applyBorder="1" applyAlignment="1">
      <alignment vertical="center"/>
    </xf>
    <xf numFmtId="0" fontId="9" fillId="3" borderId="6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 vertical="center" wrapText="1"/>
    </xf>
    <xf numFmtId="0" fontId="4" fillId="0" borderId="5" xfId="1" applyFont="1" applyBorder="1">
      <alignment vertical="center"/>
    </xf>
    <xf numFmtId="177" fontId="4" fillId="4" borderId="5" xfId="1" applyNumberFormat="1" applyFont="1" applyFill="1" applyBorder="1">
      <alignment vertical="center"/>
    </xf>
    <xf numFmtId="177" fontId="4" fillId="5" borderId="5" xfId="1" applyNumberFormat="1" applyFont="1" applyFill="1" applyBorder="1">
      <alignment vertical="center"/>
    </xf>
    <xf numFmtId="177" fontId="4" fillId="6" borderId="5" xfId="1" applyNumberFormat="1" applyFont="1" applyFill="1" applyBorder="1">
      <alignment vertical="center"/>
    </xf>
    <xf numFmtId="10" fontId="11" fillId="0" borderId="5" xfId="1" applyNumberFormat="1" applyFont="1" applyBorder="1">
      <alignment vertical="center"/>
    </xf>
    <xf numFmtId="177" fontId="13" fillId="5" borderId="5" xfId="1" applyNumberFormat="1" applyFont="1" applyFill="1" applyBorder="1">
      <alignment vertical="center"/>
    </xf>
    <xf numFmtId="177" fontId="13" fillId="6" borderId="5" xfId="1" applyNumberFormat="1" applyFont="1" applyFill="1" applyBorder="1">
      <alignment vertical="center"/>
    </xf>
    <xf numFmtId="49" fontId="3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vertical="center" wrapText="1"/>
    </xf>
    <xf numFmtId="49" fontId="3" fillId="0" borderId="0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center" vertical="center" wrapText="1"/>
    </xf>
    <xf numFmtId="49" fontId="8" fillId="2" borderId="5" xfId="1" applyNumberFormat="1" applyFont="1" applyFill="1" applyBorder="1" applyAlignment="1">
      <alignment horizontal="center" vertical="center" wrapText="1"/>
    </xf>
    <xf numFmtId="178" fontId="8" fillId="2" borderId="5" xfId="1" applyNumberFormat="1" applyFont="1" applyFill="1" applyBorder="1" applyAlignment="1">
      <alignment horizontal="center" vertical="center" wrapText="1"/>
    </xf>
    <xf numFmtId="177" fontId="3" fillId="0" borderId="1" xfId="1" applyNumberFormat="1" applyFont="1" applyBorder="1" applyAlignment="1">
      <alignment horizontal="center" vertical="center" wrapText="1"/>
    </xf>
    <xf numFmtId="179" fontId="4" fillId="0" borderId="2" xfId="1" applyNumberFormat="1" applyFont="1" applyBorder="1" applyAlignment="1">
      <alignment vertical="center" wrapText="1"/>
    </xf>
    <xf numFmtId="179" fontId="8" fillId="2" borderId="5" xfId="1" applyNumberFormat="1" applyFont="1" applyFill="1" applyBorder="1" applyAlignment="1">
      <alignment horizontal="center" vertical="center" wrapText="1"/>
    </xf>
    <xf numFmtId="179" fontId="4" fillId="0" borderId="0" xfId="1" applyNumberFormat="1" applyFont="1" applyAlignment="1">
      <alignment horizontal="center" vertical="center" wrapText="1"/>
    </xf>
    <xf numFmtId="178" fontId="4" fillId="0" borderId="0" xfId="1" applyNumberFormat="1" applyFont="1" applyAlignment="1">
      <alignment horizontal="center" vertical="center" wrapText="1"/>
    </xf>
    <xf numFmtId="49" fontId="16" fillId="0" borderId="0" xfId="0" applyNumberFormat="1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5" fillId="0" borderId="0" xfId="0" applyFont="1" applyAlignment="1">
      <alignment vertical="center" wrapText="1"/>
    </xf>
    <xf numFmtId="179" fontId="16" fillId="0" borderId="0" xfId="0" applyNumberFormat="1" applyFont="1" applyAlignment="1">
      <alignment vertical="center" wrapText="1"/>
    </xf>
    <xf numFmtId="178" fontId="16" fillId="0" borderId="0" xfId="0" applyNumberFormat="1" applyFont="1" applyAlignment="1">
      <alignment vertical="center" wrapText="1"/>
    </xf>
    <xf numFmtId="49" fontId="8" fillId="2" borderId="5" xfId="1" applyNumberFormat="1" applyFont="1" applyFill="1" applyBorder="1" applyAlignment="1">
      <alignment horizontal="center" vertical="center"/>
    </xf>
    <xf numFmtId="49" fontId="16" fillId="0" borderId="0" xfId="0" applyNumberFormat="1" applyFont="1" applyAlignment="1">
      <alignment vertical="center"/>
    </xf>
    <xf numFmtId="49" fontId="15" fillId="0" borderId="0" xfId="0" applyNumberFormat="1" applyFont="1" applyAlignment="1">
      <alignment vertical="center"/>
    </xf>
    <xf numFmtId="0" fontId="12" fillId="0" borderId="8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176" fontId="2" fillId="0" borderId="0" xfId="1" applyNumberFormat="1" applyFont="1" applyAlignment="1">
      <alignment horizontal="center" vertical="center" wrapText="1"/>
    </xf>
    <xf numFmtId="49" fontId="3" fillId="0" borderId="0" xfId="1" applyNumberFormat="1" applyFont="1" applyAlignment="1">
      <alignment horizontal="left" vertical="center" wrapText="1"/>
    </xf>
    <xf numFmtId="49" fontId="3" fillId="0" borderId="2" xfId="1" applyNumberFormat="1" applyFont="1" applyBorder="1" applyAlignment="1">
      <alignment horizontal="left" vertical="center" wrapText="1"/>
    </xf>
    <xf numFmtId="178" fontId="5" fillId="0" borderId="7" xfId="1" applyNumberFormat="1" applyFont="1" applyBorder="1" applyAlignment="1">
      <alignment horizontal="center" vertical="center" wrapText="1"/>
    </xf>
    <xf numFmtId="178" fontId="5" fillId="0" borderId="2" xfId="1" applyNumberFormat="1" applyFont="1" applyBorder="1" applyAlignment="1">
      <alignment horizontal="center" vertical="center" wrapText="1"/>
    </xf>
    <xf numFmtId="10" fontId="5" fillId="0" borderId="3" xfId="1" applyNumberFormat="1" applyFont="1" applyBorder="1" applyAlignment="1">
      <alignment horizontal="center" vertical="center" wrapText="1"/>
    </xf>
    <xf numFmtId="10" fontId="5" fillId="0" borderId="4" xfId="1" applyNumberFormat="1" applyFont="1" applyBorder="1" applyAlignment="1">
      <alignment horizontal="center" vertical="center" wrapText="1"/>
    </xf>
    <xf numFmtId="49" fontId="4" fillId="0" borderId="0" xfId="1" applyNumberFormat="1" applyFont="1" applyAlignment="1">
      <alignment horizontal="left" vertical="center" wrapText="1"/>
    </xf>
    <xf numFmtId="177" fontId="6" fillId="0" borderId="7" xfId="1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179" fontId="7" fillId="0" borderId="7" xfId="1" applyNumberFormat="1" applyFont="1" applyBorder="1" applyAlignment="1">
      <alignment horizontal="center" vertical="center" wrapText="1"/>
    </xf>
    <xf numFmtId="181" fontId="4" fillId="0" borderId="0" xfId="1" applyNumberFormat="1" applyFont="1" applyAlignment="1">
      <alignment horizontal="center" vertical="center" wrapText="1"/>
    </xf>
    <xf numFmtId="181" fontId="4" fillId="0" borderId="3" xfId="1" applyNumberFormat="1" applyFont="1" applyBorder="1" applyAlignment="1">
      <alignment vertical="center" wrapText="1"/>
    </xf>
    <xf numFmtId="181" fontId="4" fillId="0" borderId="4" xfId="1" applyNumberFormat="1" applyFont="1" applyBorder="1" applyAlignment="1">
      <alignment vertical="center" wrapText="1"/>
    </xf>
    <xf numFmtId="181" fontId="8" fillId="2" borderId="5" xfId="1" applyNumberFormat="1" applyFont="1" applyFill="1" applyBorder="1" applyAlignment="1">
      <alignment horizontal="center" vertical="center" wrapText="1"/>
    </xf>
    <xf numFmtId="181" fontId="16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P3"/>
  <sheetViews>
    <sheetView workbookViewId="0">
      <selection activeCell="C2" sqref="C2"/>
    </sheetView>
  </sheetViews>
  <sheetFormatPr defaultRowHeight="16.5"/>
  <cols>
    <col min="1" max="2" width="8.25" customWidth="1"/>
    <col min="3" max="3" width="12" customWidth="1"/>
    <col min="4" max="4" width="11.875" customWidth="1"/>
    <col min="5" max="12" width="8.625" customWidth="1"/>
    <col min="16" max="16" width="13.625" customWidth="1"/>
  </cols>
  <sheetData>
    <row r="1" spans="1:16" ht="51">
      <c r="A1" s="1" t="s">
        <v>16</v>
      </c>
      <c r="B1" s="1" t="s">
        <v>0</v>
      </c>
      <c r="C1" s="2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 s="4"/>
      <c r="B2" s="4"/>
      <c r="C2" s="5">
        <f>Sheet1!E3</f>
        <v>0</v>
      </c>
      <c r="D2" s="5">
        <f>Sheet1!E4</f>
        <v>0</v>
      </c>
      <c r="E2" s="6"/>
      <c r="F2" s="6"/>
      <c r="G2" s="6"/>
      <c r="H2" s="6"/>
      <c r="I2" s="6"/>
      <c r="J2" s="6"/>
      <c r="K2" s="6"/>
      <c r="L2" s="6"/>
      <c r="M2" s="7">
        <f>SUM(Sheet1!J7:J1048576)</f>
        <v>0</v>
      </c>
      <c r="N2" s="5">
        <f>SUM(Sheet1!K7:K1048576)</f>
        <v>0</v>
      </c>
      <c r="O2" s="5">
        <f>Sheet1!O3</f>
        <v>0</v>
      </c>
      <c r="P2" s="8" t="e">
        <f>D2/C2</f>
        <v>#DIV/0!</v>
      </c>
    </row>
    <row r="3" spans="1:16" ht="20.25">
      <c r="A3" s="30" t="s">
        <v>15</v>
      </c>
      <c r="B3" s="31"/>
      <c r="C3" s="5">
        <f t="shared" ref="C3:O3" si="0">SUM(C2:C2)</f>
        <v>0</v>
      </c>
      <c r="D3" s="5">
        <f t="shared" si="0"/>
        <v>0</v>
      </c>
      <c r="E3" s="9">
        <f t="shared" si="0"/>
        <v>0</v>
      </c>
      <c r="F3" s="9">
        <f t="shared" si="0"/>
        <v>0</v>
      </c>
      <c r="G3" s="9">
        <f t="shared" si="0"/>
        <v>0</v>
      </c>
      <c r="H3" s="9">
        <f t="shared" si="0"/>
        <v>0</v>
      </c>
      <c r="I3" s="9">
        <f t="shared" si="0"/>
        <v>0</v>
      </c>
      <c r="J3" s="9">
        <f t="shared" si="0"/>
        <v>0</v>
      </c>
      <c r="K3" s="9">
        <f t="shared" si="0"/>
        <v>0</v>
      </c>
      <c r="L3" s="9">
        <f t="shared" si="0"/>
        <v>0</v>
      </c>
      <c r="M3" s="10">
        <f t="shared" si="0"/>
        <v>0</v>
      </c>
      <c r="N3" s="5">
        <f t="shared" si="0"/>
        <v>0</v>
      </c>
      <c r="O3" s="5">
        <f t="shared" si="0"/>
        <v>0</v>
      </c>
      <c r="P3" s="8" t="e">
        <f t="shared" ref="P3" si="1">D3/C3</f>
        <v>#DIV/0!</v>
      </c>
    </row>
  </sheetData>
  <mergeCells count="1">
    <mergeCell ref="A3:B3"/>
  </mergeCells>
  <phoneticPr fontId="14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95" fitToHeight="0" orientation="landscape" r:id="rId1"/>
  <headerFooter>
    <oddFooter>&amp;CPage:&amp;P/&amp;N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"/>
  <sheetViews>
    <sheetView tabSelected="1" zoomScale="85" zoomScaleNormal="85" workbookViewId="0">
      <pane ySplit="6" topLeftCell="A7" activePane="bottomLeft" state="frozen"/>
      <selection activeCell="B1" sqref="B1"/>
      <selection pane="bottomLeft" activeCell="A7" sqref="A7"/>
    </sheetView>
  </sheetViews>
  <sheetFormatPr defaultRowHeight="15" customHeight="1"/>
  <cols>
    <col min="1" max="1" width="4.875" style="22" customWidth="1"/>
    <col min="2" max="2" width="5.25" style="22" bestFit="1" customWidth="1"/>
    <col min="3" max="3" width="11.5" style="22" bestFit="1" customWidth="1"/>
    <col min="4" max="4" width="16.5" style="22" customWidth="1"/>
    <col min="5" max="5" width="17.25" style="22" customWidth="1"/>
    <col min="6" max="6" width="22.125" style="22" customWidth="1"/>
    <col min="7" max="7" width="14.25" style="22" customWidth="1"/>
    <col min="8" max="8" width="15.125" style="22" customWidth="1"/>
    <col min="9" max="9" width="15.25" style="25" customWidth="1"/>
    <col min="10" max="10" width="15.75" style="25" customWidth="1"/>
    <col min="11" max="11" width="11.75" style="26" bestFit="1" customWidth="1"/>
    <col min="12" max="12" width="13.25" style="26" customWidth="1"/>
    <col min="13" max="13" width="14.875" style="48" customWidth="1"/>
    <col min="14" max="14" width="14.625" style="25" customWidth="1"/>
    <col min="15" max="15" width="11.375" style="22" customWidth="1"/>
    <col min="16" max="16" width="15.25" style="22" customWidth="1"/>
    <col min="17" max="17" width="24.125" style="22" customWidth="1"/>
    <col min="18" max="18" width="8.5" style="28" bestFit="1" customWidth="1"/>
    <col min="19" max="19" width="40.375" style="22" customWidth="1"/>
    <col min="20" max="16384" width="9" style="23"/>
  </cols>
  <sheetData>
    <row r="1" spans="1:19" ht="27" customHeight="1">
      <c r="A1" s="32" t="s">
        <v>17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</row>
    <row r="2" spans="1:19" s="24" customFormat="1" ht="15.75" customHeight="1">
      <c r="A2" s="11"/>
      <c r="B2" s="11"/>
      <c r="C2" s="12"/>
      <c r="D2" s="12"/>
      <c r="E2" s="14"/>
      <c r="F2" s="14"/>
      <c r="G2" s="14"/>
      <c r="H2" s="14"/>
      <c r="I2" s="20"/>
      <c r="J2" s="20"/>
      <c r="K2" s="21"/>
      <c r="L2" s="21"/>
      <c r="M2" s="44"/>
      <c r="N2" s="20"/>
      <c r="O2" s="14"/>
      <c r="P2" s="14"/>
      <c r="Q2" s="14"/>
      <c r="R2" s="29"/>
      <c r="S2" s="49"/>
    </row>
    <row r="3" spans="1:19" s="24" customFormat="1" ht="15.75" customHeight="1">
      <c r="A3" s="11"/>
      <c r="B3" s="11"/>
      <c r="C3" s="33" t="s">
        <v>18</v>
      </c>
      <c r="D3" s="34"/>
      <c r="E3" s="17">
        <f>COUNTA(C7:C65536)</f>
        <v>0</v>
      </c>
      <c r="F3" s="13"/>
      <c r="G3" s="14" t="s">
        <v>19</v>
      </c>
      <c r="H3" s="39"/>
      <c r="I3" s="39"/>
      <c r="J3" s="35" t="s">
        <v>20</v>
      </c>
      <c r="K3" s="36"/>
      <c r="L3" s="37" t="e">
        <f>E4/E3</f>
        <v>#DIV/0!</v>
      </c>
      <c r="M3" s="45"/>
      <c r="N3" s="43" t="s">
        <v>21</v>
      </c>
      <c r="O3" s="40">
        <f>SUM(L7:L65536)</f>
        <v>0</v>
      </c>
      <c r="P3" s="41"/>
      <c r="Q3" s="41"/>
      <c r="R3" s="29"/>
      <c r="S3" s="49"/>
    </row>
    <row r="4" spans="1:19" s="24" customFormat="1" ht="15.75" customHeight="1">
      <c r="A4" s="11"/>
      <c r="B4" s="11"/>
      <c r="C4" s="33" t="s">
        <v>22</v>
      </c>
      <c r="D4" s="34"/>
      <c r="E4" s="17">
        <f>COUNTIF(Q7:Q65536,"=Y")</f>
        <v>0</v>
      </c>
      <c r="F4" s="13"/>
      <c r="G4" s="14" t="s">
        <v>40</v>
      </c>
      <c r="H4" s="14"/>
      <c r="I4" s="18"/>
      <c r="J4" s="35"/>
      <c r="K4" s="36"/>
      <c r="L4" s="38"/>
      <c r="M4" s="46"/>
      <c r="N4" s="43"/>
      <c r="O4" s="42"/>
      <c r="P4" s="41"/>
      <c r="Q4" s="41"/>
      <c r="R4" s="29"/>
      <c r="S4" s="49"/>
    </row>
    <row r="5" spans="1:19" s="24" customFormat="1" ht="15.75" customHeight="1">
      <c r="A5" s="11"/>
      <c r="B5" s="11"/>
      <c r="C5" s="12"/>
      <c r="D5" s="12"/>
      <c r="E5" s="14"/>
      <c r="F5" s="14"/>
      <c r="G5" s="14"/>
      <c r="H5" s="14"/>
      <c r="I5" s="20"/>
      <c r="J5" s="20"/>
      <c r="K5" s="21"/>
      <c r="L5" s="21"/>
      <c r="M5" s="44"/>
      <c r="N5" s="20"/>
      <c r="O5" s="14"/>
      <c r="P5" s="14"/>
      <c r="Q5" s="14"/>
      <c r="R5" s="29"/>
      <c r="S5" s="49"/>
    </row>
    <row r="6" spans="1:19" ht="25.5" customHeight="1">
      <c r="A6" s="15" t="s">
        <v>23</v>
      </c>
      <c r="B6" s="15" t="s">
        <v>24</v>
      </c>
      <c r="C6" s="15" t="s">
        <v>42</v>
      </c>
      <c r="D6" s="15" t="s">
        <v>25</v>
      </c>
      <c r="E6" s="15" t="s">
        <v>26</v>
      </c>
      <c r="F6" s="15" t="s">
        <v>27</v>
      </c>
      <c r="G6" s="15" t="s">
        <v>28</v>
      </c>
      <c r="H6" s="15" t="s">
        <v>29</v>
      </c>
      <c r="I6" s="15" t="s">
        <v>30</v>
      </c>
      <c r="J6" s="19" t="s">
        <v>31</v>
      </c>
      <c r="K6" s="16" t="s">
        <v>32</v>
      </c>
      <c r="L6" s="16" t="s">
        <v>37</v>
      </c>
      <c r="M6" s="47" t="s">
        <v>38</v>
      </c>
      <c r="N6" s="19" t="s">
        <v>33</v>
      </c>
      <c r="O6" s="15" t="s">
        <v>34</v>
      </c>
      <c r="P6" s="15" t="s">
        <v>41</v>
      </c>
      <c r="Q6" s="15" t="s">
        <v>35</v>
      </c>
      <c r="R6" s="15" t="s">
        <v>36</v>
      </c>
      <c r="S6" s="27" t="s">
        <v>39</v>
      </c>
    </row>
  </sheetData>
  <mergeCells count="8">
    <mergeCell ref="A1:Q1"/>
    <mergeCell ref="C3:D3"/>
    <mergeCell ref="J3:K4"/>
    <mergeCell ref="L3:L4"/>
    <mergeCell ref="C4:D4"/>
    <mergeCell ref="N3:N4"/>
    <mergeCell ref="H3:I3"/>
    <mergeCell ref="O3:Q4"/>
  </mergeCells>
  <phoneticPr fontId="14" type="noConversion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Summary</vt:lpstr>
      <vt:lpstr>Sheet1</vt:lpstr>
      <vt:lpstr>Sheet1!Print_Titles</vt:lpstr>
      <vt:lpstr>Summary!Print_Titles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WillyWei魏立業7730</cp:lastModifiedBy>
  <cp:lastPrinted>2017-05-16T06:59:48Z</cp:lastPrinted>
  <dcterms:created xsi:type="dcterms:W3CDTF">2016-04-18T08:04:00Z</dcterms:created>
  <dcterms:modified xsi:type="dcterms:W3CDTF">2024-05-22T04:28:58Z</dcterms:modified>
</cp:coreProperties>
</file>