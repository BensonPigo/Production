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0" yWindow="90" windowWidth="11640" windowHeight="6765"/>
  </bookViews>
  <sheets>
    <sheet name="Per Factory" sheetId="4" r:id="rId1"/>
    <sheet name="Per Line" sheetId="9" r:id="rId2"/>
  </sheets>
  <calcPr calcId="144525"/>
</workbook>
</file>

<file path=xl/calcChain.xml><?xml version="1.0" encoding="utf-8"?>
<calcChain xmlns="http://schemas.openxmlformats.org/spreadsheetml/2006/main">
  <c r="B10" i="4" l="1"/>
  <c r="C10" i="4"/>
  <c r="D10" i="4" l="1"/>
  <c r="I6" i="9"/>
  <c r="F6" i="9"/>
  <c r="H6" i="9"/>
  <c r="E6" i="9"/>
  <c r="D6" i="9"/>
  <c r="G5" i="9"/>
  <c r="J4" i="9"/>
  <c r="G4" i="9"/>
  <c r="G6" i="9" l="1"/>
  <c r="J6" i="9"/>
  <c r="J5" i="9"/>
  <c r="D9" i="4"/>
</calcChain>
</file>

<file path=xl/sharedStrings.xml><?xml version="1.0" encoding="utf-8"?>
<sst xmlns="http://schemas.openxmlformats.org/spreadsheetml/2006/main" count="24" uniqueCount="21">
  <si>
    <t>Sunday</t>
  </si>
  <si>
    <t>Holiday</t>
  </si>
  <si>
    <t>TOTAL TIMES PO INSPECTED</t>
  </si>
  <si>
    <t>TOTAL TIMES P.O PASSED</t>
  </si>
  <si>
    <t>PASS RATE</t>
  </si>
  <si>
    <t>SUMMARY</t>
  </si>
  <si>
    <t xml:space="preserve"> Total</t>
  </si>
  <si>
    <t>Factory</t>
  </si>
  <si>
    <t>SQR</t>
  </si>
  <si>
    <t>Fail</t>
  </si>
  <si>
    <t>Pass</t>
  </si>
  <si>
    <t>Line no.</t>
  </si>
  <si>
    <t>SHIFT</t>
  </si>
  <si>
    <t>Total PO</t>
  </si>
  <si>
    <t>PASSRATE</t>
  </si>
  <si>
    <t>Total Sample Lot</t>
  </si>
  <si>
    <t>Total Defect Qty</t>
  </si>
  <si>
    <t>Total</t>
  </si>
  <si>
    <t>Grand Total</t>
  </si>
  <si>
    <t>#FactoryGroup</t>
    <phoneticPr fontId="24" type="noConversion"/>
  </si>
  <si>
    <t xml:space="preserve">Audit date: 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</si>
</sst>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5">
    <font>
      <sz val="10"/>
      <name val="Arial"/>
    </font>
    <font>
      <sz val="12"/>
      <color theme="1"/>
      <name val="新細明體"/>
      <family val="2"/>
      <charset val="136"/>
      <scheme val="minor"/>
    </font>
    <font>
      <sz val="10"/>
      <name val="Arial"/>
      <family val="2"/>
    </font>
    <font>
      <sz val="12"/>
      <name val="新細明體"/>
      <family val="1"/>
      <charset val="136"/>
    </font>
    <font>
      <sz val="10"/>
      <color rgb="FFFF0000"/>
      <name val="Arial"/>
      <family val="2"/>
    </font>
    <font>
      <sz val="10"/>
      <color theme="0"/>
      <name val="新細明體"/>
      <family val="2"/>
      <scheme val="minor"/>
    </font>
    <font>
      <sz val="10"/>
      <color theme="11"/>
      <name val="Arial"/>
      <family val="2"/>
    </font>
    <font>
      <sz val="10"/>
      <color theme="1"/>
      <name val="新細明體"/>
      <family val="1"/>
      <scheme val="major"/>
    </font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b/>
      <sz val="12"/>
      <color theme="1"/>
      <name val="Calibri"/>
      <family val="2"/>
    </font>
    <font>
      <b/>
      <sz val="12"/>
      <color rgb="FFFF0000"/>
      <name val="Calibri"/>
      <family val="2"/>
    </font>
    <font>
      <b/>
      <sz val="2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0"/>
      <color indexed="8"/>
      <name val="新細明體"/>
      <family val="2"/>
      <scheme val="minor"/>
    </font>
    <font>
      <b/>
      <sz val="10"/>
      <name val="新細明體"/>
      <family val="2"/>
      <scheme val="minor"/>
    </font>
    <font>
      <sz val="9"/>
      <color indexed="10"/>
      <name val="新細明體"/>
      <family val="2"/>
      <scheme val="minor"/>
    </font>
    <font>
      <sz val="9"/>
      <color rgb="FFFF0000"/>
      <name val="新細明體"/>
      <family val="2"/>
      <scheme val="minor"/>
    </font>
    <font>
      <b/>
      <sz val="10"/>
      <color theme="0"/>
      <name val="新細明體"/>
      <family val="2"/>
      <scheme val="minor"/>
    </font>
    <font>
      <b/>
      <sz val="9"/>
      <name val="新細明體"/>
      <family val="2"/>
      <scheme val="minor"/>
    </font>
    <font>
      <b/>
      <sz val="18"/>
      <name val="新細明體"/>
      <family val="2"/>
      <scheme val="minor"/>
    </font>
    <font>
      <sz val="12"/>
      <name val="新細明體"/>
      <family val="2"/>
      <scheme val="minor"/>
    </font>
    <font>
      <b/>
      <sz val="12"/>
      <name val="新細明體"/>
      <family val="2"/>
      <scheme val="minor"/>
    </font>
    <font>
      <b/>
      <sz val="11"/>
      <name val="新細明體"/>
      <family val="2"/>
      <scheme val="minor"/>
    </font>
    <font>
      <sz val="9"/>
      <name val="細明體"/>
      <family val="3"/>
      <charset val="136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3">
    <xf numFmtId="0" fontId="0" fillId="0" borderId="0">
      <alignment vertical="top"/>
    </xf>
    <xf numFmtId="0" fontId="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3" fillId="0" borderId="0">
      <alignment vertical="center"/>
    </xf>
    <xf numFmtId="0" fontId="8" fillId="0" borderId="0">
      <alignment vertical="center"/>
    </xf>
    <xf numFmtId="0" fontId="9" fillId="0" borderId="0"/>
    <xf numFmtId="0" fontId="1" fillId="0" borderId="0">
      <alignment vertical="center"/>
    </xf>
    <xf numFmtId="9" fontId="9" fillId="0" borderId="0" applyFont="0" applyFill="0" applyBorder="0" applyAlignment="0" applyProtection="0"/>
  </cellStyleXfs>
  <cellXfs count="65">
    <xf numFmtId="0" fontId="0" fillId="0" borderId="0" xfId="0">
      <alignment vertical="top"/>
    </xf>
    <xf numFmtId="0" fontId="9" fillId="0" borderId="0" xfId="70"/>
    <xf numFmtId="0" fontId="10" fillId="8" borderId="1" xfId="71" applyFont="1" applyFill="1" applyBorder="1" applyAlignment="1">
      <alignment horizontal="center" vertical="center"/>
    </xf>
    <xf numFmtId="0" fontId="11" fillId="8" borderId="1" xfId="71" applyFont="1" applyFill="1" applyBorder="1" applyAlignment="1">
      <alignment horizontal="center" vertical="center"/>
    </xf>
    <xf numFmtId="10" fontId="10" fillId="8" borderId="1" xfId="71" applyNumberFormat="1" applyFont="1" applyFill="1" applyBorder="1" applyAlignment="1">
      <alignment horizontal="center" vertical="center"/>
    </xf>
    <xf numFmtId="0" fontId="10" fillId="8" borderId="1" xfId="71" applyFont="1" applyFill="1" applyBorder="1" applyAlignment="1">
      <alignment horizontal="center" vertical="center" wrapText="1"/>
    </xf>
    <xf numFmtId="10" fontId="10" fillId="8" borderId="1" xfId="71" applyNumberFormat="1" applyFont="1" applyFill="1" applyBorder="1" applyAlignment="1">
      <alignment horizontal="center" vertical="center" wrapText="1"/>
    </xf>
    <xf numFmtId="49" fontId="13" fillId="0" borderId="1" xfId="70" applyNumberFormat="1" applyFont="1" applyBorder="1" applyAlignment="1">
      <alignment horizontal="center" vertical="center"/>
    </xf>
    <xf numFmtId="10" fontId="9" fillId="0" borderId="1" xfId="70" applyNumberFormat="1" applyBorder="1" applyAlignment="1">
      <alignment horizontal="center" vertical="center"/>
    </xf>
    <xf numFmtId="10" fontId="13" fillId="6" borderId="1" xfId="70" applyNumberFormat="1" applyFont="1" applyFill="1" applyBorder="1" applyAlignment="1">
      <alignment horizontal="center" vertical="center"/>
    </xf>
    <xf numFmtId="10" fontId="13" fillId="9" borderId="1" xfId="72" applyNumberFormat="1" applyFont="1" applyFill="1" applyBorder="1" applyAlignment="1">
      <alignment horizontal="center" vertical="center"/>
    </xf>
    <xf numFmtId="10" fontId="13" fillId="9" borderId="1" xfId="7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/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/>
    <xf numFmtId="49" fontId="14" fillId="0" borderId="0" xfId="0" applyNumberFormat="1" applyFont="1" applyFill="1" applyBorder="1" applyAlignment="1"/>
    <xf numFmtId="9" fontId="14" fillId="0" borderId="0" xfId="0" applyNumberFormat="1" applyFont="1" applyFill="1" applyBorder="1" applyAlignment="1"/>
    <xf numFmtId="49" fontId="14" fillId="0" borderId="0" xfId="0" applyNumberFormat="1" applyFont="1" applyFill="1" applyBorder="1" applyAlignment="1">
      <alignment horizontal="center" vertical="center"/>
    </xf>
    <xf numFmtId="49" fontId="18" fillId="0" borderId="0" xfId="0" applyNumberFormat="1" applyFont="1" applyFill="1" applyBorder="1" applyAlignment="1"/>
    <xf numFmtId="0" fontId="15" fillId="4" borderId="0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/>
    <xf numFmtId="0" fontId="23" fillId="6" borderId="1" xfId="0" applyFont="1" applyFill="1" applyBorder="1" applyAlignment="1">
      <alignment vertical="center"/>
    </xf>
    <xf numFmtId="2" fontId="15" fillId="0" borderId="0" xfId="0" applyNumberFormat="1" applyFont="1" applyFill="1" applyBorder="1" applyAlignment="1"/>
    <xf numFmtId="0" fontId="15" fillId="0" borderId="2" xfId="0" applyFont="1" applyFill="1" applyBorder="1" applyAlignment="1"/>
    <xf numFmtId="0" fontId="15" fillId="0" borderId="3" xfId="0" applyFont="1" applyFill="1" applyBorder="1" applyAlignment="1"/>
    <xf numFmtId="0" fontId="14" fillId="0" borderId="5" xfId="0" applyFont="1" applyFill="1" applyBorder="1" applyAlignment="1"/>
    <xf numFmtId="0" fontId="13" fillId="0" borderId="0" xfId="70" applyFont="1"/>
    <xf numFmtId="0" fontId="14" fillId="0" borderId="5" xfId="0" applyFont="1" applyFill="1" applyBorder="1" applyAlignment="1">
      <alignment vertical="top" wrapText="1"/>
    </xf>
    <xf numFmtId="0" fontId="9" fillId="0" borderId="0" xfId="70" applyAlignment="1">
      <alignment vertical="top" wrapText="1"/>
    </xf>
    <xf numFmtId="10" fontId="22" fillId="0" borderId="1" xfId="0" applyNumberFormat="1" applyFont="1" applyFill="1" applyBorder="1" applyAlignment="1">
      <alignment horizontal="center" vertical="center" wrapText="1"/>
    </xf>
    <xf numFmtId="10" fontId="22" fillId="6" borderId="1" xfId="0" applyNumberFormat="1" applyFont="1" applyFill="1" applyBorder="1" applyAlignment="1">
      <alignment horizontal="center" vertical="center" wrapText="1"/>
    </xf>
    <xf numFmtId="14" fontId="15" fillId="0" borderId="1" xfId="0" applyNumberFormat="1" applyFont="1" applyFill="1" applyBorder="1" applyAlignment="1">
      <alignment horizontal="center" vertical="center" wrapText="1"/>
    </xf>
    <xf numFmtId="49" fontId="9" fillId="0" borderId="1" xfId="70" applyNumberFormat="1" applyBorder="1" applyAlignment="1">
      <alignment horizontal="center" vertical="center"/>
    </xf>
    <xf numFmtId="176" fontId="9" fillId="0" borderId="1" xfId="70" applyNumberFormat="1" applyBorder="1" applyAlignment="1">
      <alignment horizontal="center" vertical="center"/>
    </xf>
    <xf numFmtId="176" fontId="13" fillId="6" borderId="1" xfId="70" applyNumberFormat="1" applyFont="1" applyFill="1" applyBorder="1" applyAlignment="1">
      <alignment horizontal="center" vertical="center"/>
    </xf>
    <xf numFmtId="176" fontId="21" fillId="0" borderId="1" xfId="0" applyNumberFormat="1" applyFont="1" applyFill="1" applyBorder="1" applyAlignment="1">
      <alignment horizontal="center" vertical="center"/>
    </xf>
    <xf numFmtId="176" fontId="22" fillId="6" borderId="1" xfId="0" applyNumberFormat="1" applyFont="1" applyFill="1" applyBorder="1" applyAlignment="1">
      <alignment horizontal="center" vertical="center" wrapText="1"/>
    </xf>
    <xf numFmtId="49" fontId="14" fillId="3" borderId="0" xfId="0" applyNumberFormat="1" applyFont="1" applyFill="1" applyBorder="1" applyAlignment="1"/>
    <xf numFmtId="49" fontId="14" fillId="0" borderId="0" xfId="0" applyNumberFormat="1" applyFont="1" applyFill="1" applyBorder="1" applyAlignment="1">
      <alignment horizontal="left" vertical="center"/>
    </xf>
    <xf numFmtId="49" fontId="15" fillId="0" borderId="0" xfId="0" applyNumberFormat="1" applyFont="1" applyFill="1" applyBorder="1" applyAlignment="1"/>
    <xf numFmtId="49" fontId="15" fillId="0" borderId="0" xfId="0" applyNumberFormat="1" applyFont="1" applyFill="1" applyBorder="1" applyAlignment="1">
      <alignment horizontal="center" vertical="center"/>
    </xf>
    <xf numFmtId="49" fontId="17" fillId="7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left" vertical="center" wrapText="1" indent="2"/>
    </xf>
    <xf numFmtId="49" fontId="18" fillId="0" borderId="0" xfId="0" applyNumberFormat="1" applyFont="1" applyFill="1" applyBorder="1" applyAlignment="1">
      <alignment horizontal="center" vertical="center"/>
    </xf>
    <xf numFmtId="10" fontId="14" fillId="0" borderId="0" xfId="0" applyNumberFormat="1" applyFont="1" applyFill="1" applyBorder="1" applyAlignment="1"/>
    <xf numFmtId="10" fontId="14" fillId="0" borderId="0" xfId="0" applyNumberFormat="1" applyFont="1" applyFill="1" applyBorder="1" applyAlignment="1">
      <alignment horizontal="center" vertical="center"/>
    </xf>
    <xf numFmtId="10" fontId="14" fillId="0" borderId="5" xfId="0" applyNumberFormat="1" applyFont="1" applyFill="1" applyBorder="1" applyAlignment="1"/>
    <xf numFmtId="10" fontId="15" fillId="0" borderId="0" xfId="0" applyNumberFormat="1" applyFont="1" applyFill="1" applyBorder="1" applyAlignment="1"/>
    <xf numFmtId="10" fontId="19" fillId="0" borderId="3" xfId="0" applyNumberFormat="1" applyFont="1" applyBorder="1" applyAlignment="1">
      <alignment horizontal="center" vertical="center" wrapText="1"/>
    </xf>
    <xf numFmtId="10" fontId="19" fillId="0" borderId="2" xfId="0" applyNumberFormat="1" applyFont="1" applyBorder="1" applyAlignment="1">
      <alignment horizontal="center" vertical="center" wrapText="1"/>
    </xf>
    <xf numFmtId="49" fontId="19" fillId="6" borderId="6" xfId="0" applyNumberFormat="1" applyFont="1" applyFill="1" applyBorder="1" applyAlignment="1">
      <alignment horizontal="center" vertical="center" wrapText="1"/>
    </xf>
    <xf numFmtId="49" fontId="19" fillId="6" borderId="7" xfId="0" applyNumberFormat="1" applyFont="1" applyFill="1" applyBorder="1" applyAlignment="1">
      <alignment horizontal="center" vertical="center" wrapText="1"/>
    </xf>
    <xf numFmtId="49" fontId="19" fillId="6" borderId="8" xfId="0" applyNumberFormat="1" applyFont="1" applyFill="1" applyBorder="1" applyAlignment="1">
      <alignment horizontal="center" vertical="center" wrapText="1"/>
    </xf>
    <xf numFmtId="0" fontId="19" fillId="0" borderId="3" xfId="0" applyNumberFormat="1" applyFont="1" applyBorder="1" applyAlignment="1">
      <alignment horizontal="center" vertical="center" wrapText="1"/>
    </xf>
    <xf numFmtId="0" fontId="19" fillId="0" borderId="2" xfId="0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left"/>
    </xf>
    <xf numFmtId="49" fontId="20" fillId="5" borderId="6" xfId="0" applyNumberFormat="1" applyFont="1" applyFill="1" applyBorder="1" applyAlignment="1">
      <alignment horizontal="center" vertical="center" wrapText="1"/>
    </xf>
    <xf numFmtId="49" fontId="20" fillId="5" borderId="7" xfId="0" applyNumberFormat="1" applyFont="1" applyFill="1" applyBorder="1" applyAlignment="1">
      <alignment horizontal="center" vertical="center" wrapText="1"/>
    </xf>
    <xf numFmtId="49" fontId="20" fillId="5" borderId="8" xfId="0" applyNumberFormat="1" applyFont="1" applyFill="1" applyBorder="1" applyAlignment="1">
      <alignment horizontal="center" vertical="center" wrapText="1"/>
    </xf>
    <xf numFmtId="0" fontId="12" fillId="2" borderId="4" xfId="70" applyFont="1" applyFill="1" applyBorder="1" applyAlignment="1">
      <alignment horizontal="center" vertical="center"/>
    </xf>
    <xf numFmtId="0" fontId="12" fillId="2" borderId="2" xfId="70" applyFont="1" applyFill="1" applyBorder="1" applyAlignment="1">
      <alignment horizontal="center" vertical="center"/>
    </xf>
    <xf numFmtId="0" fontId="13" fillId="6" borderId="1" xfId="70" applyFont="1" applyFill="1" applyBorder="1" applyAlignment="1">
      <alignment horizontal="center" vertical="center"/>
    </xf>
    <xf numFmtId="0" fontId="13" fillId="9" borderId="1" xfId="70" applyFont="1" applyFill="1" applyBorder="1" applyAlignment="1">
      <alignment horizontal="center" vertical="center"/>
    </xf>
  </cellXfs>
  <cellStyles count="73">
    <cellStyle name="Normal 2" xfId="1"/>
    <cellStyle name="Normal 2 10" xfId="2"/>
    <cellStyle name="Normal 2 11" xfId="3"/>
    <cellStyle name="Normal 2 12" xfId="4"/>
    <cellStyle name="Normal 2 13" xfId="5"/>
    <cellStyle name="Normal 2 14" xfId="6"/>
    <cellStyle name="Normal 2 15" xfId="7"/>
    <cellStyle name="Normal 2 16" xfId="8"/>
    <cellStyle name="Normal 2 17" xfId="9"/>
    <cellStyle name="Normal 2 18" xfId="10"/>
    <cellStyle name="Normal 2 19" xfId="11"/>
    <cellStyle name="Normal 2 2" xfId="12"/>
    <cellStyle name="Normal 2 20" xfId="13"/>
    <cellStyle name="Normal 2 21" xfId="14"/>
    <cellStyle name="Normal 2 22" xfId="15"/>
    <cellStyle name="Normal 2 23" xfId="16"/>
    <cellStyle name="Normal 2 24" xfId="17"/>
    <cellStyle name="Normal 2 25" xfId="18"/>
    <cellStyle name="Normal 2 26" xfId="19"/>
    <cellStyle name="Normal 2 27" xfId="20"/>
    <cellStyle name="Normal 2 28" xfId="21"/>
    <cellStyle name="Normal 2 29" xfId="22"/>
    <cellStyle name="Normal 2 3" xfId="23"/>
    <cellStyle name="Normal 2 30" xfId="24"/>
    <cellStyle name="Normal 2 31" xfId="25"/>
    <cellStyle name="Normal 2 32" xfId="26"/>
    <cellStyle name="Normal 2 33" xfId="27"/>
    <cellStyle name="Normal 2 34" xfId="28"/>
    <cellStyle name="Normal 2 35" xfId="29"/>
    <cellStyle name="Normal 2 36" xfId="30"/>
    <cellStyle name="Normal 2 37" xfId="31"/>
    <cellStyle name="Normal 2 38" xfId="32"/>
    <cellStyle name="Normal 2 39" xfId="33"/>
    <cellStyle name="Normal 2 4" xfId="34"/>
    <cellStyle name="Normal 2 40" xfId="68"/>
    <cellStyle name="Normal 2 41" xfId="71"/>
    <cellStyle name="Normal 2 5" xfId="35"/>
    <cellStyle name="Normal 2 6" xfId="36"/>
    <cellStyle name="Normal 2 7" xfId="37"/>
    <cellStyle name="Normal 2 8" xfId="38"/>
    <cellStyle name="Normal 2 9" xfId="39"/>
    <cellStyle name="Normal 3" xfId="69"/>
    <cellStyle name="Normal 3 10" xfId="40"/>
    <cellStyle name="Normal 3 11" xfId="41"/>
    <cellStyle name="Normal 3 12" xfId="42"/>
    <cellStyle name="Normal 3 13" xfId="43"/>
    <cellStyle name="Normal 3 14" xfId="44"/>
    <cellStyle name="Normal 3 15" xfId="45"/>
    <cellStyle name="Normal 3 16" xfId="46"/>
    <cellStyle name="Normal 3 17" xfId="47"/>
    <cellStyle name="Normal 3 18" xfId="48"/>
    <cellStyle name="Normal 3 19" xfId="49"/>
    <cellStyle name="Normal 3 2" xfId="50"/>
    <cellStyle name="Normal 3 20" xfId="51"/>
    <cellStyle name="Normal 3 21" xfId="52"/>
    <cellStyle name="Normal 3 22" xfId="53"/>
    <cellStyle name="Normal 3 23" xfId="54"/>
    <cellStyle name="Normal 3 24" xfId="55"/>
    <cellStyle name="Normal 3 25" xfId="56"/>
    <cellStyle name="Normal 3 26" xfId="57"/>
    <cellStyle name="Normal 3 27" xfId="58"/>
    <cellStyle name="Normal 3 28" xfId="59"/>
    <cellStyle name="Normal 3 29" xfId="60"/>
    <cellStyle name="Normal 3 3" xfId="61"/>
    <cellStyle name="Normal 3 4" xfId="62"/>
    <cellStyle name="Normal 3 5" xfId="63"/>
    <cellStyle name="Normal 3 6" xfId="64"/>
    <cellStyle name="Normal 3 7" xfId="65"/>
    <cellStyle name="Normal 3 8" xfId="66"/>
    <cellStyle name="Normal 3 9" xfId="67"/>
    <cellStyle name="一般" xfId="0" builtinId="0"/>
    <cellStyle name="一般 2" xfId="70"/>
    <cellStyle name="百分比 2" xfId="72"/>
  </cellStyles>
  <dxfs count="0"/>
  <tableStyles count="0" defaultTableStyle="TableStyleMedium2" defaultPivotStyle="PivotStyleLight16"/>
  <colors>
    <mruColors>
      <color rgb="FF003366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127"/>
  <sheetViews>
    <sheetView tabSelected="1" zoomScale="90" zoomScaleNormal="90" workbookViewId="0">
      <pane ySplit="8" topLeftCell="A9" activePane="bottomLeft" state="frozen"/>
      <selection pane="bottomLeft" activeCell="A5" sqref="A5"/>
    </sheetView>
  </sheetViews>
  <sheetFormatPr defaultColWidth="14.7109375" defaultRowHeight="14.25"/>
  <cols>
    <col min="1" max="1" width="14.7109375" style="12"/>
    <col min="2" max="3" width="14.7109375" style="13"/>
    <col min="4" max="6" width="14.7109375" style="14"/>
    <col min="7" max="7" width="14.7109375" style="49"/>
    <col min="8" max="16384" width="14.7109375" style="14"/>
  </cols>
  <sheetData>
    <row r="1" spans="1:51">
      <c r="E1" s="16"/>
      <c r="F1" s="16"/>
      <c r="G1" s="46"/>
    </row>
    <row r="2" spans="1:51" s="40" customFormat="1" ht="15.95" customHeight="1">
      <c r="A2" s="38"/>
      <c r="B2" s="39" t="s">
        <v>0</v>
      </c>
      <c r="C2" s="17"/>
      <c r="E2" s="15"/>
      <c r="F2" s="39"/>
      <c r="G2" s="47"/>
      <c r="I2" s="41"/>
      <c r="J2" s="41"/>
      <c r="K2" s="41"/>
      <c r="L2" s="15"/>
      <c r="M2" s="17"/>
    </row>
    <row r="3" spans="1:51" s="40" customFormat="1" ht="15.95" customHeight="1">
      <c r="A3" s="42"/>
      <c r="B3" s="39" t="s">
        <v>1</v>
      </c>
      <c r="C3" s="17"/>
      <c r="D3" s="43"/>
      <c r="E3" s="44"/>
      <c r="F3" s="39"/>
      <c r="G3" s="47"/>
      <c r="I3" s="41"/>
      <c r="J3" s="45"/>
      <c r="K3" s="45"/>
      <c r="L3" s="18"/>
      <c r="M3" s="17"/>
    </row>
    <row r="4" spans="1:51" ht="13.5" customHeight="1">
      <c r="E4" s="16"/>
      <c r="F4" s="16"/>
      <c r="G4" s="46"/>
    </row>
    <row r="5" spans="1:51">
      <c r="A5" s="26"/>
      <c r="B5" s="26"/>
      <c r="C5" s="26"/>
      <c r="D5" s="26"/>
      <c r="E5" s="26"/>
      <c r="F5" s="26"/>
      <c r="G5" s="48"/>
    </row>
    <row r="6" spans="1:51" s="20" customFormat="1" ht="20.100000000000001" customHeight="1">
      <c r="A6" s="57"/>
      <c r="B6" s="55" t="s">
        <v>2</v>
      </c>
      <c r="C6" s="55" t="s">
        <v>3</v>
      </c>
      <c r="D6" s="55" t="s">
        <v>4</v>
      </c>
      <c r="E6" s="55" t="s">
        <v>2</v>
      </c>
      <c r="F6" s="55" t="s">
        <v>3</v>
      </c>
      <c r="G6" s="50" t="s">
        <v>4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</row>
    <row r="7" spans="1:51" s="21" customFormat="1" ht="20.100000000000001" customHeight="1">
      <c r="A7" s="57"/>
      <c r="B7" s="56"/>
      <c r="C7" s="56"/>
      <c r="D7" s="56"/>
      <c r="E7" s="56"/>
      <c r="F7" s="56"/>
      <c r="G7" s="51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</row>
    <row r="8" spans="1:51" s="21" customFormat="1" ht="20.100000000000001" customHeight="1">
      <c r="A8" s="57"/>
      <c r="B8" s="58" t="s">
        <v>19</v>
      </c>
      <c r="C8" s="59"/>
      <c r="D8" s="60"/>
      <c r="E8" s="52" t="s">
        <v>5</v>
      </c>
      <c r="F8" s="53"/>
      <c r="G8" s="5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</row>
    <row r="9" spans="1:51" s="21" customFormat="1" ht="24.95" customHeight="1">
      <c r="A9" s="32">
        <v>44044</v>
      </c>
      <c r="B9" s="36"/>
      <c r="C9" s="36"/>
      <c r="D9" s="30" t="str">
        <f>IFERROR(C9/B9*100%,"")</f>
        <v/>
      </c>
      <c r="E9" s="37"/>
      <c r="F9" s="37"/>
      <c r="G9" s="31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</row>
    <row r="10" spans="1:51" s="21" customFormat="1" ht="24.95" customHeight="1">
      <c r="A10" s="22" t="s">
        <v>6</v>
      </c>
      <c r="B10" s="37">
        <f>SUM(B9:B9)</f>
        <v>0</v>
      </c>
      <c r="C10" s="37">
        <f>SUM(C9:C9)</f>
        <v>0</v>
      </c>
      <c r="D10" s="31" t="e">
        <f>C10/B10</f>
        <v>#DIV/0!</v>
      </c>
      <c r="E10" s="37"/>
      <c r="F10" s="37"/>
      <c r="G10" s="31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</row>
    <row r="11" spans="1:51" s="21" customFormat="1" ht="24.95" customHeight="1">
      <c r="A11" s="12"/>
      <c r="B11" s="13"/>
      <c r="C11" s="13"/>
      <c r="D11" s="23"/>
      <c r="E11" s="14"/>
      <c r="F11" s="14"/>
      <c r="G11" s="4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</row>
    <row r="12" spans="1:51" s="21" customFormat="1" ht="20.25" customHeight="1">
      <c r="A12" s="14"/>
      <c r="B12" s="14"/>
      <c r="C12" s="13"/>
      <c r="D12" s="14"/>
      <c r="E12" s="14"/>
      <c r="F12" s="14"/>
      <c r="G12" s="4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</row>
    <row r="13" spans="1:51" s="21" customFormat="1" ht="20.25" customHeight="1">
      <c r="A13" s="14"/>
      <c r="B13" s="14"/>
      <c r="C13" s="13"/>
      <c r="D13" s="14"/>
      <c r="E13" s="14"/>
      <c r="F13" s="14"/>
      <c r="G13" s="4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</row>
    <row r="14" spans="1:51" s="21" customFormat="1" ht="22.5" customHeight="1">
      <c r="A14" s="14"/>
      <c r="B14" s="14"/>
      <c r="C14" s="13"/>
      <c r="D14" s="14"/>
      <c r="E14" s="14"/>
      <c r="F14" s="14"/>
      <c r="G14" s="4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</row>
    <row r="15" spans="1:51" s="21" customFormat="1" ht="24.95" customHeight="1">
      <c r="A15" s="14"/>
      <c r="B15" s="13"/>
      <c r="C15" s="13"/>
      <c r="D15" s="14"/>
      <c r="E15" s="14"/>
      <c r="F15" s="14"/>
      <c r="G15" s="4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</row>
    <row r="16" spans="1:51" s="21" customFormat="1" ht="24.95" customHeight="1">
      <c r="A16" s="12"/>
      <c r="B16" s="13"/>
      <c r="C16" s="13"/>
      <c r="D16" s="14"/>
      <c r="E16" s="14"/>
      <c r="F16" s="14"/>
      <c r="G16" s="49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</row>
    <row r="17" spans="1:51" s="21" customFormat="1" ht="24.95" customHeight="1">
      <c r="A17" s="12"/>
      <c r="B17" s="13"/>
      <c r="C17" s="13"/>
      <c r="D17" s="14"/>
      <c r="E17" s="14"/>
      <c r="F17" s="14"/>
      <c r="G17" s="49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</row>
    <row r="18" spans="1:51" s="21" customFormat="1" ht="24.95" customHeight="1">
      <c r="A18" s="12"/>
      <c r="B18" s="13"/>
      <c r="C18" s="13"/>
      <c r="D18" s="14"/>
      <c r="E18" s="14"/>
      <c r="F18" s="14"/>
      <c r="G18" s="49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</row>
    <row r="19" spans="1:51" s="21" customFormat="1" ht="24.95" customHeight="1">
      <c r="A19" s="12"/>
      <c r="B19" s="13"/>
      <c r="C19" s="13"/>
      <c r="D19" s="14"/>
      <c r="E19" s="14"/>
      <c r="F19" s="14"/>
      <c r="G19" s="49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</row>
    <row r="20" spans="1:51" s="21" customFormat="1" ht="24.95" customHeight="1">
      <c r="A20" s="12"/>
      <c r="B20" s="13"/>
      <c r="C20" s="13"/>
      <c r="D20" s="14"/>
      <c r="E20" s="14"/>
      <c r="F20" s="14"/>
      <c r="G20" s="49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</row>
    <row r="21" spans="1:51" s="21" customFormat="1" ht="24.95" customHeight="1">
      <c r="A21" s="12"/>
      <c r="B21" s="13"/>
      <c r="C21" s="13"/>
      <c r="D21" s="14"/>
      <c r="E21" s="14"/>
      <c r="F21" s="14"/>
      <c r="G21" s="49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</row>
    <row r="22" spans="1:51" s="21" customFormat="1" ht="24.95" customHeight="1">
      <c r="A22" s="12"/>
      <c r="B22" s="13"/>
      <c r="C22" s="13"/>
      <c r="D22" s="14"/>
      <c r="E22" s="14"/>
      <c r="F22" s="14"/>
      <c r="G22" s="49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</row>
    <row r="23" spans="1:51" s="21" customFormat="1" ht="24.95" customHeight="1">
      <c r="A23" s="12"/>
      <c r="B23" s="13"/>
      <c r="C23" s="13"/>
      <c r="D23" s="14"/>
      <c r="E23" s="14"/>
      <c r="F23" s="14"/>
      <c r="G23" s="49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</row>
    <row r="24" spans="1:51" s="21" customFormat="1" ht="24.95" customHeight="1">
      <c r="A24" s="12"/>
      <c r="B24" s="13"/>
      <c r="C24" s="13"/>
      <c r="D24" s="14"/>
      <c r="E24" s="14"/>
      <c r="F24" s="14"/>
      <c r="G24" s="49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</row>
    <row r="25" spans="1:51" s="21" customFormat="1" ht="24.95" customHeight="1">
      <c r="A25" s="12"/>
      <c r="B25" s="13"/>
      <c r="C25" s="13"/>
      <c r="D25" s="14"/>
      <c r="E25" s="14"/>
      <c r="F25" s="14"/>
      <c r="G25" s="49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</row>
    <row r="26" spans="1:51" s="21" customFormat="1" ht="24.95" customHeight="1">
      <c r="A26" s="12"/>
      <c r="B26" s="13"/>
      <c r="C26" s="13"/>
      <c r="D26" s="14"/>
      <c r="E26" s="14"/>
      <c r="F26" s="14"/>
      <c r="G26" s="49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</row>
    <row r="27" spans="1:51" s="21" customFormat="1" ht="24.95" customHeight="1">
      <c r="A27" s="12"/>
      <c r="B27" s="13"/>
      <c r="C27" s="13"/>
      <c r="D27" s="14"/>
      <c r="E27" s="14"/>
      <c r="F27" s="14"/>
      <c r="G27" s="49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</row>
    <row r="28" spans="1:51" s="21" customFormat="1" ht="24.95" customHeight="1">
      <c r="A28" s="12"/>
      <c r="B28" s="13"/>
      <c r="C28" s="13"/>
      <c r="D28" s="14"/>
      <c r="E28" s="14"/>
      <c r="F28" s="14"/>
      <c r="G28" s="49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</row>
    <row r="29" spans="1:51" s="21" customFormat="1" ht="24.95" customHeight="1">
      <c r="A29" s="12"/>
      <c r="B29" s="13"/>
      <c r="C29" s="13"/>
      <c r="D29" s="14"/>
      <c r="E29" s="14"/>
      <c r="F29" s="14"/>
      <c r="G29" s="49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</row>
    <row r="30" spans="1:51" s="21" customFormat="1" ht="24.95" customHeight="1">
      <c r="A30" s="12"/>
      <c r="B30" s="13"/>
      <c r="C30" s="13"/>
      <c r="D30" s="14"/>
      <c r="E30" s="14"/>
      <c r="F30" s="14"/>
      <c r="G30" s="49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</row>
    <row r="31" spans="1:51" s="21" customFormat="1" ht="24.95" customHeight="1">
      <c r="A31" s="12"/>
      <c r="B31" s="13"/>
      <c r="C31" s="13"/>
      <c r="D31" s="14"/>
      <c r="E31" s="14"/>
      <c r="F31" s="14"/>
      <c r="G31" s="49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</row>
    <row r="32" spans="1:51" s="21" customFormat="1" ht="24.95" customHeight="1">
      <c r="A32" s="12"/>
      <c r="B32" s="13"/>
      <c r="C32" s="13"/>
      <c r="D32" s="14"/>
      <c r="E32" s="14"/>
      <c r="F32" s="14"/>
      <c r="G32" s="49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</row>
    <row r="33" spans="1:51" s="21" customFormat="1" ht="24.95" customHeight="1">
      <c r="A33" s="12"/>
      <c r="B33" s="13"/>
      <c r="C33" s="13"/>
      <c r="D33" s="14"/>
      <c r="E33" s="14"/>
      <c r="F33" s="14"/>
      <c r="G33" s="49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</row>
    <row r="34" spans="1:51" s="21" customFormat="1" ht="24.95" customHeight="1">
      <c r="A34" s="12"/>
      <c r="B34" s="13"/>
      <c r="C34" s="13"/>
      <c r="D34" s="14"/>
      <c r="E34" s="14"/>
      <c r="F34" s="14"/>
      <c r="G34" s="49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</row>
    <row r="35" spans="1:51" s="25" customFormat="1" ht="24.95" customHeight="1">
      <c r="A35" s="12"/>
      <c r="B35" s="13"/>
      <c r="C35" s="13"/>
      <c r="D35" s="14"/>
      <c r="E35" s="14"/>
      <c r="F35" s="14"/>
      <c r="G35" s="49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</row>
    <row r="36" spans="1:51" ht="24.95" customHeight="1"/>
    <row r="37" spans="1:51" ht="24.95" customHeight="1"/>
    <row r="38" spans="1:51" ht="24.95" customHeight="1"/>
    <row r="39" spans="1:51" ht="24.95" customHeight="1"/>
    <row r="40" spans="1:51" ht="24.95" customHeight="1"/>
    <row r="41" spans="1:51" ht="24.95" customHeight="1"/>
    <row r="42" spans="1:51" ht="24.95" customHeight="1"/>
    <row r="43" spans="1:51" ht="24.95" customHeight="1"/>
    <row r="44" spans="1:51" ht="24.95" customHeight="1"/>
    <row r="45" spans="1:51" ht="24.95" customHeight="1"/>
    <row r="46" spans="1:51" ht="24.95" customHeight="1"/>
    <row r="47" spans="1:51" ht="24.95" customHeight="1"/>
    <row r="48" spans="1:51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  <row r="61" ht="24.95" customHeight="1"/>
    <row r="62" ht="24.95" customHeight="1"/>
    <row r="63" ht="24.95" customHeight="1"/>
    <row r="64" ht="24.95" customHeight="1"/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  <row r="80" ht="24.95" customHeight="1"/>
    <row r="81" ht="24.95" customHeight="1"/>
    <row r="82" ht="24.95" customHeight="1"/>
    <row r="83" ht="24.95" customHeight="1"/>
    <row r="84" ht="24.95" customHeight="1"/>
    <row r="85" ht="24.95" customHeight="1"/>
    <row r="86" ht="24.95" customHeight="1"/>
    <row r="87" ht="24.95" customHeight="1"/>
    <row r="88" ht="24.95" customHeight="1"/>
    <row r="89" ht="24.95" customHeight="1"/>
    <row r="90" ht="24.95" customHeight="1"/>
    <row r="91" ht="24.95" customHeight="1"/>
    <row r="92" ht="24.95" customHeight="1"/>
    <row r="93" ht="24.95" customHeight="1"/>
    <row r="94" ht="24.95" customHeight="1"/>
    <row r="95" ht="24.95" customHeight="1"/>
    <row r="96" ht="24.95" customHeight="1"/>
    <row r="97" ht="24.95" customHeight="1"/>
    <row r="98" ht="24.95" customHeight="1"/>
    <row r="99" ht="24.95" customHeight="1"/>
    <row r="100" ht="24.95" customHeight="1"/>
    <row r="101" ht="24.95" customHeight="1"/>
    <row r="102" ht="24.95" customHeight="1"/>
    <row r="103" ht="24.95" customHeight="1"/>
    <row r="104" ht="24.95" customHeight="1"/>
    <row r="105" ht="24.95" customHeight="1"/>
    <row r="106" ht="24.95" customHeight="1"/>
    <row r="107" ht="24.95" customHeight="1"/>
    <row r="108" ht="24.95" customHeight="1"/>
    <row r="109" ht="24.95" customHeight="1"/>
    <row r="110" ht="24.95" customHeight="1"/>
    <row r="111" ht="24.95" customHeight="1"/>
    <row r="112" ht="24.95" customHeight="1"/>
    <row r="113" ht="24.95" customHeight="1"/>
    <row r="114" ht="24.95" customHeight="1"/>
    <row r="115" ht="24.95" customHeight="1"/>
    <row r="116" ht="24.95" customHeight="1"/>
    <row r="117" ht="24.95" customHeight="1"/>
    <row r="118" ht="24.95" customHeight="1"/>
    <row r="119" ht="24.95" customHeight="1"/>
    <row r="120" ht="24.95" customHeight="1"/>
    <row r="121" ht="24.95" customHeight="1"/>
    <row r="122" ht="24.95" customHeight="1"/>
    <row r="123" ht="24.95" customHeight="1"/>
    <row r="124" ht="24.95" customHeight="1"/>
    <row r="125" ht="24.95" customHeight="1"/>
    <row r="126" ht="24.95" customHeight="1"/>
    <row r="127" ht="24.95" customHeight="1"/>
  </sheetData>
  <mergeCells count="9">
    <mergeCell ref="G6:G7"/>
    <mergeCell ref="E8:G8"/>
    <mergeCell ref="F6:F7"/>
    <mergeCell ref="E6:E7"/>
    <mergeCell ref="A6:A8"/>
    <mergeCell ref="B6:B7"/>
    <mergeCell ref="C6:C7"/>
    <mergeCell ref="D6:D7"/>
    <mergeCell ref="B8:D8"/>
  </mergeCells>
  <phoneticPr fontId="24" type="noConversion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workbookViewId="0">
      <selection activeCell="K9" sqref="K9"/>
    </sheetView>
  </sheetViews>
  <sheetFormatPr defaultRowHeight="15.95" customHeight="1"/>
  <cols>
    <col min="1" max="1" width="12.140625" style="1" customWidth="1"/>
    <col min="2" max="2" width="9.42578125" style="1" customWidth="1"/>
    <col min="3" max="3" width="9.140625" style="1"/>
    <col min="4" max="4" width="17.85546875" style="1" customWidth="1"/>
    <col min="5" max="5" width="15.28515625" style="1" customWidth="1"/>
    <col min="6" max="6" width="16.85546875" style="1" customWidth="1"/>
    <col min="7" max="7" width="11.28515625" style="1" customWidth="1"/>
    <col min="8" max="8" width="18.5703125" style="1" customWidth="1"/>
    <col min="9" max="9" width="14" style="1" customWidth="1"/>
    <col min="10" max="16384" width="9.140625" style="1"/>
  </cols>
  <sheetData>
    <row r="1" spans="1:11" ht="15.95" customHeight="1">
      <c r="A1" s="27" t="s">
        <v>20</v>
      </c>
    </row>
    <row r="2" spans="1:11" s="29" customFormat="1" ht="15.95" customHeight="1">
      <c r="D2" s="28"/>
      <c r="E2" s="28"/>
      <c r="F2" s="28"/>
      <c r="H2" s="28"/>
      <c r="I2" s="28"/>
      <c r="K2" s="14"/>
    </row>
    <row r="3" spans="1:11" ht="15.95" customHeight="1">
      <c r="A3" s="2" t="s">
        <v>7</v>
      </c>
      <c r="B3" s="2" t="s">
        <v>11</v>
      </c>
      <c r="C3" s="2" t="s">
        <v>12</v>
      </c>
      <c r="D3" s="3" t="s">
        <v>9</v>
      </c>
      <c r="E3" s="2" t="s">
        <v>10</v>
      </c>
      <c r="F3" s="2" t="s">
        <v>13</v>
      </c>
      <c r="G3" s="4" t="s">
        <v>14</v>
      </c>
      <c r="H3" s="5" t="s">
        <v>15</v>
      </c>
      <c r="I3" s="5" t="s">
        <v>16</v>
      </c>
      <c r="J3" s="6" t="s">
        <v>8</v>
      </c>
    </row>
    <row r="4" spans="1:11" ht="15.95" customHeight="1">
      <c r="A4" s="61"/>
      <c r="B4" s="7"/>
      <c r="C4" s="33"/>
      <c r="D4" s="34"/>
      <c r="E4" s="34"/>
      <c r="F4" s="34"/>
      <c r="G4" s="8" t="e">
        <f>E4/F4</f>
        <v>#DIV/0!</v>
      </c>
      <c r="H4" s="34"/>
      <c r="I4" s="34"/>
      <c r="J4" s="8" t="e">
        <f>I4/H4</f>
        <v>#DIV/0!</v>
      </c>
    </row>
    <row r="5" spans="1:11" ht="15.95" customHeight="1">
      <c r="A5" s="62"/>
      <c r="B5" s="63" t="s">
        <v>17</v>
      </c>
      <c r="C5" s="63"/>
      <c r="D5" s="35"/>
      <c r="E5" s="35"/>
      <c r="F5" s="35"/>
      <c r="G5" s="9" t="e">
        <f>E5/F5</f>
        <v>#DIV/0!</v>
      </c>
      <c r="H5" s="35"/>
      <c r="I5" s="35"/>
      <c r="J5" s="9" t="e">
        <f>I5/H5</f>
        <v>#DIV/0!</v>
      </c>
    </row>
    <row r="6" spans="1:11" ht="15.95" customHeight="1">
      <c r="A6" s="64" t="s">
        <v>18</v>
      </c>
      <c r="B6" s="64"/>
      <c r="C6" s="64"/>
      <c r="D6" s="34" t="e">
        <f>SUM(#REF!,D5)</f>
        <v>#REF!</v>
      </c>
      <c r="E6" s="34" t="e">
        <f>SUM(#REF!,E5)</f>
        <v>#REF!</v>
      </c>
      <c r="F6" s="34" t="e">
        <f>SUM(#REF!,F5)</f>
        <v>#REF!</v>
      </c>
      <c r="G6" s="10" t="e">
        <f>E6/F6</f>
        <v>#REF!</v>
      </c>
      <c r="H6" s="34" t="e">
        <f>SUM(#REF!,H5)</f>
        <v>#REF!</v>
      </c>
      <c r="I6" s="34" t="e">
        <f>SUM(#REF!,I5)</f>
        <v>#REF!</v>
      </c>
      <c r="J6" s="11" t="e">
        <f>I6/H6</f>
        <v>#REF!</v>
      </c>
    </row>
  </sheetData>
  <mergeCells count="3">
    <mergeCell ref="A4:A5"/>
    <mergeCell ref="B5:C5"/>
    <mergeCell ref="A6:C6"/>
  </mergeCells>
  <phoneticPr fontId="2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Per Factory</vt:lpstr>
      <vt:lpstr>Per 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queenie.murillo</dc:creator>
  <cp:lastModifiedBy>J1-7221</cp:lastModifiedBy>
  <cp:lastPrinted>2020-08-04T07:43:57Z</cp:lastPrinted>
  <dcterms:created xsi:type="dcterms:W3CDTF">2020-03-10T07:03:41Z</dcterms:created>
  <dcterms:modified xsi:type="dcterms:W3CDTF">2021-02-23T01:35:39Z</dcterms:modified>
</cp:coreProperties>
</file>