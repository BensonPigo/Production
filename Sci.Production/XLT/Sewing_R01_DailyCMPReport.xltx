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<sst xmlns="http://schemas.openxmlformats.org/spreadsheetml/2006/main" count="173" uniqueCount="26">
  <si>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</si>
  <si>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</si>
  <si>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</si>
  <si>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</si>
  <si>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</si>
  <si>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</si>
  <si>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</si>
  <si>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</si>
  <si>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</si>
  <si>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</si>
  <si>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</si>
  <si>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</si>
  <si>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</si>
  <si>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</si>
  <si>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</si>
  <si>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</si>
  <si>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</si>
  <si>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</si>
  <si>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</si>
  <si>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</si>
  <si>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</si>
  <si>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</si>
  <si>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</si>
  <si>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(Excluded SubCon In &amp; Out)</t>
  </si>
  <si>
    <t>Sub-Process Total Revenue(Included SubCon Out) :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</si>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</sst>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77" fontId="3" fillId="0" borderId="1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topLeftCell="A46" workbookViewId="0">
      <selection activeCell="C51" sqref="C51"/>
    </sheetView>
  </sheetViews>
  <sheetFormatPr defaultRowHeight="16.5"/>
  <cols>
    <col min="1" max="1" width="8.875" style="4" customWidth="1"/>
    <col min="2" max="2" width="16.25" style="4" customWidth="1"/>
    <col min="3" max="3" width="20.1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5.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17.25" thickBot="1">
      <c r="A3" s="82" t="s">
        <v>0</v>
      </c>
      <c r="B3" s="82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>
      <c r="S5" s="77"/>
    </row>
    <row r="6" spans="1:19">
      <c r="S6" s="78"/>
    </row>
    <row r="7" spans="1:19" ht="17.25" thickBot="1">
      <c r="A7" s="66" t="s">
        <v>25</v>
      </c>
      <c r="B7" s="67"/>
      <c r="C7" s="69"/>
      <c r="D7" s="67"/>
      <c r="E7" s="71"/>
      <c r="F7" s="70"/>
      <c r="G7" s="73"/>
      <c r="H7" s="71"/>
      <c r="I7" s="68"/>
      <c r="J7" s="70"/>
      <c r="K7" s="71"/>
      <c r="L7" s="68"/>
      <c r="M7" s="71"/>
      <c r="N7" s="71" t="e">
        <f>M7/G7</f>
        <v>#DIV/0!</v>
      </c>
      <c r="O7" s="71" t="e">
        <f>ROUND((M7/(G7*3600/1400))*100,1)</f>
        <v>#DIV/0!</v>
      </c>
      <c r="P7" s="73"/>
      <c r="Q7" s="74"/>
      <c r="R7" s="75"/>
      <c r="S7" s="76"/>
    </row>
    <row r="9" spans="1:19" ht="17.25" thickBot="1">
      <c r="A9" s="82" t="s">
        <v>0</v>
      </c>
      <c r="B9" s="82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>
      <c r="S11" s="77"/>
    </row>
    <row r="12" spans="1:19">
      <c r="S12" s="79"/>
    </row>
    <row r="13" spans="1:19" ht="17.25" thickBot="1">
      <c r="A13" s="66" t="s">
        <v>25</v>
      </c>
      <c r="B13" s="67"/>
      <c r="C13" s="69"/>
      <c r="D13" s="67"/>
      <c r="E13" s="71"/>
      <c r="F13" s="70"/>
      <c r="G13" s="73"/>
      <c r="H13" s="71"/>
      <c r="I13" s="68"/>
      <c r="J13" s="70"/>
      <c r="K13" s="71"/>
      <c r="L13" s="68"/>
      <c r="M13" s="71"/>
      <c r="N13" s="71" t="e">
        <f>M13/G13</f>
        <v>#DIV/0!</v>
      </c>
      <c r="O13" s="71" t="e">
        <f>ROUND((M13/(G13*3600/1400))*100,1)</f>
        <v>#DIV/0!</v>
      </c>
      <c r="P13" s="73"/>
      <c r="Q13" s="74"/>
      <c r="R13" s="75"/>
      <c r="S13" s="76"/>
    </row>
    <row r="15" spans="1:19" ht="17.25" thickBot="1">
      <c r="A15" s="82" t="s">
        <v>0</v>
      </c>
      <c r="B15" s="82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>
      <c r="S17" s="77"/>
    </row>
    <row r="18" spans="1:19">
      <c r="S18" s="79"/>
    </row>
    <row r="19" spans="1:19" ht="17.25" thickBot="1">
      <c r="A19" s="66" t="s">
        <v>25</v>
      </c>
      <c r="B19" s="67"/>
      <c r="C19" s="69"/>
      <c r="D19" s="67"/>
      <c r="E19" s="71"/>
      <c r="F19" s="70"/>
      <c r="G19" s="73"/>
      <c r="H19" s="71"/>
      <c r="I19" s="68"/>
      <c r="J19" s="70"/>
      <c r="K19" s="71"/>
      <c r="L19" s="68"/>
      <c r="M19" s="71"/>
      <c r="N19" s="71" t="e">
        <f>M19/G19</f>
        <v>#DIV/0!</v>
      </c>
      <c r="O19" s="71" t="e">
        <f>ROUND((M19/(G19*3600/1400))*100,1)</f>
        <v>#DIV/0!</v>
      </c>
      <c r="P19" s="73"/>
      <c r="Q19" s="74"/>
      <c r="R19" s="75"/>
      <c r="S19" s="76"/>
    </row>
    <row r="21" spans="1:19" ht="17.25" thickBot="1">
      <c r="A21" s="82" t="s">
        <v>0</v>
      </c>
      <c r="B21" s="82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>
      <c r="S23" s="77"/>
    </row>
    <row r="24" spans="1:19">
      <c r="S24" s="79"/>
    </row>
    <row r="25" spans="1:19" ht="17.25" thickBot="1">
      <c r="A25" s="66" t="s">
        <v>25</v>
      </c>
      <c r="B25" s="67"/>
      <c r="C25" s="69"/>
      <c r="D25" s="67"/>
      <c r="E25" s="71"/>
      <c r="F25" s="70"/>
      <c r="G25" s="73"/>
      <c r="H25" s="71"/>
      <c r="I25" s="68"/>
      <c r="J25" s="70"/>
      <c r="K25" s="71"/>
      <c r="L25" s="68"/>
      <c r="M25" s="71"/>
      <c r="N25" s="71" t="e">
        <f>M25/G25</f>
        <v>#DIV/0!</v>
      </c>
      <c r="O25" s="71" t="e">
        <f>ROUND((M25/(G25*3600/1400))*100,1)</f>
        <v>#DIV/0!</v>
      </c>
      <c r="P25" s="73"/>
      <c r="Q25" s="74"/>
      <c r="R25" s="75"/>
      <c r="S25" s="76"/>
    </row>
    <row r="27" spans="1:19" ht="17.25" thickBot="1">
      <c r="A27" s="82" t="s">
        <v>0</v>
      </c>
      <c r="B27" s="82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>
      <c r="S29" s="77"/>
    </row>
    <row r="30" spans="1:19">
      <c r="S30" s="79"/>
    </row>
    <row r="31" spans="1:19" ht="17.25" thickBot="1">
      <c r="A31" s="66" t="s">
        <v>25</v>
      </c>
      <c r="B31" s="67"/>
      <c r="C31" s="69"/>
      <c r="D31" s="67"/>
      <c r="E31" s="71"/>
      <c r="F31" s="70"/>
      <c r="G31" s="73"/>
      <c r="H31" s="71"/>
      <c r="I31" s="68"/>
      <c r="J31" s="70"/>
      <c r="K31" s="71"/>
      <c r="L31" s="68"/>
      <c r="M31" s="71"/>
      <c r="N31" s="71" t="e">
        <f>M31/G31</f>
        <v>#DIV/0!</v>
      </c>
      <c r="O31" s="71" t="e">
        <f>ROUND((M31/(G31*3600/1400))*100,1)</f>
        <v>#DIV/0!</v>
      </c>
      <c r="P31" s="73"/>
      <c r="Q31" s="74"/>
      <c r="R31" s="75"/>
      <c r="S31" s="76"/>
    </row>
    <row r="33" spans="1:19" ht="17.25" thickBot="1">
      <c r="A33" s="82" t="s">
        <v>0</v>
      </c>
      <c r="B33" s="82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>
      <c r="S35" s="77"/>
    </row>
    <row r="36" spans="1:19">
      <c r="S36" s="79"/>
    </row>
    <row r="37" spans="1:19" ht="17.25" thickBot="1">
      <c r="A37" s="66" t="s">
        <v>25</v>
      </c>
      <c r="B37" s="67"/>
      <c r="C37" s="69"/>
      <c r="D37" s="67"/>
      <c r="E37" s="71"/>
      <c r="F37" s="70"/>
      <c r="G37" s="73"/>
      <c r="H37" s="71"/>
      <c r="I37" s="68"/>
      <c r="J37" s="70"/>
      <c r="K37" s="71"/>
      <c r="L37" s="68"/>
      <c r="M37" s="71"/>
      <c r="N37" s="71" t="e">
        <f>M37/G37</f>
        <v>#DIV/0!</v>
      </c>
      <c r="O37" s="71" t="e">
        <f>ROUND((M37/(G37*3600/1400))*100,1)</f>
        <v>#DIV/0!</v>
      </c>
      <c r="P37" s="73"/>
      <c r="Q37" s="74"/>
      <c r="R37" s="75"/>
      <c r="S37" s="76"/>
    </row>
    <row r="39" spans="1:19" ht="17.25" thickBot="1">
      <c r="A39" s="82" t="s">
        <v>0</v>
      </c>
      <c r="B39" s="82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>
      <c r="S41" s="77"/>
    </row>
    <row r="42" spans="1:19">
      <c r="S42" s="79"/>
    </row>
    <row r="43" spans="1:19" ht="17.25" thickBot="1">
      <c r="A43" s="66" t="s">
        <v>25</v>
      </c>
      <c r="B43" s="67"/>
      <c r="C43" s="69"/>
      <c r="D43" s="67"/>
      <c r="E43" s="71"/>
      <c r="F43" s="70"/>
      <c r="G43" s="73"/>
      <c r="H43" s="71"/>
      <c r="I43" s="68"/>
      <c r="J43" s="70"/>
      <c r="K43" s="71"/>
      <c r="L43" s="68"/>
      <c r="M43" s="71"/>
      <c r="N43" s="71" t="e">
        <f>M43/G43</f>
        <v>#DIV/0!</v>
      </c>
      <c r="O43" s="71" t="e">
        <f>ROUND((M43/(G43*3600/1400))*100,1)</f>
        <v>#DIV/0!</v>
      </c>
      <c r="P43" s="73"/>
      <c r="Q43" s="74"/>
      <c r="R43" s="75"/>
      <c r="S43" s="76"/>
    </row>
    <row r="45" spans="1:19" ht="17.25" thickBot="1">
      <c r="A45" s="82" t="s">
        <v>0</v>
      </c>
      <c r="B45" s="82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>
      <c r="S47" s="77"/>
    </row>
    <row r="48" spans="1:19">
      <c r="S48" s="79"/>
    </row>
    <row r="49" spans="1:19" ht="17.25" thickBot="1">
      <c r="A49" s="66" t="s">
        <v>25</v>
      </c>
      <c r="B49" s="67"/>
      <c r="C49" s="69"/>
      <c r="D49" s="67"/>
      <c r="E49" s="71"/>
      <c r="F49" s="70"/>
      <c r="G49" s="73"/>
      <c r="H49" s="71"/>
      <c r="I49" s="68"/>
      <c r="J49" s="70"/>
      <c r="K49" s="71"/>
      <c r="L49" s="68"/>
      <c r="M49" s="71"/>
      <c r="N49" s="71" t="e">
        <f>M49/G49</f>
        <v>#DIV/0!</v>
      </c>
      <c r="O49" s="71" t="e">
        <f>ROUND((M49/(G49*3600/1400))*100,1)</f>
        <v>#DIV/0!</v>
      </c>
      <c r="P49" s="73"/>
      <c r="Q49" s="74"/>
      <c r="R49" s="75"/>
      <c r="S49" s="76"/>
    </row>
    <row r="50" spans="1:19" ht="17.25" thickBot="1"/>
    <row r="51" spans="1:19" ht="17.25" thickBot="1">
      <c r="A51" s="23" t="s">
        <v>20</v>
      </c>
      <c r="B51" s="23"/>
      <c r="C51" s="35" t="s">
        <v>21</v>
      </c>
      <c r="D51" s="23"/>
      <c r="E51" s="41"/>
      <c r="F51" s="38"/>
      <c r="G51" s="44"/>
      <c r="H51" s="41"/>
      <c r="I51" s="24"/>
      <c r="J51" s="38"/>
      <c r="K51" s="41"/>
      <c r="L51" s="24"/>
      <c r="M51" s="41"/>
      <c r="N51" s="41" t="e">
        <f>ROUND((M51/(G51)),2)</f>
        <v>#DIV/0!</v>
      </c>
      <c r="O51" s="41" t="e">
        <f>ROUND(M51/H51*100,1)</f>
        <v>#DIV/0!</v>
      </c>
      <c r="P51" s="44"/>
      <c r="Q51" s="44"/>
      <c r="R51" s="54"/>
      <c r="S51" s="54"/>
    </row>
    <row r="52" spans="1:19" ht="17.25" thickBot="1">
      <c r="A52" s="23"/>
      <c r="B52" s="23"/>
      <c r="C52" s="35" t="s">
        <v>22</v>
      </c>
      <c r="D52" s="23"/>
      <c r="E52" s="41"/>
      <c r="F52" s="38"/>
      <c r="G52" s="44"/>
      <c r="H52" s="41"/>
      <c r="I52" s="24"/>
      <c r="J52" s="38"/>
      <c r="K52" s="41"/>
      <c r="L52" s="24"/>
      <c r="M52" s="41"/>
      <c r="N52" s="72" t="e">
        <f t="shared" ref="N52:N53" si="0">ROUND((M52/(G52)),2)</f>
        <v>#DIV/0!</v>
      </c>
      <c r="O52" s="41" t="e">
        <f>ROUND(M52/H52*100,1)</f>
        <v>#DIV/0!</v>
      </c>
      <c r="P52" s="44"/>
      <c r="Q52" s="44"/>
      <c r="R52" s="54"/>
      <c r="S52" s="54"/>
    </row>
    <row r="53" spans="1:19" ht="17.25" thickBot="1">
      <c r="A53" s="23"/>
      <c r="B53" s="23"/>
      <c r="C53" s="35" t="s">
        <v>23</v>
      </c>
      <c r="D53" s="23"/>
      <c r="E53" s="41"/>
      <c r="F53" s="38"/>
      <c r="G53" s="44"/>
      <c r="H53" s="41"/>
      <c r="I53" s="24"/>
      <c r="J53" s="38"/>
      <c r="K53" s="41"/>
      <c r="L53" s="24"/>
      <c r="M53" s="41"/>
      <c r="N53" s="72" t="e">
        <f t="shared" si="0"/>
        <v>#DIV/0!</v>
      </c>
      <c r="O53" s="41" t="e">
        <f>ROUND(M53/H53*100,1)</f>
        <v>#DIV/0!</v>
      </c>
      <c r="P53" s="44"/>
      <c r="Q53" s="44"/>
      <c r="R53" s="54"/>
      <c r="S53" s="54"/>
    </row>
    <row r="54" spans="1:19" ht="17.25" thickBot="1">
      <c r="A54" s="61"/>
      <c r="B54" s="61"/>
      <c r="C54" s="34"/>
      <c r="D54" s="61"/>
      <c r="E54" s="49"/>
      <c r="F54" s="52"/>
      <c r="G54" s="46"/>
      <c r="H54" s="49"/>
      <c r="I54" s="28"/>
      <c r="J54" s="52"/>
      <c r="K54" s="49"/>
      <c r="L54" s="28"/>
      <c r="M54" s="49"/>
      <c r="N54" s="49"/>
      <c r="O54" s="49"/>
      <c r="P54" s="46"/>
      <c r="Q54" s="46"/>
      <c r="R54" s="55"/>
      <c r="S54" s="58"/>
    </row>
    <row r="55" spans="1:19" ht="17.25" thickBot="1">
      <c r="A55" s="62" t="s">
        <v>24</v>
      </c>
      <c r="B55" s="62"/>
      <c r="C55" s="63"/>
      <c r="D55" s="62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5"/>
    </row>
    <row r="56" spans="1:19">
      <c r="A56" s="25"/>
      <c r="B56" s="30"/>
      <c r="C56" s="36"/>
      <c r="D56" s="32"/>
      <c r="E56" s="42"/>
      <c r="F56" s="39"/>
      <c r="G56" s="45"/>
      <c r="H56" s="48"/>
      <c r="I56" s="27"/>
      <c r="J56" s="51"/>
      <c r="K56" s="48"/>
      <c r="L56" s="27"/>
      <c r="M56" s="48"/>
      <c r="N56" s="48"/>
      <c r="O56" s="48"/>
      <c r="P56" s="45"/>
      <c r="Q56" s="45"/>
      <c r="R56" s="56"/>
      <c r="S56" s="59"/>
    </row>
    <row r="57" spans="1:19" ht="17.25" thickBot="1">
      <c r="A57" s="26"/>
      <c r="B57" s="31"/>
      <c r="C57" s="37"/>
      <c r="D57" s="33"/>
      <c r="E57" s="43"/>
      <c r="F57" s="40"/>
      <c r="G57" s="47"/>
      <c r="H57" s="50"/>
      <c r="I57" s="29"/>
      <c r="J57" s="53"/>
      <c r="K57" s="50"/>
      <c r="L57" s="29"/>
      <c r="M57" s="50"/>
      <c r="N57" s="50"/>
      <c r="O57" s="50"/>
      <c r="P57" s="47"/>
      <c r="Q57" s="47"/>
      <c r="R57" s="57"/>
      <c r="S57" s="60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WennyTsai蔡文涵</cp:lastModifiedBy>
  <cp:lastPrinted>2017-03-07T03:20:10Z</cp:lastPrinted>
  <dcterms:created xsi:type="dcterms:W3CDTF">2016-04-25T08:26:49Z</dcterms:created>
  <dcterms:modified xsi:type="dcterms:W3CDTF">2017-05-16T07:32:55Z</dcterms:modified>
</cp:coreProperties>
</file>