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U55" i="1" l="1"/>
  <c r="T55" i="1"/>
  <c r="T57" i="1"/>
  <c r="U57" i="1"/>
  <c r="T58" i="1"/>
  <c r="U58" i="1"/>
  <c r="T59" i="1"/>
  <c r="U59" i="1"/>
  <c r="U49" i="1" l="1"/>
  <c r="T49" i="1"/>
  <c r="U43" i="1"/>
  <c r="T43" i="1"/>
  <c r="U37" i="1"/>
  <c r="T37" i="1"/>
  <c r="U31" i="1"/>
  <c r="T31" i="1"/>
  <c r="U25" i="1"/>
  <c r="T25" i="1"/>
  <c r="U19" i="1"/>
  <c r="T19" i="1"/>
  <c r="U13" i="1"/>
  <c r="T13" i="1"/>
  <c r="T7" i="1"/>
  <c r="U7" i="1"/>
</calcChain>
</file>

<file path=xl/sharedStrings.xml><?xml version="1.0" encoding="utf-8"?>
<sst xmlns="http://schemas.openxmlformats.org/spreadsheetml/2006/main" count="258" uniqueCount="34">
  <si>
    <t>DAY SHIFT: A Team</t>
  </si>
  <si>
    <t>Cell #</t>
  </si>
  <si>
    <t>SP #</t>
  </si>
  <si>
    <t>Style 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</si>
  <si>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</si>
  <si>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</si>
  <si>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</si>
  <si>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</si>
  <si>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</si>
  <si>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</si>
  <si>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</si>
  <si>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</si>
  <si>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</si>
  <si>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</si>
  <si>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</si>
  <si>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</si>
  <si>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</si>
  <si>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</si>
  <si>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</si>
  <si>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</si>
  <si>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</si>
  <si>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</si>
  <si>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</si>
  <si>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</si>
  <si>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Direct Manpower(From PAMS)</t>
    <phoneticPr fontId="1" type="noConversion"/>
  </si>
  <si>
    <t>New
CD Code</t>
    <phoneticPr fontId="1" type="noConversion"/>
  </si>
  <si>
    <t>ProductType</t>
    <phoneticPr fontId="1" type="noConversion"/>
  </si>
  <si>
    <t>FabricType</t>
    <phoneticPr fontId="1" type="noConversion"/>
  </si>
  <si>
    <t>Lining</t>
    <phoneticPr fontId="1" type="noConversion"/>
  </si>
  <si>
    <t>Gender</t>
    <phoneticPr fontId="1" type="noConversion"/>
  </si>
  <si>
    <t>Construction</t>
    <phoneticPr fontId="1" type="noConversion"/>
  </si>
  <si>
    <t>SP Factory</t>
  </si>
  <si>
    <t>Sub-Process Total Revenue(Included SubCon Out, Exclude NON-Sister SubCon in) :</t>
    <phoneticPr fontId="1" type="noConversion"/>
  </si>
  <si>
    <t>Combo 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</si>
</sst>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9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183" fontId="3" fillId="0" borderId="4" xfId="1" applyNumberFormat="1" applyFont="1" applyBorder="1" applyAlignment="1">
      <alignment horizontal="center" vertical="center"/>
    </xf>
    <xf numFmtId="0" fontId="3" fillId="0" borderId="17" xfId="1" applyFont="1" applyBorder="1" applyAlignment="1">
      <alignment horizontal="left" vertical="center"/>
    </xf>
    <xf numFmtId="49" fontId="3" fillId="0" borderId="2" xfId="1" applyNumberFormat="1" applyFont="1" applyBorder="1" applyAlignment="1">
      <alignment horizontal="center" vertical="center" wrapText="1"/>
    </xf>
    <xf numFmtId="183" fontId="0" fillId="0" borderId="24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22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83" fontId="0" fillId="0" borderId="0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5" xfId="0" applyBorder="1">
      <alignment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  <xf numFmtId="183" fontId="3" fillId="0" borderId="0" xfId="1" applyNumberFormat="1" applyFont="1" applyBorder="1" applyAlignment="1">
      <alignment horizontal="center" vertical="center"/>
    </xf>
    <xf numFmtId="184" fontId="3" fillId="0" borderId="0" xfId="1" applyNumberFormat="1" applyFont="1" applyBorder="1" applyAlignment="1">
      <alignment horizontal="center" vertical="center"/>
    </xf>
    <xf numFmtId="0" fontId="3" fillId="0" borderId="0" xfId="1" applyNumberFormat="1" applyFont="1" applyBorder="1" applyAlignment="1">
      <alignment horizontal="center" vertical="center"/>
    </xf>
    <xf numFmtId="0" fontId="0" fillId="0" borderId="0" xfId="0" applyBorder="1">
      <alignment vertical="center"/>
    </xf>
  </cellXfs>
  <cellStyles count="2">
    <cellStyle name="Normal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64"/>
  <sheetViews>
    <sheetView tabSelected="1" topLeftCell="A43" zoomScale="90" zoomScaleNormal="90" workbookViewId="0">
      <selection activeCell="D66" sqref="D66"/>
    </sheetView>
  </sheetViews>
  <sheetFormatPr defaultRowHeight="16.5" x14ac:dyDescent="0.25"/>
  <cols>
    <col min="1" max="1" width="8.875" style="4" customWidth="1"/>
    <col min="2" max="2" width="16.25" style="4" customWidth="1"/>
    <col min="3" max="3" width="24.25" style="4" customWidth="1"/>
    <col min="4" max="4" width="11" style="4" bestFit="1" customWidth="1"/>
    <col min="5" max="5" width="7.625" style="4" customWidth="1"/>
    <col min="6" max="6" width="9.375" style="4" customWidth="1"/>
    <col min="7" max="7" width="8.75" style="4" customWidth="1"/>
    <col min="8" max="9" width="7.625" style="4" customWidth="1"/>
    <col min="10" max="10" width="9" style="4" customWidth="1"/>
    <col min="11" max="11" width="9" style="7"/>
    <col min="12" max="12" width="9" style="10"/>
    <col min="13" max="13" width="9" style="12"/>
    <col min="14" max="14" width="9" style="7"/>
    <col min="15" max="15" width="9" style="15"/>
    <col min="16" max="16" width="9" style="10"/>
    <col min="17" max="17" width="9" style="7"/>
    <col min="18" max="18" width="9" style="15"/>
    <col min="19" max="21" width="9" style="7"/>
    <col min="22" max="22" width="9" style="12"/>
    <col min="23" max="25" width="9" style="15"/>
  </cols>
  <sheetData>
    <row r="1" spans="1:26" ht="27.75" x14ac:dyDescent="0.25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</row>
    <row r="2" spans="1:26" ht="25.5" x14ac:dyDescent="0.25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</row>
    <row r="3" spans="1:26" ht="17.25" thickBot="1" x14ac:dyDescent="0.3">
      <c r="A3" s="94" t="s">
        <v>0</v>
      </c>
      <c r="B3" s="94"/>
      <c r="C3" s="1"/>
      <c r="D3" s="1"/>
      <c r="E3" s="1"/>
      <c r="F3" s="1"/>
      <c r="G3" s="1"/>
      <c r="H3" s="1"/>
      <c r="I3" s="1"/>
      <c r="J3" s="1"/>
      <c r="K3" s="5"/>
      <c r="L3" s="8"/>
      <c r="M3" s="11"/>
      <c r="N3" s="5"/>
      <c r="O3" s="13"/>
      <c r="P3" s="8"/>
      <c r="Q3" s="5"/>
      <c r="R3" s="13"/>
      <c r="S3" s="5"/>
      <c r="T3" s="5"/>
      <c r="U3" s="5"/>
      <c r="V3" s="11"/>
      <c r="W3" s="13"/>
      <c r="X3" s="13"/>
      <c r="Y3" s="13"/>
    </row>
    <row r="4" spans="1:26" ht="25.5" x14ac:dyDescent="0.25">
      <c r="A4" s="2" t="s">
        <v>1</v>
      </c>
      <c r="B4" s="3" t="s">
        <v>2</v>
      </c>
      <c r="C4" s="3" t="s">
        <v>3</v>
      </c>
      <c r="D4" s="3" t="s">
        <v>33</v>
      </c>
      <c r="E4" s="77" t="s">
        <v>25</v>
      </c>
      <c r="F4" s="3" t="s">
        <v>26</v>
      </c>
      <c r="G4" s="3" t="s">
        <v>27</v>
      </c>
      <c r="H4" s="3" t="s">
        <v>28</v>
      </c>
      <c r="I4" s="3" t="s">
        <v>29</v>
      </c>
      <c r="J4" s="3" t="s">
        <v>30</v>
      </c>
      <c r="K4" s="17" t="s">
        <v>4</v>
      </c>
      <c r="L4" s="9" t="s">
        <v>5</v>
      </c>
      <c r="M4" s="17" t="s">
        <v>6</v>
      </c>
      <c r="N4" s="6" t="s">
        <v>7</v>
      </c>
      <c r="O4" s="14" t="s">
        <v>8</v>
      </c>
      <c r="P4" s="16" t="s">
        <v>9</v>
      </c>
      <c r="Q4" s="6" t="s">
        <v>10</v>
      </c>
      <c r="R4" s="17" t="s">
        <v>11</v>
      </c>
      <c r="S4" s="17" t="s">
        <v>12</v>
      </c>
      <c r="T4" s="6" t="s">
        <v>13</v>
      </c>
      <c r="U4" s="18" t="s">
        <v>14</v>
      </c>
      <c r="V4" s="19" t="s">
        <v>15</v>
      </c>
      <c r="W4" s="17" t="s">
        <v>16</v>
      </c>
      <c r="X4" s="20" t="s">
        <v>17</v>
      </c>
      <c r="Y4" s="20" t="s">
        <v>18</v>
      </c>
      <c r="Z4" s="21" t="s">
        <v>31</v>
      </c>
    </row>
    <row r="5" spans="1:26" x14ac:dyDescent="0.25">
      <c r="K5" s="15"/>
      <c r="M5" s="15"/>
      <c r="N5" s="70"/>
      <c r="S5" s="15"/>
      <c r="T5" s="70"/>
      <c r="Y5" s="78"/>
      <c r="Z5" s="80"/>
    </row>
    <row r="6" spans="1:26" x14ac:dyDescent="0.25">
      <c r="K6" s="15"/>
      <c r="M6" s="15"/>
      <c r="N6" s="70"/>
      <c r="S6" s="15"/>
      <c r="T6" s="70"/>
      <c r="Y6" s="84"/>
      <c r="Z6" s="80"/>
    </row>
    <row r="7" spans="1:26" ht="17.25" thickBot="1" x14ac:dyDescent="0.3">
      <c r="A7" s="58" t="s">
        <v>22</v>
      </c>
      <c r="B7" s="59"/>
      <c r="C7" s="61"/>
      <c r="D7" s="59"/>
      <c r="E7" s="59"/>
      <c r="F7" s="59"/>
      <c r="G7" s="59"/>
      <c r="H7" s="59"/>
      <c r="I7" s="59"/>
      <c r="J7" s="59"/>
      <c r="K7" s="75"/>
      <c r="L7" s="62"/>
      <c r="M7" s="75"/>
      <c r="N7" s="71"/>
      <c r="O7" s="60"/>
      <c r="P7" s="62"/>
      <c r="Q7" s="63"/>
      <c r="R7" s="60"/>
      <c r="S7" s="75"/>
      <c r="T7" s="71" t="e">
        <f>S7/M7</f>
        <v>#DIV/0!</v>
      </c>
      <c r="U7" s="63" t="e">
        <f>ROUND((S7/(M7*3600/1400))*100,1)</f>
        <v>#DIV/0!</v>
      </c>
      <c r="V7" s="65"/>
      <c r="W7" s="66"/>
      <c r="X7" s="67"/>
      <c r="Y7" s="67"/>
      <c r="Z7" s="81"/>
    </row>
    <row r="8" spans="1:26" x14ac:dyDescent="0.25">
      <c r="K8" s="15"/>
      <c r="M8" s="15"/>
      <c r="N8" s="70"/>
      <c r="S8" s="15"/>
      <c r="T8" s="70"/>
    </row>
    <row r="9" spans="1:26" ht="17.25" thickBot="1" x14ac:dyDescent="0.3">
      <c r="A9" s="94" t="s">
        <v>0</v>
      </c>
      <c r="B9" s="94"/>
      <c r="C9" s="1"/>
      <c r="D9" s="1"/>
      <c r="E9" s="1"/>
      <c r="F9" s="1"/>
      <c r="G9" s="1"/>
      <c r="H9" s="1"/>
      <c r="I9" s="1"/>
      <c r="J9" s="1"/>
      <c r="K9" s="13"/>
      <c r="L9" s="8"/>
      <c r="M9" s="13"/>
      <c r="N9" s="72"/>
      <c r="O9" s="13"/>
      <c r="P9" s="8"/>
      <c r="Q9" s="5"/>
      <c r="R9" s="13"/>
      <c r="S9" s="13"/>
      <c r="T9" s="72"/>
      <c r="U9" s="5"/>
      <c r="V9" s="11"/>
      <c r="W9" s="13"/>
      <c r="X9" s="13"/>
      <c r="Y9" s="13"/>
    </row>
    <row r="10" spans="1:26" ht="25.5" x14ac:dyDescent="0.25">
      <c r="A10" s="2" t="s">
        <v>1</v>
      </c>
      <c r="B10" s="3" t="s">
        <v>2</v>
      </c>
      <c r="C10" s="3" t="s">
        <v>3</v>
      </c>
      <c r="D10" s="3" t="s">
        <v>33</v>
      </c>
      <c r="E10" s="77" t="s">
        <v>25</v>
      </c>
      <c r="F10" s="3" t="s">
        <v>26</v>
      </c>
      <c r="G10" s="3" t="s">
        <v>27</v>
      </c>
      <c r="H10" s="3" t="s">
        <v>28</v>
      </c>
      <c r="I10" s="3" t="s">
        <v>29</v>
      </c>
      <c r="J10" s="3" t="s">
        <v>30</v>
      </c>
      <c r="K10" s="17" t="s">
        <v>4</v>
      </c>
      <c r="L10" s="9" t="s">
        <v>5</v>
      </c>
      <c r="M10" s="17" t="s">
        <v>6</v>
      </c>
      <c r="N10" s="73" t="s">
        <v>7</v>
      </c>
      <c r="O10" s="14" t="s">
        <v>8</v>
      </c>
      <c r="P10" s="16" t="s">
        <v>9</v>
      </c>
      <c r="Q10" s="6" t="s">
        <v>10</v>
      </c>
      <c r="R10" s="17" t="s">
        <v>11</v>
      </c>
      <c r="S10" s="17" t="s">
        <v>12</v>
      </c>
      <c r="T10" s="73" t="s">
        <v>13</v>
      </c>
      <c r="U10" s="18" t="s">
        <v>14</v>
      </c>
      <c r="V10" s="19" t="s">
        <v>15</v>
      </c>
      <c r="W10" s="17" t="s">
        <v>16</v>
      </c>
      <c r="X10" s="20" t="s">
        <v>17</v>
      </c>
      <c r="Y10" s="20" t="s">
        <v>18</v>
      </c>
      <c r="Z10" s="21" t="s">
        <v>31</v>
      </c>
    </row>
    <row r="11" spans="1:26" x14ac:dyDescent="0.25">
      <c r="K11" s="15"/>
      <c r="M11" s="15"/>
      <c r="N11" s="70"/>
      <c r="S11" s="15"/>
      <c r="T11" s="70"/>
      <c r="Y11" s="78"/>
      <c r="Z11" s="80"/>
    </row>
    <row r="12" spans="1:26" x14ac:dyDescent="0.25">
      <c r="K12" s="15"/>
      <c r="M12" s="15"/>
      <c r="N12" s="70"/>
      <c r="S12" s="15"/>
      <c r="T12" s="70"/>
      <c r="Y12" s="79"/>
      <c r="Z12" s="80"/>
    </row>
    <row r="13" spans="1:26" ht="17.25" thickBot="1" x14ac:dyDescent="0.3">
      <c r="A13" s="58" t="s">
        <v>22</v>
      </c>
      <c r="B13" s="59"/>
      <c r="C13" s="61"/>
      <c r="D13" s="59"/>
      <c r="E13" s="59"/>
      <c r="F13" s="59"/>
      <c r="G13" s="59"/>
      <c r="H13" s="59"/>
      <c r="I13" s="59"/>
      <c r="J13" s="59"/>
      <c r="K13" s="75"/>
      <c r="L13" s="62"/>
      <c r="M13" s="75"/>
      <c r="N13" s="71"/>
      <c r="O13" s="60"/>
      <c r="P13" s="62"/>
      <c r="Q13" s="63"/>
      <c r="R13" s="60"/>
      <c r="S13" s="75"/>
      <c r="T13" s="71" t="e">
        <f>S13/M13</f>
        <v>#DIV/0!</v>
      </c>
      <c r="U13" s="63" t="e">
        <f>ROUND((S13/(M13*3600/1400))*100,1)</f>
        <v>#DIV/0!</v>
      </c>
      <c r="V13" s="65"/>
      <c r="W13" s="66"/>
      <c r="X13" s="67"/>
      <c r="Y13" s="67"/>
      <c r="Z13" s="81"/>
    </row>
    <row r="14" spans="1:26" x14ac:dyDescent="0.25">
      <c r="K14" s="15"/>
      <c r="M14" s="15"/>
      <c r="N14" s="70"/>
      <c r="S14" s="15"/>
      <c r="T14" s="70"/>
    </row>
    <row r="15" spans="1:26" ht="17.25" thickBot="1" x14ac:dyDescent="0.3">
      <c r="A15" s="94" t="s">
        <v>0</v>
      </c>
      <c r="B15" s="94"/>
      <c r="C15" s="1"/>
      <c r="D15" s="1"/>
      <c r="E15" s="1"/>
      <c r="F15" s="1"/>
      <c r="G15" s="1"/>
      <c r="H15" s="1"/>
      <c r="I15" s="1"/>
      <c r="J15" s="1"/>
      <c r="K15" s="13"/>
      <c r="L15" s="8"/>
      <c r="M15" s="13"/>
      <c r="N15" s="72"/>
      <c r="O15" s="13"/>
      <c r="P15" s="8"/>
      <c r="Q15" s="5"/>
      <c r="R15" s="13"/>
      <c r="S15" s="13"/>
      <c r="T15" s="72"/>
      <c r="U15" s="5"/>
      <c r="V15" s="11"/>
      <c r="W15" s="13"/>
      <c r="X15" s="13"/>
      <c r="Y15" s="13"/>
    </row>
    <row r="16" spans="1:26" ht="25.5" x14ac:dyDescent="0.25">
      <c r="A16" s="2" t="s">
        <v>1</v>
      </c>
      <c r="B16" s="3" t="s">
        <v>2</v>
      </c>
      <c r="C16" s="3" t="s">
        <v>3</v>
      </c>
      <c r="D16" s="3" t="s">
        <v>33</v>
      </c>
      <c r="E16" s="77" t="s">
        <v>25</v>
      </c>
      <c r="F16" s="3" t="s">
        <v>26</v>
      </c>
      <c r="G16" s="3" t="s">
        <v>27</v>
      </c>
      <c r="H16" s="3" t="s">
        <v>28</v>
      </c>
      <c r="I16" s="3" t="s">
        <v>29</v>
      </c>
      <c r="J16" s="3" t="s">
        <v>30</v>
      </c>
      <c r="K16" s="17" t="s">
        <v>4</v>
      </c>
      <c r="L16" s="9" t="s">
        <v>5</v>
      </c>
      <c r="M16" s="17" t="s">
        <v>6</v>
      </c>
      <c r="N16" s="73" t="s">
        <v>7</v>
      </c>
      <c r="O16" s="14" t="s">
        <v>8</v>
      </c>
      <c r="P16" s="16" t="s">
        <v>9</v>
      </c>
      <c r="Q16" s="6" t="s">
        <v>10</v>
      </c>
      <c r="R16" s="17" t="s">
        <v>11</v>
      </c>
      <c r="S16" s="17" t="s">
        <v>12</v>
      </c>
      <c r="T16" s="73" t="s">
        <v>13</v>
      </c>
      <c r="U16" s="18" t="s">
        <v>14</v>
      </c>
      <c r="V16" s="19" t="s">
        <v>15</v>
      </c>
      <c r="W16" s="17" t="s">
        <v>16</v>
      </c>
      <c r="X16" s="20" t="s">
        <v>17</v>
      </c>
      <c r="Y16" s="20" t="s">
        <v>18</v>
      </c>
      <c r="Z16" s="21" t="s">
        <v>31</v>
      </c>
    </row>
    <row r="17" spans="1:26" x14ac:dyDescent="0.25">
      <c r="K17" s="15"/>
      <c r="M17" s="15"/>
      <c r="N17" s="70"/>
      <c r="S17" s="15"/>
      <c r="T17" s="70"/>
      <c r="Y17" s="78"/>
      <c r="Z17" s="80"/>
    </row>
    <row r="18" spans="1:26" x14ac:dyDescent="0.25">
      <c r="K18" s="15"/>
      <c r="M18" s="15"/>
      <c r="N18" s="70"/>
      <c r="S18" s="15"/>
      <c r="T18" s="70"/>
      <c r="Y18" s="79"/>
      <c r="Z18" s="80"/>
    </row>
    <row r="19" spans="1:26" ht="17.25" thickBot="1" x14ac:dyDescent="0.3">
      <c r="A19" s="58" t="s">
        <v>22</v>
      </c>
      <c r="B19" s="59"/>
      <c r="C19" s="61"/>
      <c r="D19" s="59"/>
      <c r="E19" s="59"/>
      <c r="F19" s="59"/>
      <c r="G19" s="59"/>
      <c r="H19" s="59"/>
      <c r="I19" s="59"/>
      <c r="J19" s="59"/>
      <c r="K19" s="75"/>
      <c r="L19" s="62"/>
      <c r="M19" s="75"/>
      <c r="N19" s="71"/>
      <c r="O19" s="60"/>
      <c r="P19" s="62"/>
      <c r="Q19" s="63"/>
      <c r="R19" s="60"/>
      <c r="S19" s="75"/>
      <c r="T19" s="71" t="e">
        <f>S19/M19</f>
        <v>#DIV/0!</v>
      </c>
      <c r="U19" s="63" t="e">
        <f>ROUND((S19/(M19*3600/1400))*100,1)</f>
        <v>#DIV/0!</v>
      </c>
      <c r="V19" s="65"/>
      <c r="W19" s="66"/>
      <c r="X19" s="67"/>
      <c r="Y19" s="67"/>
      <c r="Z19" s="81"/>
    </row>
    <row r="20" spans="1:26" x14ac:dyDescent="0.25">
      <c r="K20" s="15"/>
      <c r="M20" s="15"/>
      <c r="N20" s="70"/>
      <c r="S20" s="15"/>
      <c r="T20" s="70"/>
    </row>
    <row r="21" spans="1:26" ht="17.25" thickBot="1" x14ac:dyDescent="0.3">
      <c r="A21" s="94" t="s">
        <v>0</v>
      </c>
      <c r="B21" s="94"/>
      <c r="C21" s="1"/>
      <c r="D21" s="1"/>
      <c r="E21" s="1"/>
      <c r="F21" s="1"/>
      <c r="G21" s="1"/>
      <c r="H21" s="1"/>
      <c r="I21" s="1"/>
      <c r="J21" s="1"/>
      <c r="K21" s="13"/>
      <c r="L21" s="8"/>
      <c r="M21" s="13"/>
      <c r="N21" s="72"/>
      <c r="O21" s="13"/>
      <c r="P21" s="8"/>
      <c r="Q21" s="5"/>
      <c r="R21" s="13"/>
      <c r="S21" s="13"/>
      <c r="T21" s="72"/>
      <c r="U21" s="5"/>
      <c r="V21" s="11"/>
      <c r="W21" s="13"/>
      <c r="X21" s="13"/>
      <c r="Y21" s="13"/>
    </row>
    <row r="22" spans="1:26" ht="25.5" x14ac:dyDescent="0.25">
      <c r="A22" s="2" t="s">
        <v>1</v>
      </c>
      <c r="B22" s="3" t="s">
        <v>2</v>
      </c>
      <c r="C22" s="3" t="s">
        <v>3</v>
      </c>
      <c r="D22" s="3" t="s">
        <v>33</v>
      </c>
      <c r="E22" s="77" t="s">
        <v>25</v>
      </c>
      <c r="F22" s="3" t="s">
        <v>26</v>
      </c>
      <c r="G22" s="3" t="s">
        <v>27</v>
      </c>
      <c r="H22" s="3" t="s">
        <v>28</v>
      </c>
      <c r="I22" s="3" t="s">
        <v>29</v>
      </c>
      <c r="J22" s="3" t="s">
        <v>30</v>
      </c>
      <c r="K22" s="17" t="s">
        <v>4</v>
      </c>
      <c r="L22" s="9" t="s">
        <v>5</v>
      </c>
      <c r="M22" s="17" t="s">
        <v>6</v>
      </c>
      <c r="N22" s="73" t="s">
        <v>7</v>
      </c>
      <c r="O22" s="14" t="s">
        <v>8</v>
      </c>
      <c r="P22" s="16" t="s">
        <v>9</v>
      </c>
      <c r="Q22" s="6" t="s">
        <v>10</v>
      </c>
      <c r="R22" s="17" t="s">
        <v>11</v>
      </c>
      <c r="S22" s="17" t="s">
        <v>12</v>
      </c>
      <c r="T22" s="73" t="s">
        <v>13</v>
      </c>
      <c r="U22" s="18" t="s">
        <v>14</v>
      </c>
      <c r="V22" s="19" t="s">
        <v>15</v>
      </c>
      <c r="W22" s="17" t="s">
        <v>16</v>
      </c>
      <c r="X22" s="20" t="s">
        <v>17</v>
      </c>
      <c r="Y22" s="20" t="s">
        <v>18</v>
      </c>
      <c r="Z22" s="21" t="s">
        <v>31</v>
      </c>
    </row>
    <row r="23" spans="1:26" x14ac:dyDescent="0.25">
      <c r="K23" s="15"/>
      <c r="M23" s="15"/>
      <c r="N23" s="70"/>
      <c r="S23" s="15"/>
      <c r="T23" s="70"/>
      <c r="Y23" s="78"/>
      <c r="Z23" s="82"/>
    </row>
    <row r="24" spans="1:26" x14ac:dyDescent="0.25">
      <c r="K24" s="15"/>
      <c r="M24" s="15"/>
      <c r="N24" s="70"/>
      <c r="S24" s="15"/>
      <c r="T24" s="70"/>
      <c r="Y24" s="79"/>
      <c r="Z24" s="80"/>
    </row>
    <row r="25" spans="1:26" ht="17.25" thickBot="1" x14ac:dyDescent="0.3">
      <c r="A25" s="58" t="s">
        <v>22</v>
      </c>
      <c r="B25" s="59"/>
      <c r="C25" s="61"/>
      <c r="D25" s="59"/>
      <c r="E25" s="59"/>
      <c r="F25" s="59"/>
      <c r="G25" s="59"/>
      <c r="H25" s="59"/>
      <c r="I25" s="59"/>
      <c r="J25" s="59"/>
      <c r="K25" s="75"/>
      <c r="L25" s="62"/>
      <c r="M25" s="75"/>
      <c r="N25" s="71"/>
      <c r="O25" s="60"/>
      <c r="P25" s="62"/>
      <c r="Q25" s="63"/>
      <c r="R25" s="60"/>
      <c r="S25" s="75"/>
      <c r="T25" s="71" t="e">
        <f>S25/M25</f>
        <v>#DIV/0!</v>
      </c>
      <c r="U25" s="63" t="e">
        <f>ROUND((S25/(M25*3600/1400))*100,1)</f>
        <v>#DIV/0!</v>
      </c>
      <c r="V25" s="65"/>
      <c r="W25" s="66"/>
      <c r="X25" s="67"/>
      <c r="Y25" s="67"/>
      <c r="Z25" s="81"/>
    </row>
    <row r="26" spans="1:26" x14ac:dyDescent="0.25">
      <c r="K26" s="15"/>
      <c r="M26" s="15"/>
      <c r="N26" s="70"/>
      <c r="S26" s="15"/>
      <c r="T26" s="70"/>
    </row>
    <row r="27" spans="1:26" ht="17.25" thickBot="1" x14ac:dyDescent="0.3">
      <c r="A27" s="94" t="s">
        <v>0</v>
      </c>
      <c r="B27" s="94"/>
      <c r="C27" s="1"/>
      <c r="D27" s="1"/>
      <c r="E27" s="1"/>
      <c r="F27" s="1"/>
      <c r="G27" s="1"/>
      <c r="H27" s="1"/>
      <c r="I27" s="1"/>
      <c r="J27" s="1"/>
      <c r="K27" s="13"/>
      <c r="L27" s="8"/>
      <c r="M27" s="13"/>
      <c r="N27" s="72"/>
      <c r="O27" s="13"/>
      <c r="P27" s="8"/>
      <c r="Q27" s="5"/>
      <c r="R27" s="13"/>
      <c r="S27" s="13"/>
      <c r="T27" s="72"/>
      <c r="U27" s="5"/>
      <c r="V27" s="11"/>
      <c r="W27" s="13"/>
      <c r="X27" s="13"/>
      <c r="Y27" s="13"/>
    </row>
    <row r="28" spans="1:26" ht="25.5" x14ac:dyDescent="0.25">
      <c r="A28" s="2" t="s">
        <v>1</v>
      </c>
      <c r="B28" s="3" t="s">
        <v>2</v>
      </c>
      <c r="C28" s="3" t="s">
        <v>3</v>
      </c>
      <c r="D28" s="3" t="s">
        <v>33</v>
      </c>
      <c r="E28" s="77" t="s">
        <v>25</v>
      </c>
      <c r="F28" s="3" t="s">
        <v>26</v>
      </c>
      <c r="G28" s="3" t="s">
        <v>27</v>
      </c>
      <c r="H28" s="3" t="s">
        <v>28</v>
      </c>
      <c r="I28" s="3" t="s">
        <v>29</v>
      </c>
      <c r="J28" s="3" t="s">
        <v>30</v>
      </c>
      <c r="K28" s="17" t="s">
        <v>4</v>
      </c>
      <c r="L28" s="9" t="s">
        <v>5</v>
      </c>
      <c r="M28" s="17" t="s">
        <v>6</v>
      </c>
      <c r="N28" s="73" t="s">
        <v>7</v>
      </c>
      <c r="O28" s="14" t="s">
        <v>8</v>
      </c>
      <c r="P28" s="16" t="s">
        <v>9</v>
      </c>
      <c r="Q28" s="6" t="s">
        <v>10</v>
      </c>
      <c r="R28" s="17" t="s">
        <v>11</v>
      </c>
      <c r="S28" s="17" t="s">
        <v>12</v>
      </c>
      <c r="T28" s="73" t="s">
        <v>13</v>
      </c>
      <c r="U28" s="18" t="s">
        <v>14</v>
      </c>
      <c r="V28" s="19" t="s">
        <v>15</v>
      </c>
      <c r="W28" s="17" t="s">
        <v>16</v>
      </c>
      <c r="X28" s="20" t="s">
        <v>17</v>
      </c>
      <c r="Y28" s="20" t="s">
        <v>18</v>
      </c>
      <c r="Z28" s="21" t="s">
        <v>31</v>
      </c>
    </row>
    <row r="29" spans="1:26" x14ac:dyDescent="0.25">
      <c r="K29" s="15"/>
      <c r="M29" s="15"/>
      <c r="N29" s="70"/>
      <c r="S29" s="15"/>
      <c r="T29" s="70"/>
      <c r="Y29" s="78"/>
      <c r="Z29" s="80"/>
    </row>
    <row r="30" spans="1:26" x14ac:dyDescent="0.25">
      <c r="K30" s="15"/>
      <c r="M30" s="15"/>
      <c r="N30" s="70"/>
      <c r="S30" s="15"/>
      <c r="T30" s="70"/>
      <c r="Y30" s="79"/>
      <c r="Z30" s="83"/>
    </row>
    <row r="31" spans="1:26" ht="17.25" thickBot="1" x14ac:dyDescent="0.3">
      <c r="A31" s="58" t="s">
        <v>22</v>
      </c>
      <c r="B31" s="59"/>
      <c r="C31" s="61"/>
      <c r="D31" s="59"/>
      <c r="E31" s="59"/>
      <c r="F31" s="59"/>
      <c r="G31" s="59"/>
      <c r="H31" s="59"/>
      <c r="I31" s="59"/>
      <c r="J31" s="59"/>
      <c r="K31" s="75"/>
      <c r="L31" s="62"/>
      <c r="M31" s="75"/>
      <c r="N31" s="71"/>
      <c r="O31" s="60"/>
      <c r="P31" s="62"/>
      <c r="Q31" s="63"/>
      <c r="R31" s="60"/>
      <c r="S31" s="75"/>
      <c r="T31" s="71" t="e">
        <f>S31/M31</f>
        <v>#DIV/0!</v>
      </c>
      <c r="U31" s="63" t="e">
        <f>ROUND((S31/(M31*3600/1400))*100,1)</f>
        <v>#DIV/0!</v>
      </c>
      <c r="V31" s="65"/>
      <c r="W31" s="66"/>
      <c r="X31" s="67"/>
      <c r="Y31" s="67"/>
      <c r="Z31" s="81"/>
    </row>
    <row r="32" spans="1:26" x14ac:dyDescent="0.25">
      <c r="K32" s="15"/>
      <c r="M32" s="15"/>
      <c r="N32" s="70"/>
      <c r="S32" s="15"/>
      <c r="T32" s="70"/>
    </row>
    <row r="33" spans="1:26" ht="17.25" thickBot="1" x14ac:dyDescent="0.3">
      <c r="A33" s="94" t="s">
        <v>0</v>
      </c>
      <c r="B33" s="94"/>
      <c r="C33" s="1"/>
      <c r="D33" s="1"/>
      <c r="E33" s="1"/>
      <c r="F33" s="1"/>
      <c r="G33" s="1"/>
      <c r="H33" s="1"/>
      <c r="I33" s="1"/>
      <c r="J33" s="1"/>
      <c r="K33" s="13"/>
      <c r="L33" s="8"/>
      <c r="M33" s="13"/>
      <c r="N33" s="72"/>
      <c r="O33" s="13"/>
      <c r="P33" s="8"/>
      <c r="Q33" s="5"/>
      <c r="R33" s="13"/>
      <c r="S33" s="13"/>
      <c r="T33" s="72"/>
      <c r="U33" s="5"/>
      <c r="V33" s="11"/>
      <c r="W33" s="13"/>
      <c r="X33" s="13"/>
      <c r="Y33" s="13"/>
    </row>
    <row r="34" spans="1:26" ht="25.5" x14ac:dyDescent="0.25">
      <c r="A34" s="2" t="s">
        <v>1</v>
      </c>
      <c r="B34" s="3" t="s">
        <v>2</v>
      </c>
      <c r="C34" s="3" t="s">
        <v>3</v>
      </c>
      <c r="D34" s="3" t="s">
        <v>33</v>
      </c>
      <c r="E34" s="77" t="s">
        <v>25</v>
      </c>
      <c r="F34" s="3" t="s">
        <v>26</v>
      </c>
      <c r="G34" s="3" t="s">
        <v>27</v>
      </c>
      <c r="H34" s="3" t="s">
        <v>28</v>
      </c>
      <c r="I34" s="3" t="s">
        <v>29</v>
      </c>
      <c r="J34" s="3" t="s">
        <v>30</v>
      </c>
      <c r="K34" s="17" t="s">
        <v>4</v>
      </c>
      <c r="L34" s="9" t="s">
        <v>5</v>
      </c>
      <c r="M34" s="17" t="s">
        <v>6</v>
      </c>
      <c r="N34" s="73" t="s">
        <v>7</v>
      </c>
      <c r="O34" s="14" t="s">
        <v>8</v>
      </c>
      <c r="P34" s="16" t="s">
        <v>9</v>
      </c>
      <c r="Q34" s="6" t="s">
        <v>10</v>
      </c>
      <c r="R34" s="17" t="s">
        <v>11</v>
      </c>
      <c r="S34" s="17" t="s">
        <v>12</v>
      </c>
      <c r="T34" s="73" t="s">
        <v>13</v>
      </c>
      <c r="U34" s="18" t="s">
        <v>14</v>
      </c>
      <c r="V34" s="19" t="s">
        <v>15</v>
      </c>
      <c r="W34" s="17" t="s">
        <v>16</v>
      </c>
      <c r="X34" s="20" t="s">
        <v>17</v>
      </c>
      <c r="Y34" s="20" t="s">
        <v>18</v>
      </c>
      <c r="Z34" s="21" t="s">
        <v>31</v>
      </c>
    </row>
    <row r="35" spans="1:26" x14ac:dyDescent="0.25">
      <c r="K35" s="15"/>
      <c r="M35" s="15"/>
      <c r="N35" s="70"/>
      <c r="S35" s="15"/>
      <c r="T35" s="70"/>
      <c r="Y35" s="78"/>
      <c r="Z35" s="82"/>
    </row>
    <row r="36" spans="1:26" x14ac:dyDescent="0.25">
      <c r="K36" s="15"/>
      <c r="M36" s="15"/>
      <c r="N36" s="70"/>
      <c r="S36" s="15"/>
      <c r="T36" s="70"/>
      <c r="Y36" s="79"/>
      <c r="Z36" s="80"/>
    </row>
    <row r="37" spans="1:26" ht="17.25" thickBot="1" x14ac:dyDescent="0.3">
      <c r="A37" s="58" t="s">
        <v>22</v>
      </c>
      <c r="B37" s="59"/>
      <c r="C37" s="61"/>
      <c r="D37" s="59"/>
      <c r="E37" s="59"/>
      <c r="F37" s="59"/>
      <c r="G37" s="59"/>
      <c r="H37" s="59"/>
      <c r="I37" s="59"/>
      <c r="J37" s="59"/>
      <c r="K37" s="75"/>
      <c r="L37" s="62"/>
      <c r="M37" s="75"/>
      <c r="N37" s="71"/>
      <c r="O37" s="60"/>
      <c r="P37" s="62"/>
      <c r="Q37" s="63"/>
      <c r="R37" s="60"/>
      <c r="S37" s="75"/>
      <c r="T37" s="71" t="e">
        <f>S37/M37</f>
        <v>#DIV/0!</v>
      </c>
      <c r="U37" s="63" t="e">
        <f>ROUND((S37/(M37*3600/1400))*100,1)</f>
        <v>#DIV/0!</v>
      </c>
      <c r="V37" s="65"/>
      <c r="W37" s="66"/>
      <c r="X37" s="67"/>
      <c r="Y37" s="67"/>
      <c r="Z37" s="81"/>
    </row>
    <row r="38" spans="1:26" x14ac:dyDescent="0.25">
      <c r="K38" s="15"/>
      <c r="M38" s="15"/>
      <c r="N38" s="70"/>
      <c r="S38" s="15"/>
      <c r="T38" s="70"/>
    </row>
    <row r="39" spans="1:26" ht="17.25" thickBot="1" x14ac:dyDescent="0.3">
      <c r="A39" s="94" t="s">
        <v>0</v>
      </c>
      <c r="B39" s="94"/>
      <c r="C39" s="1"/>
      <c r="D39" s="1"/>
      <c r="E39" s="1"/>
      <c r="F39" s="1"/>
      <c r="G39" s="1"/>
      <c r="H39" s="1"/>
      <c r="I39" s="1"/>
      <c r="J39" s="1"/>
      <c r="K39" s="13"/>
      <c r="L39" s="8"/>
      <c r="M39" s="13"/>
      <c r="N39" s="72"/>
      <c r="O39" s="13"/>
      <c r="P39" s="8"/>
      <c r="Q39" s="5"/>
      <c r="R39" s="13"/>
      <c r="S39" s="13"/>
      <c r="T39" s="72"/>
      <c r="U39" s="5"/>
      <c r="V39" s="11"/>
      <c r="W39" s="13"/>
      <c r="X39" s="13"/>
      <c r="Y39" s="13"/>
    </row>
    <row r="40" spans="1:26" ht="25.5" x14ac:dyDescent="0.25">
      <c r="A40" s="2" t="s">
        <v>1</v>
      </c>
      <c r="B40" s="3" t="s">
        <v>2</v>
      </c>
      <c r="C40" s="3" t="s">
        <v>3</v>
      </c>
      <c r="D40" s="3" t="s">
        <v>33</v>
      </c>
      <c r="E40" s="77" t="s">
        <v>25</v>
      </c>
      <c r="F40" s="3" t="s">
        <v>26</v>
      </c>
      <c r="G40" s="3" t="s">
        <v>27</v>
      </c>
      <c r="H40" s="3" t="s">
        <v>28</v>
      </c>
      <c r="I40" s="3" t="s">
        <v>29</v>
      </c>
      <c r="J40" s="3" t="s">
        <v>30</v>
      </c>
      <c r="K40" s="17" t="s">
        <v>4</v>
      </c>
      <c r="L40" s="9" t="s">
        <v>5</v>
      </c>
      <c r="M40" s="17" t="s">
        <v>6</v>
      </c>
      <c r="N40" s="73" t="s">
        <v>7</v>
      </c>
      <c r="O40" s="14" t="s">
        <v>8</v>
      </c>
      <c r="P40" s="16" t="s">
        <v>9</v>
      </c>
      <c r="Q40" s="6" t="s">
        <v>10</v>
      </c>
      <c r="R40" s="17" t="s">
        <v>11</v>
      </c>
      <c r="S40" s="17" t="s">
        <v>12</v>
      </c>
      <c r="T40" s="73" t="s">
        <v>13</v>
      </c>
      <c r="U40" s="18" t="s">
        <v>14</v>
      </c>
      <c r="V40" s="19" t="s">
        <v>15</v>
      </c>
      <c r="W40" s="17" t="s">
        <v>16</v>
      </c>
      <c r="X40" s="20" t="s">
        <v>17</v>
      </c>
      <c r="Y40" s="20" t="s">
        <v>18</v>
      </c>
      <c r="Z40" s="21" t="s">
        <v>31</v>
      </c>
    </row>
    <row r="41" spans="1:26" x14ac:dyDescent="0.25">
      <c r="K41" s="15"/>
      <c r="M41" s="15"/>
      <c r="N41" s="70"/>
      <c r="S41" s="15"/>
      <c r="T41" s="70"/>
      <c r="Y41" s="78"/>
      <c r="Z41" s="80"/>
    </row>
    <row r="42" spans="1:26" x14ac:dyDescent="0.25">
      <c r="K42" s="15"/>
      <c r="M42" s="15"/>
      <c r="N42" s="70"/>
      <c r="S42" s="15"/>
      <c r="T42" s="70"/>
      <c r="Y42" s="79"/>
      <c r="Z42" s="80"/>
    </row>
    <row r="43" spans="1:26" ht="17.25" thickBot="1" x14ac:dyDescent="0.3">
      <c r="A43" s="58" t="s">
        <v>22</v>
      </c>
      <c r="B43" s="59"/>
      <c r="C43" s="61"/>
      <c r="D43" s="59"/>
      <c r="E43" s="59"/>
      <c r="F43" s="59"/>
      <c r="G43" s="59"/>
      <c r="H43" s="59"/>
      <c r="I43" s="59"/>
      <c r="J43" s="59"/>
      <c r="K43" s="75"/>
      <c r="L43" s="62"/>
      <c r="M43" s="75"/>
      <c r="N43" s="71"/>
      <c r="O43" s="60"/>
      <c r="P43" s="62"/>
      <c r="Q43" s="63"/>
      <c r="R43" s="60"/>
      <c r="S43" s="75"/>
      <c r="T43" s="71" t="e">
        <f>S43/M43</f>
        <v>#DIV/0!</v>
      </c>
      <c r="U43" s="63" t="e">
        <f>ROUND((S43/(M43*3600/1400))*100,1)</f>
        <v>#DIV/0!</v>
      </c>
      <c r="V43" s="65"/>
      <c r="W43" s="66"/>
      <c r="X43" s="67"/>
      <c r="Y43" s="67"/>
      <c r="Z43" s="81"/>
    </row>
    <row r="44" spans="1:26" x14ac:dyDescent="0.25">
      <c r="K44" s="15"/>
      <c r="M44" s="15"/>
      <c r="N44" s="70"/>
      <c r="S44" s="15"/>
      <c r="T44" s="70"/>
    </row>
    <row r="45" spans="1:26" ht="17.25" thickBot="1" x14ac:dyDescent="0.3">
      <c r="A45" s="94" t="s">
        <v>0</v>
      </c>
      <c r="B45" s="94"/>
      <c r="C45" s="1"/>
      <c r="D45" s="1"/>
      <c r="E45" s="1"/>
      <c r="F45" s="1"/>
      <c r="G45" s="1"/>
      <c r="H45" s="1"/>
      <c r="I45" s="1"/>
      <c r="J45" s="1"/>
      <c r="K45" s="13"/>
      <c r="L45" s="8"/>
      <c r="M45" s="13"/>
      <c r="N45" s="72"/>
      <c r="O45" s="13"/>
      <c r="P45" s="8"/>
      <c r="Q45" s="5"/>
      <c r="R45" s="13"/>
      <c r="S45" s="13"/>
      <c r="T45" s="72"/>
      <c r="U45" s="5"/>
      <c r="V45" s="11"/>
      <c r="W45" s="13"/>
      <c r="X45" s="13"/>
      <c r="Y45" s="13"/>
    </row>
    <row r="46" spans="1:26" ht="25.5" x14ac:dyDescent="0.25">
      <c r="A46" s="2" t="s">
        <v>1</v>
      </c>
      <c r="B46" s="3" t="s">
        <v>2</v>
      </c>
      <c r="C46" s="3" t="s">
        <v>3</v>
      </c>
      <c r="D46" s="3" t="s">
        <v>33</v>
      </c>
      <c r="E46" s="77" t="s">
        <v>25</v>
      </c>
      <c r="F46" s="3" t="s">
        <v>26</v>
      </c>
      <c r="G46" s="3" t="s">
        <v>27</v>
      </c>
      <c r="H46" s="3" t="s">
        <v>28</v>
      </c>
      <c r="I46" s="3" t="s">
        <v>29</v>
      </c>
      <c r="J46" s="3" t="s">
        <v>30</v>
      </c>
      <c r="K46" s="17" t="s">
        <v>4</v>
      </c>
      <c r="L46" s="9" t="s">
        <v>5</v>
      </c>
      <c r="M46" s="17" t="s">
        <v>6</v>
      </c>
      <c r="N46" s="73" t="s">
        <v>7</v>
      </c>
      <c r="O46" s="14" t="s">
        <v>8</v>
      </c>
      <c r="P46" s="16" t="s">
        <v>9</v>
      </c>
      <c r="Q46" s="6" t="s">
        <v>10</v>
      </c>
      <c r="R46" s="17" t="s">
        <v>11</v>
      </c>
      <c r="S46" s="17" t="s">
        <v>12</v>
      </c>
      <c r="T46" s="73" t="s">
        <v>13</v>
      </c>
      <c r="U46" s="18" t="s">
        <v>14</v>
      </c>
      <c r="V46" s="19" t="s">
        <v>15</v>
      </c>
      <c r="W46" s="17" t="s">
        <v>16</v>
      </c>
      <c r="X46" s="20" t="s">
        <v>17</v>
      </c>
      <c r="Y46" s="20" t="s">
        <v>18</v>
      </c>
      <c r="Z46" s="21" t="s">
        <v>31</v>
      </c>
    </row>
    <row r="47" spans="1:26" x14ac:dyDescent="0.25">
      <c r="K47" s="15"/>
      <c r="M47" s="15"/>
      <c r="N47" s="70"/>
      <c r="S47" s="15"/>
      <c r="T47" s="70"/>
      <c r="Y47" s="78"/>
      <c r="Z47" s="82"/>
    </row>
    <row r="48" spans="1:26" x14ac:dyDescent="0.25">
      <c r="K48" s="15"/>
      <c r="M48" s="15"/>
      <c r="N48" s="70"/>
      <c r="S48" s="15"/>
      <c r="T48" s="70"/>
      <c r="Y48" s="79"/>
      <c r="Z48" s="80"/>
    </row>
    <row r="49" spans="1:26" ht="17.25" thickBot="1" x14ac:dyDescent="0.3">
      <c r="A49" s="58" t="s">
        <v>22</v>
      </c>
      <c r="B49" s="59"/>
      <c r="C49" s="61"/>
      <c r="D49" s="59"/>
      <c r="E49" s="59"/>
      <c r="F49" s="59"/>
      <c r="G49" s="59"/>
      <c r="H49" s="59"/>
      <c r="I49" s="59"/>
      <c r="J49" s="59"/>
      <c r="K49" s="75"/>
      <c r="L49" s="62"/>
      <c r="M49" s="75"/>
      <c r="N49" s="71"/>
      <c r="O49" s="60"/>
      <c r="P49" s="62"/>
      <c r="Q49" s="63"/>
      <c r="R49" s="60"/>
      <c r="S49" s="75"/>
      <c r="T49" s="71" t="e">
        <f>S49/M49</f>
        <v>#DIV/0!</v>
      </c>
      <c r="U49" s="63" t="e">
        <f>ROUND((S49/(M49*3600/1400))*100,1)</f>
        <v>#DIV/0!</v>
      </c>
      <c r="V49" s="65"/>
      <c r="W49" s="66"/>
      <c r="X49" s="67"/>
      <c r="Y49" s="67"/>
      <c r="Z49" s="81"/>
    </row>
    <row r="50" spans="1:26" x14ac:dyDescent="0.25">
      <c r="A50" s="54"/>
      <c r="B50" s="54"/>
      <c r="C50" s="33"/>
      <c r="D50" s="54"/>
      <c r="E50" s="54"/>
      <c r="F50" s="54"/>
      <c r="G50" s="54"/>
      <c r="H50" s="54"/>
      <c r="I50" s="54"/>
      <c r="J50" s="54"/>
      <c r="K50" s="95"/>
      <c r="L50" s="49"/>
      <c r="M50" s="95"/>
      <c r="N50" s="96"/>
      <c r="O50" s="27"/>
      <c r="P50" s="49"/>
      <c r="Q50" s="46"/>
      <c r="R50" s="27"/>
      <c r="S50" s="95"/>
      <c r="T50" s="96"/>
      <c r="U50" s="46"/>
      <c r="V50" s="43"/>
      <c r="W50" s="43"/>
      <c r="X50" s="97"/>
      <c r="Y50" s="97"/>
      <c r="Z50" s="98"/>
    </row>
    <row r="51" spans="1:26" ht="17.25" thickBot="1" x14ac:dyDescent="0.3">
      <c r="A51" s="94" t="s">
        <v>0</v>
      </c>
      <c r="B51" s="94"/>
      <c r="C51" s="1"/>
      <c r="D51" s="1"/>
      <c r="E51" s="1"/>
      <c r="F51" s="1"/>
      <c r="G51" s="1"/>
      <c r="H51" s="1"/>
      <c r="I51" s="1"/>
      <c r="J51" s="1"/>
      <c r="K51" s="13"/>
      <c r="L51" s="8"/>
      <c r="M51" s="13"/>
      <c r="N51" s="72"/>
      <c r="O51" s="13"/>
      <c r="P51" s="8"/>
      <c r="Q51" s="5"/>
      <c r="R51" s="13"/>
      <c r="S51" s="13"/>
      <c r="T51" s="72"/>
      <c r="U51" s="5"/>
      <c r="V51" s="11"/>
      <c r="W51" s="13"/>
      <c r="X51" s="13"/>
      <c r="Y51" s="13"/>
    </row>
    <row r="52" spans="1:26" ht="25.5" x14ac:dyDescent="0.25">
      <c r="A52" s="2" t="s">
        <v>1</v>
      </c>
      <c r="B52" s="3" t="s">
        <v>2</v>
      </c>
      <c r="C52" s="3" t="s">
        <v>3</v>
      </c>
      <c r="D52" s="3" t="s">
        <v>33</v>
      </c>
      <c r="E52" s="77" t="s">
        <v>25</v>
      </c>
      <c r="F52" s="3" t="s">
        <v>26</v>
      </c>
      <c r="G52" s="3" t="s">
        <v>27</v>
      </c>
      <c r="H52" s="3" t="s">
        <v>28</v>
      </c>
      <c r="I52" s="3" t="s">
        <v>29</v>
      </c>
      <c r="J52" s="3" t="s">
        <v>30</v>
      </c>
      <c r="K52" s="17" t="s">
        <v>4</v>
      </c>
      <c r="L52" s="9" t="s">
        <v>5</v>
      </c>
      <c r="M52" s="17" t="s">
        <v>6</v>
      </c>
      <c r="N52" s="73" t="s">
        <v>7</v>
      </c>
      <c r="O52" s="14" t="s">
        <v>8</v>
      </c>
      <c r="P52" s="16" t="s">
        <v>9</v>
      </c>
      <c r="Q52" s="6" t="s">
        <v>10</v>
      </c>
      <c r="R52" s="17" t="s">
        <v>11</v>
      </c>
      <c r="S52" s="17" t="s">
        <v>12</v>
      </c>
      <c r="T52" s="73" t="s">
        <v>13</v>
      </c>
      <c r="U52" s="18" t="s">
        <v>14</v>
      </c>
      <c r="V52" s="19" t="s">
        <v>15</v>
      </c>
      <c r="W52" s="17" t="s">
        <v>16</v>
      </c>
      <c r="X52" s="20" t="s">
        <v>17</v>
      </c>
      <c r="Y52" s="20" t="s">
        <v>18</v>
      </c>
      <c r="Z52" s="21" t="s">
        <v>31</v>
      </c>
    </row>
    <row r="53" spans="1:26" x14ac:dyDescent="0.25">
      <c r="K53" s="15"/>
      <c r="M53" s="15"/>
      <c r="N53" s="70"/>
      <c r="S53" s="15"/>
      <c r="T53" s="70"/>
      <c r="Y53" s="78"/>
      <c r="Z53" s="82"/>
    </row>
    <row r="54" spans="1:26" x14ac:dyDescent="0.25">
      <c r="K54" s="15"/>
      <c r="M54" s="15"/>
      <c r="N54" s="70"/>
      <c r="S54" s="15"/>
      <c r="T54" s="70"/>
      <c r="Y54" s="79"/>
      <c r="Z54" s="80"/>
    </row>
    <row r="55" spans="1:26" ht="17.25" thickBot="1" x14ac:dyDescent="0.3">
      <c r="A55" s="58" t="s">
        <v>22</v>
      </c>
      <c r="B55" s="59"/>
      <c r="C55" s="61"/>
      <c r="D55" s="59"/>
      <c r="E55" s="59"/>
      <c r="F55" s="59"/>
      <c r="G55" s="59"/>
      <c r="H55" s="59"/>
      <c r="I55" s="59"/>
      <c r="J55" s="59"/>
      <c r="K55" s="75"/>
      <c r="L55" s="62"/>
      <c r="M55" s="75"/>
      <c r="N55" s="71"/>
      <c r="O55" s="60"/>
      <c r="P55" s="62"/>
      <c r="Q55" s="63"/>
      <c r="R55" s="60"/>
      <c r="S55" s="75"/>
      <c r="T55" s="71" t="e">
        <f>S55/M55</f>
        <v>#DIV/0!</v>
      </c>
      <c r="U55" s="63" t="e">
        <f>ROUND((S55/(M55*3600/1400))*100,1)</f>
        <v>#DIV/0!</v>
      </c>
      <c r="V55" s="65"/>
      <c r="W55" s="66"/>
      <c r="X55" s="67"/>
      <c r="Y55" s="67"/>
      <c r="Z55" s="81"/>
    </row>
    <row r="56" spans="1:26" ht="17.25" thickBot="1" x14ac:dyDescent="0.3">
      <c r="K56" s="15"/>
      <c r="M56" s="15"/>
      <c r="N56" s="70"/>
      <c r="S56" s="15"/>
      <c r="T56" s="70"/>
    </row>
    <row r="57" spans="1:26" ht="17.25" thickBot="1" x14ac:dyDescent="0.3">
      <c r="A57" s="22" t="s">
        <v>19</v>
      </c>
      <c r="B57" s="22"/>
      <c r="C57" s="34" t="s">
        <v>20</v>
      </c>
      <c r="D57" s="22"/>
      <c r="E57" s="22"/>
      <c r="F57" s="22"/>
      <c r="G57" s="22"/>
      <c r="H57" s="22"/>
      <c r="I57" s="22"/>
      <c r="J57" s="22"/>
      <c r="K57" s="38"/>
      <c r="L57" s="37"/>
      <c r="M57" s="64"/>
      <c r="N57" s="74"/>
      <c r="O57" s="23"/>
      <c r="P57" s="37"/>
      <c r="Q57" s="38"/>
      <c r="R57" s="23"/>
      <c r="S57" s="74"/>
      <c r="T57" s="74" t="e">
        <f>ROUND((S57/(M57)),2)</f>
        <v>#DIV/0!</v>
      </c>
      <c r="U57" s="38" t="e">
        <f>ROUND(S57/N57*100,1)</f>
        <v>#DIV/0!</v>
      </c>
      <c r="V57" s="41"/>
      <c r="W57" s="41"/>
      <c r="X57" s="51"/>
      <c r="Y57" s="51"/>
      <c r="Z57" s="85"/>
    </row>
    <row r="58" spans="1:26" ht="17.25" thickBot="1" x14ac:dyDescent="0.3">
      <c r="A58" s="22"/>
      <c r="B58" s="22"/>
      <c r="C58" s="34" t="s">
        <v>21</v>
      </c>
      <c r="D58" s="22"/>
      <c r="E58" s="22"/>
      <c r="F58" s="22"/>
      <c r="G58" s="22"/>
      <c r="H58" s="22"/>
      <c r="I58" s="22"/>
      <c r="J58" s="22"/>
      <c r="K58" s="38"/>
      <c r="L58" s="37"/>
      <c r="M58" s="64"/>
      <c r="N58" s="74"/>
      <c r="O58" s="23"/>
      <c r="P58" s="37"/>
      <c r="Q58" s="38"/>
      <c r="R58" s="23"/>
      <c r="S58" s="74"/>
      <c r="T58" s="74" t="e">
        <f t="shared" ref="T58:T59" si="0">ROUND((S58/(M58)),2)</f>
        <v>#DIV/0!</v>
      </c>
      <c r="U58" s="38" t="e">
        <f>ROUND(S58/N58*100,1)</f>
        <v>#DIV/0!</v>
      </c>
      <c r="V58" s="41"/>
      <c r="W58" s="41"/>
      <c r="X58" s="51"/>
      <c r="Y58" s="51"/>
      <c r="Z58" s="87"/>
    </row>
    <row r="59" spans="1:26" ht="17.25" thickBot="1" x14ac:dyDescent="0.3">
      <c r="A59" s="22"/>
      <c r="B59" s="22"/>
      <c r="C59" s="34" t="s">
        <v>23</v>
      </c>
      <c r="D59" s="22"/>
      <c r="E59" s="22"/>
      <c r="F59" s="22"/>
      <c r="G59" s="22"/>
      <c r="H59" s="22"/>
      <c r="I59" s="22"/>
      <c r="J59" s="22"/>
      <c r="K59" s="38"/>
      <c r="L59" s="37"/>
      <c r="M59" s="64"/>
      <c r="N59" s="74"/>
      <c r="O59" s="23"/>
      <c r="P59" s="37"/>
      <c r="Q59" s="38"/>
      <c r="R59" s="23"/>
      <c r="S59" s="74"/>
      <c r="T59" s="74" t="e">
        <f t="shared" si="0"/>
        <v>#DIV/0!</v>
      </c>
      <c r="U59" s="38" t="e">
        <f>ROUND(S59/N59*100,1)</f>
        <v>#DIV/0!</v>
      </c>
      <c r="V59" s="41"/>
      <c r="W59" s="41"/>
      <c r="X59" s="51"/>
      <c r="Y59" s="51"/>
      <c r="Z59" s="87"/>
    </row>
    <row r="60" spans="1:26" ht="17.25" thickBot="1" x14ac:dyDescent="0.3">
      <c r="A60" s="22"/>
      <c r="B60" s="22"/>
      <c r="C60" s="34" t="s">
        <v>24</v>
      </c>
      <c r="D60" s="22"/>
      <c r="E60" s="22"/>
      <c r="F60" s="22"/>
      <c r="G60" s="22"/>
      <c r="H60" s="22"/>
      <c r="I60" s="22"/>
      <c r="J60" s="22"/>
      <c r="K60" s="64"/>
      <c r="L60" s="37"/>
      <c r="M60" s="64"/>
      <c r="N60" s="74"/>
      <c r="O60" s="23"/>
      <c r="P60" s="37"/>
      <c r="Q60" s="64"/>
      <c r="R60" s="23"/>
      <c r="S60" s="74"/>
      <c r="T60" s="74"/>
      <c r="U60" s="64"/>
      <c r="V60" s="41"/>
      <c r="W60" s="41"/>
      <c r="X60" s="51"/>
      <c r="Y60" s="51"/>
      <c r="Z60" s="86"/>
    </row>
    <row r="61" spans="1:26" ht="17.25" thickBot="1" x14ac:dyDescent="0.3">
      <c r="A61" s="54"/>
      <c r="B61" s="54"/>
      <c r="C61" s="33"/>
      <c r="D61" s="54"/>
      <c r="E61" s="54"/>
      <c r="F61" s="54"/>
      <c r="G61" s="54"/>
      <c r="H61" s="54"/>
      <c r="I61" s="54"/>
      <c r="J61" s="54"/>
      <c r="K61" s="46"/>
      <c r="L61" s="49"/>
      <c r="M61" s="43"/>
      <c r="N61" s="46"/>
      <c r="O61" s="27"/>
      <c r="P61" s="49"/>
      <c r="Q61" s="46"/>
      <c r="R61" s="27"/>
      <c r="S61" s="46"/>
      <c r="T61" s="46"/>
      <c r="U61" s="46"/>
      <c r="V61" s="43"/>
      <c r="W61" s="43"/>
      <c r="X61" s="53"/>
      <c r="Y61" s="53"/>
      <c r="Z61" s="89"/>
    </row>
    <row r="62" spans="1:26" ht="17.25" thickBot="1" x14ac:dyDescent="0.3">
      <c r="A62" s="55" t="s">
        <v>32</v>
      </c>
      <c r="B62" s="55"/>
      <c r="C62" s="56"/>
      <c r="D62" s="55"/>
      <c r="E62" s="76"/>
      <c r="F62" s="76"/>
      <c r="G62" s="76"/>
      <c r="H62" s="76"/>
      <c r="I62" s="76"/>
      <c r="J62" s="76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88"/>
    </row>
    <row r="63" spans="1:26" x14ac:dyDescent="0.25">
      <c r="A63" s="24"/>
      <c r="B63" s="29"/>
      <c r="C63" s="35"/>
      <c r="D63" s="31"/>
      <c r="E63" s="31"/>
      <c r="F63" s="31"/>
      <c r="G63" s="31"/>
      <c r="H63" s="31"/>
      <c r="I63" s="31"/>
      <c r="J63" s="31"/>
      <c r="K63" s="39"/>
      <c r="L63" s="68"/>
      <c r="M63" s="42"/>
      <c r="N63" s="45"/>
      <c r="O63" s="26"/>
      <c r="P63" s="48"/>
      <c r="Q63" s="45"/>
      <c r="R63" s="26"/>
      <c r="S63" s="45"/>
      <c r="T63" s="45"/>
      <c r="U63" s="45"/>
      <c r="V63" s="42"/>
      <c r="W63" s="42"/>
      <c r="X63" s="52"/>
      <c r="Y63" s="52"/>
      <c r="Z63" s="90"/>
    </row>
    <row r="64" spans="1:26" ht="17.25" thickBot="1" x14ac:dyDescent="0.3">
      <c r="A64" s="25"/>
      <c r="B64" s="30"/>
      <c r="C64" s="36"/>
      <c r="D64" s="32"/>
      <c r="E64" s="32"/>
      <c r="F64" s="32"/>
      <c r="G64" s="32"/>
      <c r="H64" s="32"/>
      <c r="I64" s="32"/>
      <c r="J64" s="32"/>
      <c r="K64" s="40"/>
      <c r="L64" s="69"/>
      <c r="M64" s="44"/>
      <c r="N64" s="47"/>
      <c r="O64" s="28"/>
      <c r="P64" s="50"/>
      <c r="Q64" s="47"/>
      <c r="R64" s="28"/>
      <c r="S64" s="47"/>
      <c r="T64" s="47"/>
      <c r="U64" s="47"/>
      <c r="V64" s="44"/>
      <c r="W64" s="44"/>
      <c r="X64" s="53"/>
      <c r="Y64" s="53"/>
      <c r="Z64" s="91"/>
    </row>
  </sheetData>
  <mergeCells count="11">
    <mergeCell ref="A51:B51"/>
    <mergeCell ref="A1:Y1"/>
    <mergeCell ref="A2:Y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JackHsu許弘彬7269</cp:lastModifiedBy>
  <cp:lastPrinted>2017-03-07T03:20:10Z</cp:lastPrinted>
  <dcterms:created xsi:type="dcterms:W3CDTF">2016-04-25T08:26:49Z</dcterms:created>
  <dcterms:modified xsi:type="dcterms:W3CDTF">2025-01-23T09:38:47Z</dcterms:modified>
</cp:coreProperties>
</file>