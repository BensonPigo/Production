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 defaultThemeVersion="124226"/>
  <bookViews>
    <workbookView xWindow="0" yWindow="0" windowWidth="21600" windowHeight="8925"/>
  </bookViews>
  <sheets>
    <sheet name="工作表1" sheetId="1" r:id="rId1"/>
    <sheet name="工作表2" sheetId="2" state="hidden" r:id="rId2"/>
    <sheet name="工作表3" sheetId="3" state="hidden" r:id="rId3"/>
  </sheets>
  <definedNames>
    <definedName name="_xlnm.Print_Area" localSheetId="0">工作表1!$A$1:$J$16</definedName>
  </definedNames>
  <calcPr calcId="144525"/>
</workbook>
</file>

<file path=xl/calcChain.xml><?xml version="1.0" encoding="utf-8"?>
<calcChain xmlns="http://schemas.openxmlformats.org/spreadsheetml/2006/main">
  <c r="J15" i="1" l="1"/>
  <c r="I10" i="1" l="1"/>
  <c r="F10" i="1" l="1"/>
  <c r="E16" i="1" l="1"/>
  <c r="H16" i="1"/>
  <c r="I16" i="1"/>
  <c r="G16" i="1"/>
  <c r="F16" i="1"/>
  <c r="J16" i="1" l="1"/>
  <c r="D18" i="2"/>
  <c r="E18" i="2"/>
  <c r="F18" i="2"/>
  <c r="G18" i="2"/>
  <c r="H18" i="2"/>
</calcChain>
</file>

<file path=xl/sharedStrings.xml><?xml version="1.0" encoding="utf-8"?>
<sst xmlns="http://schemas.openxmlformats.org/spreadsheetml/2006/main" count="66" uniqueCount="52">
  <si>
    <t xml:space="preserve">GB Invocie NO. </t>
    <phoneticPr fontId="2" type="noConversion"/>
  </si>
  <si>
    <t>SP</t>
    <phoneticPr fontId="2" type="noConversion"/>
  </si>
  <si>
    <t>PH22202-7687-UA</t>
  </si>
  <si>
    <t>PH22202-7687-A-UA</t>
  </si>
  <si>
    <t>21110450UC021</t>
  </si>
  <si>
    <t>21110450UC023</t>
  </si>
  <si>
    <t>21110450UC025</t>
  </si>
  <si>
    <t>21110450UC027</t>
  </si>
  <si>
    <t>21110450UC029</t>
  </si>
  <si>
    <t>21110450UC030</t>
  </si>
  <si>
    <t>21110473UC016</t>
  </si>
  <si>
    <t>21110473UC019</t>
  </si>
  <si>
    <t>21110473UC020</t>
  </si>
  <si>
    <t>21110473UC023</t>
  </si>
  <si>
    <t>21110450UC031</t>
  </si>
  <si>
    <t>21110450UC032</t>
  </si>
  <si>
    <t>21110450UC035</t>
  </si>
  <si>
    <t>21110450UC036</t>
  </si>
  <si>
    <t>USD</t>
    <phoneticPr fontId="2" type="noConversion"/>
  </si>
  <si>
    <t>AIRFREIGHT TOTAL AMOUNT</t>
    <phoneticPr fontId="2" type="noConversion"/>
  </si>
  <si>
    <t>GB INV NO.</t>
    <phoneticPr fontId="2" type="noConversion"/>
  </si>
  <si>
    <t>SP#</t>
    <phoneticPr fontId="2" type="noConversion"/>
  </si>
  <si>
    <t>PO#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</si>
  <si>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</si>
  <si>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</si>
  <si>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</si>
  <si>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</si>
  <si>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AIRFREIGHT (USD)</t>
    <phoneticPr fontId="2" type="noConversion"/>
  </si>
  <si>
    <t>TOTAL</t>
    <phoneticPr fontId="2" type="noConversion"/>
  </si>
  <si>
    <t>Total</t>
    <phoneticPr fontId="2" type="noConversion"/>
  </si>
  <si>
    <t>PO</t>
    <phoneticPr fontId="2" type="noConversion"/>
  </si>
  <si>
    <t>APP#</t>
    <phoneticPr fontId="2" type="noConversion"/>
  </si>
  <si>
    <t>QUANTITY</t>
    <phoneticPr fontId="2" type="noConversion"/>
  </si>
  <si>
    <t>G.W</t>
    <phoneticPr fontId="2" type="noConversion"/>
  </si>
  <si>
    <t>C.W</t>
    <phoneticPr fontId="2" type="noConversion"/>
  </si>
  <si>
    <t>EQV</t>
    <phoneticPr fontId="2" type="noConversion"/>
  </si>
  <si>
    <t>Invoice Detail Amount</t>
  </si>
  <si>
    <t>Invoice Detail Amount</t>
    <phoneticPr fontId="2" type="noConversion"/>
  </si>
  <si>
    <t>G.TOTAL AIRFREIGHT (USD)</t>
    <phoneticPr fontId="2" type="noConversion"/>
  </si>
  <si>
    <t>Description</t>
  </si>
  <si>
    <t>Q'ty</t>
  </si>
  <si>
    <t>Unit</t>
  </si>
  <si>
    <t>Currency</t>
  </si>
  <si>
    <t>Price</t>
  </si>
  <si>
    <t>Rate</t>
  </si>
  <si>
    <t>Amount</t>
  </si>
  <si>
    <t>PHP</t>
    <phoneticPr fontId="2" type="noConversion"/>
  </si>
  <si>
    <t>HAWB NO.</t>
    <phoneticPr fontId="2" type="noConversion"/>
  </si>
  <si>
    <t>MAWB NO.</t>
    <phoneticPr fontId="2" type="noConversion"/>
  </si>
  <si>
    <t>Bill Detail Amount List</t>
    <phoneticPr fontId="2" type="noConversion"/>
  </si>
  <si>
    <t>Air pre-paid Payment Detial List</t>
    <phoneticPr fontId="2" type="noConversion"/>
  </si>
  <si>
    <t>AIR FREIGHT (USD)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</si>
</sst>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76" formatCode="#,##0.00_ 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1" applyNumberFormat="1" applyFon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3" fontId="0" fillId="0" borderId="1" xfId="3" applyFont="1" applyBorder="1">
      <alignment vertical="center"/>
    </xf>
    <xf numFmtId="0" fontId="1" fillId="0" borderId="1" xfId="6" applyBorder="1" applyAlignment="1">
      <alignment horizontal="right" vertical="center"/>
    </xf>
    <xf numFmtId="0" fontId="1" fillId="0" borderId="1" xfId="6" applyNumberFormat="1" applyBorder="1" applyAlignment="1">
      <alignment horizontal="left" vertical="center"/>
    </xf>
    <xf numFmtId="0" fontId="0" fillId="0" borderId="1" xfId="6" applyFont="1" applyBorder="1" applyAlignment="1">
      <alignment horizontal="right" vertical="center"/>
    </xf>
    <xf numFmtId="43" fontId="0" fillId="0" borderId="1" xfId="3" applyFont="1" applyFill="1" applyBorder="1">
      <alignment vertical="center"/>
    </xf>
    <xf numFmtId="49" fontId="1" fillId="2" borderId="5" xfId="6" applyNumberFormat="1" applyFill="1" applyBorder="1">
      <alignment horizontal="center" vertical="center"/>
    </xf>
    <xf numFmtId="0" fontId="1" fillId="2" borderId="6" xfId="6" applyFill="1" applyBorder="1">
      <alignment horizontal="center" vertical="center"/>
    </xf>
    <xf numFmtId="49" fontId="1" fillId="2" borderId="6" xfId="6" applyNumberFormat="1" applyFill="1" applyBorder="1">
      <alignment horizontal="center" vertical="center"/>
    </xf>
    <xf numFmtId="0" fontId="1" fillId="2" borderId="7" xfId="6" applyFill="1" applyBorder="1">
      <alignment horizontal="center" vertical="center"/>
    </xf>
    <xf numFmtId="0" fontId="0" fillId="0" borderId="8" xfId="6" applyNumberFormat="1" applyFont="1" applyBorder="1" applyAlignment="1">
      <alignment horizontal="left" vertical="center"/>
    </xf>
    <xf numFmtId="43" fontId="1" fillId="0" borderId="9" xfId="3" applyBorder="1" applyAlignment="1">
      <alignment horizontal="right" vertical="center"/>
    </xf>
    <xf numFmtId="43" fontId="0" fillId="3" borderId="14" xfId="3" applyFont="1" applyFill="1" applyBorder="1" applyAlignment="1">
      <alignment horizontal="right" vertical="center"/>
    </xf>
    <xf numFmtId="176" fontId="0" fillId="3" borderId="15" xfId="0" applyNumberFormat="1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43" fontId="0" fillId="0" borderId="9" xfId="3" applyFont="1" applyBorder="1">
      <alignment vertical="center"/>
    </xf>
    <xf numFmtId="43" fontId="0" fillId="5" borderId="11" xfId="3" applyFont="1" applyFill="1" applyBorder="1">
      <alignment vertical="center"/>
    </xf>
    <xf numFmtId="43" fontId="0" fillId="5" borderId="12" xfId="3" applyFont="1" applyFill="1" applyBorder="1">
      <alignment vertical="center"/>
    </xf>
    <xf numFmtId="0" fontId="0" fillId="4" borderId="17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3" borderId="13" xfId="1" applyNumberFormat="1" applyFont="1" applyFill="1" applyBorder="1" applyAlignment="1">
      <alignment horizontal="left" vertical="center"/>
    </xf>
    <xf numFmtId="0" fontId="0" fillId="3" borderId="14" xfId="1" applyNumberFormat="1" applyFont="1" applyFill="1" applyBorder="1" applyAlignment="1">
      <alignment horizontal="left" vertical="center"/>
    </xf>
    <xf numFmtId="0" fontId="0" fillId="3" borderId="14" xfId="0" applyFill="1" applyBorder="1" applyAlignment="1">
      <alignment horizontal="center" vertical="center"/>
    </xf>
    <xf numFmtId="176" fontId="0" fillId="3" borderId="14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7">
    <cellStyle name="一般" xfId="0" builtinId="0"/>
    <cellStyle name="一般 2" xfId="1"/>
    <cellStyle name="一般 3" xfId="2"/>
    <cellStyle name="一般 4" xfId="4"/>
    <cellStyle name="一般 5" xfId="5"/>
    <cellStyle name="一般 6" xfId="6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6"/>
  <sheetViews>
    <sheetView tabSelected="1" zoomScaleNormal="100" zoomScaleSheetLayoutView="100" workbookViewId="0">
      <selection activeCell="M18" sqref="M18"/>
    </sheetView>
  </sheetViews>
  <sheetFormatPr defaultRowHeight="16.5" x14ac:dyDescent="0.25"/>
  <cols>
    <col min="1" max="1" width="30.75" customWidth="1"/>
    <col min="2" max="2" width="15.625" bestFit="1" customWidth="1"/>
    <col min="3" max="3" width="12.125" customWidth="1"/>
    <col min="4" max="4" width="15.625" customWidth="1"/>
    <col min="5" max="5" width="11.375" bestFit="1" customWidth="1"/>
    <col min="6" max="6" width="10.875" style="2" bestFit="1" customWidth="1"/>
    <col min="7" max="7" width="12.5" customWidth="1"/>
    <col min="8" max="8" width="10.375" style="2" customWidth="1"/>
    <col min="9" max="9" width="12.875" customWidth="1"/>
    <col min="10" max="10" width="11.75" customWidth="1"/>
    <col min="12" max="12" width="13.5" customWidth="1"/>
    <col min="13" max="13" width="10.375" customWidth="1"/>
  </cols>
  <sheetData>
    <row r="1" spans="1:13" x14ac:dyDescent="0.25">
      <c r="A1" s="36" t="s">
        <v>50</v>
      </c>
      <c r="B1" s="36"/>
      <c r="C1" s="36"/>
      <c r="D1" s="36"/>
      <c r="E1" s="36"/>
      <c r="F1" s="36"/>
      <c r="G1" s="36"/>
      <c r="H1" s="36"/>
      <c r="I1" s="36"/>
      <c r="J1" s="36"/>
    </row>
    <row r="2" spans="1:13" s="2" customFormat="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</row>
    <row r="3" spans="1:13" s="2" customFormat="1" x14ac:dyDescent="0.25"/>
    <row r="4" spans="1:13" x14ac:dyDescent="0.25">
      <c r="A4" s="2" t="s">
        <v>48</v>
      </c>
      <c r="B4" s="37"/>
      <c r="C4" s="37"/>
    </row>
    <row r="5" spans="1:13" s="2" customFormat="1" x14ac:dyDescent="0.25">
      <c r="A5" t="s">
        <v>47</v>
      </c>
      <c r="B5" s="37"/>
      <c r="C5" s="37"/>
    </row>
    <row r="6" spans="1:13" s="2" customFormat="1" x14ac:dyDescent="0.25">
      <c r="B6" s="3"/>
    </row>
    <row r="7" spans="1:13" s="2" customFormat="1" ht="17.25" thickBot="1" x14ac:dyDescent="0.3">
      <c r="A7" s="7" t="s">
        <v>49</v>
      </c>
    </row>
    <row r="8" spans="1:13" s="2" customFormat="1" x14ac:dyDescent="0.25">
      <c r="A8" s="13" t="s">
        <v>39</v>
      </c>
      <c r="B8" s="14" t="s">
        <v>40</v>
      </c>
      <c r="C8" s="15" t="s">
        <v>41</v>
      </c>
      <c r="D8" s="15" t="s">
        <v>42</v>
      </c>
      <c r="E8" s="14" t="s">
        <v>43</v>
      </c>
      <c r="F8" s="14" t="s">
        <v>45</v>
      </c>
      <c r="G8" s="14" t="s">
        <v>44</v>
      </c>
      <c r="H8" s="15" t="s">
        <v>42</v>
      </c>
      <c r="I8" s="16" t="s">
        <v>45</v>
      </c>
    </row>
    <row r="9" spans="1:13" ht="17.25" thickBot="1" x14ac:dyDescent="0.3">
      <c r="A9" s="17"/>
      <c r="B9" s="9"/>
      <c r="C9" s="10"/>
      <c r="D9" s="10"/>
      <c r="E9" s="9"/>
      <c r="F9" s="9"/>
      <c r="G9" s="9"/>
      <c r="H9" s="11"/>
      <c r="I9" s="18"/>
    </row>
    <row r="10" spans="1:13" ht="17.25" thickBot="1" x14ac:dyDescent="0.3">
      <c r="A10" s="32" t="s">
        <v>19</v>
      </c>
      <c r="B10" s="33"/>
      <c r="C10" s="33"/>
      <c r="D10" s="34" t="s">
        <v>18</v>
      </c>
      <c r="E10" s="34"/>
      <c r="F10" s="19">
        <f>SUM(F9:F9)</f>
        <v>0</v>
      </c>
      <c r="G10" s="35" t="s">
        <v>46</v>
      </c>
      <c r="H10" s="35"/>
      <c r="I10" s="20">
        <f>SUM(I9:I9)</f>
        <v>0</v>
      </c>
    </row>
    <row r="11" spans="1:13" x14ac:dyDescent="0.25">
      <c r="B11" s="5"/>
      <c r="E11" s="3"/>
      <c r="F11" s="3"/>
      <c r="G11" s="3"/>
      <c r="H11" s="3"/>
    </row>
    <row r="12" spans="1:13" x14ac:dyDescent="0.25">
      <c r="G12" s="3"/>
      <c r="H12" s="3"/>
      <c r="L12" s="29"/>
    </row>
    <row r="13" spans="1:13" ht="17.25" thickBot="1" x14ac:dyDescent="0.3">
      <c r="A13" s="2" t="s">
        <v>36</v>
      </c>
      <c r="L13" s="29"/>
    </row>
    <row r="14" spans="1:13" ht="49.5" x14ac:dyDescent="0.25">
      <c r="A14" s="27" t="s">
        <v>0</v>
      </c>
      <c r="B14" s="25" t="s">
        <v>1</v>
      </c>
      <c r="C14" s="25" t="s">
        <v>30</v>
      </c>
      <c r="D14" s="25" t="s">
        <v>31</v>
      </c>
      <c r="E14" s="25" t="s">
        <v>32</v>
      </c>
      <c r="F14" s="25" t="s">
        <v>33</v>
      </c>
      <c r="G14" s="25" t="s">
        <v>34</v>
      </c>
      <c r="H14" s="25" t="s">
        <v>51</v>
      </c>
      <c r="I14" s="25" t="s">
        <v>35</v>
      </c>
      <c r="J14" s="26" t="s">
        <v>38</v>
      </c>
      <c r="L14" s="29"/>
      <c r="M14" s="28"/>
    </row>
    <row r="15" spans="1:13" x14ac:dyDescent="0.25">
      <c r="A15" s="21"/>
      <c r="B15" s="6"/>
      <c r="C15" s="6"/>
      <c r="D15" s="6"/>
      <c r="E15" s="8"/>
      <c r="F15" s="8"/>
      <c r="G15" s="8"/>
      <c r="H15" s="8"/>
      <c r="I15" s="12"/>
      <c r="J15" s="22">
        <f>H15-I15</f>
        <v>0</v>
      </c>
    </row>
    <row r="16" spans="1:13" ht="17.25" thickBot="1" x14ac:dyDescent="0.3">
      <c r="A16" s="30" t="s">
        <v>29</v>
      </c>
      <c r="B16" s="31"/>
      <c r="C16" s="31"/>
      <c r="D16" s="31"/>
      <c r="E16" s="23">
        <f>SUM(E15:E15)</f>
        <v>0</v>
      </c>
      <c r="F16" s="23">
        <f>SUM(F15:F15)</f>
        <v>0</v>
      </c>
      <c r="G16" s="23">
        <f>SUM(G15:G15)</f>
        <v>0</v>
      </c>
      <c r="H16" s="23">
        <f>SUM(H15:H15)</f>
        <v>0</v>
      </c>
      <c r="I16" s="23">
        <f>SUM(I15:I15)</f>
        <v>0</v>
      </c>
      <c r="J16" s="24">
        <f t="shared" ref="J16" si="0">H16-I16</f>
        <v>0</v>
      </c>
    </row>
  </sheetData>
  <mergeCells count="7">
    <mergeCell ref="A16:D16"/>
    <mergeCell ref="A10:C10"/>
    <mergeCell ref="D10:E10"/>
    <mergeCell ref="G10:H10"/>
    <mergeCell ref="A1:J2"/>
    <mergeCell ref="B4:C4"/>
    <mergeCell ref="B5:C5"/>
  </mergeCells>
  <phoneticPr fontId="2" type="noConversion"/>
  <pageMargins left="0.25" right="0.25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zoomScaleNormal="100" workbookViewId="0">
      <selection activeCell="C12" sqref="C12"/>
    </sheetView>
  </sheetViews>
  <sheetFormatPr defaultRowHeight="16.5" x14ac:dyDescent="0.25"/>
  <cols>
    <col min="1" max="1" width="21.5" customWidth="1"/>
    <col min="2" max="2" width="17.25" customWidth="1"/>
    <col min="3" max="3" width="18.375" customWidth="1"/>
    <col min="4" max="4" width="11.375" bestFit="1" customWidth="1"/>
    <col min="5" max="5" width="8.625" customWidth="1"/>
    <col min="6" max="6" width="11.125" customWidth="1"/>
    <col min="7" max="7" width="9.25" customWidth="1"/>
    <col min="8" max="8" width="19" bestFit="1" customWidth="1"/>
    <col min="9" max="9" width="18.375" customWidth="1"/>
  </cols>
  <sheetData>
    <row r="1" spans="1:8" x14ac:dyDescent="0.25">
      <c r="A1" t="s">
        <v>37</v>
      </c>
    </row>
    <row r="3" spans="1:8" x14ac:dyDescent="0.2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</row>
    <row r="4" spans="1:8" x14ac:dyDescent="0.25">
      <c r="A4" s="4" t="s">
        <v>2</v>
      </c>
      <c r="B4" s="1" t="s">
        <v>4</v>
      </c>
      <c r="C4" s="1"/>
      <c r="D4" s="1">
        <v>296</v>
      </c>
      <c r="E4" s="1">
        <v>107.62</v>
      </c>
      <c r="F4" s="1">
        <v>110.75</v>
      </c>
      <c r="G4" s="1">
        <v>0</v>
      </c>
      <c r="H4" s="1">
        <v>763.87</v>
      </c>
    </row>
    <row r="5" spans="1:8" x14ac:dyDescent="0.25">
      <c r="A5" s="4" t="s">
        <v>2</v>
      </c>
      <c r="B5" s="1" t="s">
        <v>5</v>
      </c>
      <c r="C5" s="1"/>
      <c r="D5" s="1">
        <v>279</v>
      </c>
      <c r="E5" s="1">
        <v>101.62</v>
      </c>
      <c r="F5" s="1">
        <v>104.58</v>
      </c>
      <c r="G5" s="1">
        <v>0</v>
      </c>
      <c r="H5" s="1">
        <v>721.28</v>
      </c>
    </row>
    <row r="6" spans="1:8" x14ac:dyDescent="0.25">
      <c r="A6" s="4" t="s">
        <v>2</v>
      </c>
      <c r="B6" s="1" t="s">
        <v>6</v>
      </c>
      <c r="C6" s="1"/>
      <c r="D6" s="1">
        <v>450</v>
      </c>
      <c r="E6" s="1">
        <v>165.44</v>
      </c>
      <c r="F6" s="1">
        <v>170.25</v>
      </c>
      <c r="G6" s="1">
        <v>0</v>
      </c>
      <c r="H6" s="1">
        <v>1174.27</v>
      </c>
    </row>
    <row r="7" spans="1:8" x14ac:dyDescent="0.25">
      <c r="A7" s="4" t="s">
        <v>2</v>
      </c>
      <c r="B7" s="1" t="s">
        <v>7</v>
      </c>
      <c r="C7" s="1"/>
      <c r="D7" s="1">
        <v>1592</v>
      </c>
      <c r="E7" s="1">
        <v>581.34</v>
      </c>
      <c r="F7" s="1">
        <v>598.25</v>
      </c>
      <c r="G7" s="1">
        <v>0</v>
      </c>
      <c r="H7" s="1">
        <v>4126.26</v>
      </c>
    </row>
    <row r="8" spans="1:8" x14ac:dyDescent="0.25">
      <c r="A8" s="4" t="s">
        <v>2</v>
      </c>
      <c r="B8" s="1" t="s">
        <v>8</v>
      </c>
      <c r="C8" s="1"/>
      <c r="D8" s="1">
        <v>1128</v>
      </c>
      <c r="E8" s="1">
        <v>416.89</v>
      </c>
      <c r="F8" s="1">
        <v>429.02</v>
      </c>
      <c r="G8" s="1">
        <v>0</v>
      </c>
      <c r="H8" s="1">
        <v>2959.02</v>
      </c>
    </row>
    <row r="9" spans="1:8" x14ac:dyDescent="0.25">
      <c r="A9" s="4" t="s">
        <v>2</v>
      </c>
      <c r="B9" s="1" t="s">
        <v>9</v>
      </c>
      <c r="C9" s="1"/>
      <c r="D9" s="1">
        <v>946</v>
      </c>
      <c r="E9" s="1">
        <v>354.41</v>
      </c>
      <c r="F9" s="1">
        <v>364.72</v>
      </c>
      <c r="G9" s="1">
        <v>0</v>
      </c>
      <c r="H9" s="1">
        <v>2515.5500000000002</v>
      </c>
    </row>
    <row r="10" spans="1:8" x14ac:dyDescent="0.25">
      <c r="A10" s="4" t="s">
        <v>2</v>
      </c>
      <c r="B10" s="1" t="s">
        <v>10</v>
      </c>
      <c r="C10" s="1"/>
      <c r="D10" s="1">
        <v>215</v>
      </c>
      <c r="E10" s="1">
        <v>93.12</v>
      </c>
      <c r="F10" s="1">
        <v>95.83</v>
      </c>
      <c r="G10" s="1">
        <v>0</v>
      </c>
      <c r="H10" s="1">
        <v>660.95</v>
      </c>
    </row>
    <row r="11" spans="1:8" x14ac:dyDescent="0.25">
      <c r="A11" s="4" t="s">
        <v>2</v>
      </c>
      <c r="B11" s="1" t="s">
        <v>11</v>
      </c>
      <c r="C11" s="1"/>
      <c r="D11" s="1">
        <v>78</v>
      </c>
      <c r="E11" s="1">
        <v>37.520000000000003</v>
      </c>
      <c r="F11" s="1">
        <v>38.61</v>
      </c>
      <c r="G11" s="1">
        <v>0</v>
      </c>
      <c r="H11" s="1">
        <v>266.31</v>
      </c>
    </row>
    <row r="12" spans="1:8" x14ac:dyDescent="0.25">
      <c r="A12" s="4" t="s">
        <v>2</v>
      </c>
      <c r="B12" s="1" t="s">
        <v>12</v>
      </c>
      <c r="C12" s="1"/>
      <c r="D12" s="1">
        <v>1347</v>
      </c>
      <c r="E12" s="1">
        <v>579.29</v>
      </c>
      <c r="F12" s="1">
        <v>596.14</v>
      </c>
      <c r="G12" s="1">
        <v>0</v>
      </c>
      <c r="H12" s="1">
        <v>4111.71</v>
      </c>
    </row>
    <row r="13" spans="1:8" x14ac:dyDescent="0.25">
      <c r="A13" s="4" t="s">
        <v>2</v>
      </c>
      <c r="B13" s="1" t="s">
        <v>13</v>
      </c>
      <c r="C13" s="1"/>
      <c r="D13" s="1">
        <v>917</v>
      </c>
      <c r="E13" s="1">
        <v>395.21</v>
      </c>
      <c r="F13" s="1">
        <v>406.71</v>
      </c>
      <c r="G13" s="1">
        <v>0</v>
      </c>
      <c r="H13" s="1">
        <v>2805.14</v>
      </c>
    </row>
    <row r="14" spans="1:8" x14ac:dyDescent="0.25">
      <c r="A14" s="4" t="s">
        <v>3</v>
      </c>
      <c r="B14" s="1" t="s">
        <v>14</v>
      </c>
      <c r="C14" s="1"/>
      <c r="D14" s="1">
        <v>61</v>
      </c>
      <c r="E14" s="1">
        <v>24.68</v>
      </c>
      <c r="F14" s="1">
        <v>25.4</v>
      </c>
      <c r="G14" s="1">
        <v>0</v>
      </c>
      <c r="H14" s="1">
        <v>175.17</v>
      </c>
    </row>
    <row r="15" spans="1:8" x14ac:dyDescent="0.25">
      <c r="A15" s="4" t="s">
        <v>3</v>
      </c>
      <c r="B15" s="1" t="s">
        <v>15</v>
      </c>
      <c r="C15" s="1"/>
      <c r="D15" s="1">
        <v>1029</v>
      </c>
      <c r="E15" s="1">
        <v>380.98</v>
      </c>
      <c r="F15" s="1">
        <v>392.06</v>
      </c>
      <c r="G15" s="1">
        <v>0</v>
      </c>
      <c r="H15" s="1">
        <v>2704.14</v>
      </c>
    </row>
    <row r="16" spans="1:8" x14ac:dyDescent="0.25">
      <c r="A16" s="4" t="s">
        <v>3</v>
      </c>
      <c r="B16" s="1" t="s">
        <v>16</v>
      </c>
      <c r="C16" s="1"/>
      <c r="D16" s="1">
        <v>428</v>
      </c>
      <c r="E16" s="1">
        <v>158.16</v>
      </c>
      <c r="F16" s="1">
        <v>162.76</v>
      </c>
      <c r="G16" s="1">
        <v>0</v>
      </c>
      <c r="H16" s="1">
        <v>1122.5999999999999</v>
      </c>
    </row>
    <row r="17" spans="1:8" x14ac:dyDescent="0.25">
      <c r="A17" s="4" t="s">
        <v>3</v>
      </c>
      <c r="B17" s="1" t="s">
        <v>17</v>
      </c>
      <c r="C17" s="1"/>
      <c r="D17" s="1">
        <v>760</v>
      </c>
      <c r="E17" s="1">
        <v>280.74</v>
      </c>
      <c r="F17" s="1">
        <v>288.91000000000003</v>
      </c>
      <c r="G17" s="1">
        <v>0</v>
      </c>
      <c r="H17" s="1">
        <v>1922.65</v>
      </c>
    </row>
    <row r="18" spans="1:8" x14ac:dyDescent="0.25">
      <c r="A18" s="38" t="s">
        <v>28</v>
      </c>
      <c r="B18" s="39"/>
      <c r="C18" s="40"/>
      <c r="D18" s="1">
        <f t="shared" ref="D18:G18" si="0">SUM(D4:D17)</f>
        <v>9526</v>
      </c>
      <c r="E18" s="1">
        <f t="shared" si="0"/>
        <v>3677.0199999999995</v>
      </c>
      <c r="F18" s="1">
        <f t="shared" si="0"/>
        <v>3783.99</v>
      </c>
      <c r="G18" s="1">
        <f t="shared" si="0"/>
        <v>0</v>
      </c>
      <c r="H18" s="1">
        <f>SUM(H4:H17)</f>
        <v>26028.92</v>
      </c>
    </row>
  </sheetData>
  <mergeCells count="1">
    <mergeCell ref="A18:C18"/>
  </mergeCells>
  <phoneticPr fontId="2" type="noConversion"/>
  <pageMargins left="0.25" right="0.25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23" sqref="L2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工作表1</vt:lpstr>
      <vt:lpstr>工作表2</vt:lpstr>
      <vt:lpstr>工作表3</vt:lpstr>
      <vt:lpstr>工作表1!Print_Area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J1-7642</dc:creator>
  <cp:lastModifiedBy>WillyWei魏立業7730</cp:lastModifiedBy>
  <cp:lastPrinted>2022-06-15T08:56:12Z</cp:lastPrinted>
  <dcterms:created xsi:type="dcterms:W3CDTF">2022-05-05T03:23:24Z</dcterms:created>
  <dcterms:modified xsi:type="dcterms:W3CDTF">2024-01-02T12:30:33Z</dcterms:modified>
</cp:coreProperties>
</file>